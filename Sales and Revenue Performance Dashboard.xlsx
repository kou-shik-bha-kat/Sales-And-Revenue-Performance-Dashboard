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5432651edf2ea8a/Desktop/IVY/Excel/DashBoard/"/>
    </mc:Choice>
  </mc:AlternateContent>
  <xr:revisionPtr revIDLastSave="1" documentId="8_{412B689F-CEBB-40FD-886F-0C9BEFAD28B9}" xr6:coauthVersionLast="47" xr6:coauthVersionMax="47" xr10:uidLastSave="{3563F00B-6209-4A60-9BBA-B4498D3B6452}"/>
  <bookViews>
    <workbookView xWindow="-110" yWindow="-110" windowWidth="19420" windowHeight="10300" firstSheet="5" activeTab="8" xr2:uid="{00000000-000D-0000-FFFF-FFFF00000000}"/>
  </bookViews>
  <sheets>
    <sheet name="Sales_Transactions" sheetId="1" r:id="rId1"/>
    <sheet name="Product_Master" sheetId="2" r:id="rId2"/>
    <sheet name="Salesperson_Master" sheetId="3" r:id="rId3"/>
    <sheet name="Monthly_Targets" sheetId="4" r:id="rId4"/>
    <sheet name="Merged_Sales_Data" sheetId="5" r:id="rId5"/>
    <sheet name="MyTable" sheetId="9" r:id="rId6"/>
    <sheet name="Read_Me" sheetId="6" r:id="rId7"/>
    <sheet name="Summary" sheetId="7" r:id="rId8"/>
    <sheet name="Dashboard" sheetId="8" r:id="rId9"/>
  </sheets>
  <definedNames>
    <definedName name="_xlnm._FilterDatabase" localSheetId="3" hidden="1">Monthly_Targets!$A$1:$C$97</definedName>
    <definedName name="_xlnm._FilterDatabase" localSheetId="1" hidden="1">Product_Master!$A$1:$D$10</definedName>
    <definedName name="_xlnm._FilterDatabase" localSheetId="0" hidden="1">Sales_Transactions!$A$1:$E$743</definedName>
    <definedName name="_xlnm._FilterDatabase" localSheetId="2" hidden="1">Salesperson_Master!$A$1:$D$9</definedName>
    <definedName name="MyTable">Sales7[]</definedName>
    <definedName name="Slicer_Region">#N/A</definedName>
  </definedNames>
  <calcPr calcId="191029"/>
  <pivotCaches>
    <pivotCache cacheId="1"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43" i="9" l="1"/>
  <c r="G743" i="9"/>
  <c r="J743" i="9" s="1"/>
  <c r="F743" i="9"/>
  <c r="L743" i="9" s="1"/>
  <c r="E743" i="9"/>
  <c r="D743" i="9"/>
  <c r="K742" i="9"/>
  <c r="L742" i="9" s="1"/>
  <c r="J742" i="9"/>
  <c r="H742" i="9"/>
  <c r="G742" i="9"/>
  <c r="I742" i="9" s="1"/>
  <c r="F742" i="9"/>
  <c r="E742" i="9"/>
  <c r="D742" i="9"/>
  <c r="K741" i="9"/>
  <c r="L741" i="9" s="1"/>
  <c r="H741" i="9"/>
  <c r="G741" i="9"/>
  <c r="J741" i="9" s="1"/>
  <c r="F741" i="9"/>
  <c r="E741" i="9"/>
  <c r="D741" i="9"/>
  <c r="K740" i="9"/>
  <c r="J740" i="9"/>
  <c r="H740" i="9"/>
  <c r="G740" i="9"/>
  <c r="I740" i="9" s="1"/>
  <c r="F740" i="9"/>
  <c r="L740" i="9" s="1"/>
  <c r="E740" i="9"/>
  <c r="D740" i="9"/>
  <c r="K739" i="9"/>
  <c r="G739" i="9"/>
  <c r="F739" i="9"/>
  <c r="E739" i="9"/>
  <c r="D739" i="9"/>
  <c r="K738" i="9"/>
  <c r="L738" i="9" s="1"/>
  <c r="J738" i="9"/>
  <c r="H738" i="9"/>
  <c r="G738" i="9"/>
  <c r="I738" i="9" s="1"/>
  <c r="F738" i="9"/>
  <c r="E738" i="9"/>
  <c r="D738" i="9"/>
  <c r="K737" i="9"/>
  <c r="L737" i="9" s="1"/>
  <c r="G737" i="9"/>
  <c r="J737" i="9" s="1"/>
  <c r="F737" i="9"/>
  <c r="E737" i="9"/>
  <c r="D737" i="9"/>
  <c r="K736" i="9"/>
  <c r="G736" i="9"/>
  <c r="I736" i="9" s="1"/>
  <c r="F736" i="9"/>
  <c r="L736" i="9" s="1"/>
  <c r="E736" i="9"/>
  <c r="D736" i="9"/>
  <c r="K735" i="9"/>
  <c r="G735" i="9"/>
  <c r="F735" i="9"/>
  <c r="E735" i="9"/>
  <c r="D735" i="9"/>
  <c r="K734" i="9"/>
  <c r="L734" i="9" s="1"/>
  <c r="J734" i="9"/>
  <c r="H734" i="9"/>
  <c r="G734" i="9"/>
  <c r="I734" i="9" s="1"/>
  <c r="F734" i="9"/>
  <c r="E734" i="9"/>
  <c r="D734" i="9"/>
  <c r="K733" i="9"/>
  <c r="J733" i="9"/>
  <c r="I733" i="9"/>
  <c r="H733" i="9"/>
  <c r="G733" i="9"/>
  <c r="F733" i="9"/>
  <c r="E733" i="9"/>
  <c r="D733" i="9"/>
  <c r="K732" i="9"/>
  <c r="H732" i="9"/>
  <c r="G732" i="9"/>
  <c r="F732" i="9"/>
  <c r="L732" i="9" s="1"/>
  <c r="E732" i="9"/>
  <c r="D732" i="9"/>
  <c r="K731" i="9"/>
  <c r="G731" i="9"/>
  <c r="F731" i="9"/>
  <c r="E731" i="9"/>
  <c r="D731" i="9"/>
  <c r="K730" i="9"/>
  <c r="L730" i="9" s="1"/>
  <c r="J730" i="9"/>
  <c r="H730" i="9"/>
  <c r="G730" i="9"/>
  <c r="I730" i="9" s="1"/>
  <c r="F730" i="9"/>
  <c r="E730" i="9"/>
  <c r="D730" i="9"/>
  <c r="K729" i="9"/>
  <c r="I729" i="9"/>
  <c r="G729" i="9"/>
  <c r="J729" i="9" s="1"/>
  <c r="F729" i="9"/>
  <c r="L729" i="9" s="1"/>
  <c r="E729" i="9"/>
  <c r="D729" i="9"/>
  <c r="K728" i="9"/>
  <c r="J728" i="9"/>
  <c r="H728" i="9"/>
  <c r="G728" i="9"/>
  <c r="I728" i="9" s="1"/>
  <c r="F728" i="9"/>
  <c r="L728" i="9" s="1"/>
  <c r="E728" i="9"/>
  <c r="D728" i="9"/>
  <c r="K727" i="9"/>
  <c r="G727" i="9"/>
  <c r="F727" i="9"/>
  <c r="L727" i="9" s="1"/>
  <c r="E727" i="9"/>
  <c r="D727" i="9"/>
  <c r="L726" i="9"/>
  <c r="K726" i="9"/>
  <c r="G726" i="9"/>
  <c r="I726" i="9" s="1"/>
  <c r="F726" i="9"/>
  <c r="E726" i="9"/>
  <c r="D726" i="9"/>
  <c r="K725" i="9"/>
  <c r="J725" i="9"/>
  <c r="I725" i="9"/>
  <c r="H725" i="9"/>
  <c r="G725" i="9"/>
  <c r="F725" i="9"/>
  <c r="E725" i="9"/>
  <c r="D725" i="9"/>
  <c r="K724" i="9"/>
  <c r="G724" i="9"/>
  <c r="F724" i="9"/>
  <c r="L724" i="9" s="1"/>
  <c r="E724" i="9"/>
  <c r="D724" i="9"/>
  <c r="K723" i="9"/>
  <c r="J723" i="9"/>
  <c r="G723" i="9"/>
  <c r="I723" i="9" s="1"/>
  <c r="F723" i="9"/>
  <c r="E723" i="9"/>
  <c r="D723" i="9"/>
  <c r="K722" i="9"/>
  <c r="L722" i="9" s="1"/>
  <c r="G722" i="9"/>
  <c r="I722" i="9" s="1"/>
  <c r="F722" i="9"/>
  <c r="E722" i="9"/>
  <c r="D722" i="9"/>
  <c r="K721" i="9"/>
  <c r="I721" i="9"/>
  <c r="G721" i="9"/>
  <c r="J721" i="9" s="1"/>
  <c r="F721" i="9"/>
  <c r="L721" i="9" s="1"/>
  <c r="E721" i="9"/>
  <c r="D721" i="9"/>
  <c r="K720" i="9"/>
  <c r="J720" i="9"/>
  <c r="H720" i="9"/>
  <c r="G720" i="9"/>
  <c r="I720" i="9" s="1"/>
  <c r="F720" i="9"/>
  <c r="E720" i="9"/>
  <c r="D720" i="9"/>
  <c r="K719" i="9"/>
  <c r="H719" i="9"/>
  <c r="G719" i="9"/>
  <c r="F719" i="9"/>
  <c r="L719" i="9" s="1"/>
  <c r="E719" i="9"/>
  <c r="D719" i="9"/>
  <c r="L718" i="9"/>
  <c r="K718" i="9"/>
  <c r="G718" i="9"/>
  <c r="F718" i="9"/>
  <c r="E718" i="9"/>
  <c r="D718" i="9"/>
  <c r="K717" i="9"/>
  <c r="J717" i="9"/>
  <c r="I717" i="9"/>
  <c r="H717" i="9"/>
  <c r="G717" i="9"/>
  <c r="F717" i="9"/>
  <c r="E717" i="9"/>
  <c r="D717" i="9"/>
  <c r="K716" i="9"/>
  <c r="G716" i="9"/>
  <c r="F716" i="9"/>
  <c r="L716" i="9" s="1"/>
  <c r="E716" i="9"/>
  <c r="D716" i="9"/>
  <c r="K715" i="9"/>
  <c r="J715" i="9"/>
  <c r="H715" i="9"/>
  <c r="G715" i="9"/>
  <c r="I715" i="9" s="1"/>
  <c r="F715" i="9"/>
  <c r="E715" i="9"/>
  <c r="D715" i="9"/>
  <c r="K714" i="9"/>
  <c r="L714" i="9" s="1"/>
  <c r="G714" i="9"/>
  <c r="F714" i="9"/>
  <c r="E714" i="9"/>
  <c r="D714" i="9"/>
  <c r="K713" i="9"/>
  <c r="I713" i="9"/>
  <c r="G713" i="9"/>
  <c r="J713" i="9" s="1"/>
  <c r="F713" i="9"/>
  <c r="L713" i="9" s="1"/>
  <c r="E713" i="9"/>
  <c r="D713" i="9"/>
  <c r="K712" i="9"/>
  <c r="J712" i="9"/>
  <c r="H712" i="9"/>
  <c r="G712" i="9"/>
  <c r="I712" i="9" s="1"/>
  <c r="F712" i="9"/>
  <c r="E712" i="9"/>
  <c r="D712" i="9"/>
  <c r="K711" i="9"/>
  <c r="G711" i="9"/>
  <c r="F711" i="9"/>
  <c r="L711" i="9" s="1"/>
  <c r="E711" i="9"/>
  <c r="D711" i="9"/>
  <c r="L710" i="9"/>
  <c r="K710" i="9"/>
  <c r="G710" i="9"/>
  <c r="F710" i="9"/>
  <c r="E710" i="9"/>
  <c r="D710" i="9"/>
  <c r="K709" i="9"/>
  <c r="I709" i="9"/>
  <c r="H709" i="9"/>
  <c r="G709" i="9"/>
  <c r="J709" i="9" s="1"/>
  <c r="F709" i="9"/>
  <c r="E709" i="9"/>
  <c r="D709" i="9"/>
  <c r="K708" i="9"/>
  <c r="G708" i="9"/>
  <c r="F708" i="9"/>
  <c r="E708" i="9"/>
  <c r="D708" i="9"/>
  <c r="K707" i="9"/>
  <c r="J707" i="9"/>
  <c r="H707" i="9"/>
  <c r="G707" i="9"/>
  <c r="I707" i="9" s="1"/>
  <c r="F707" i="9"/>
  <c r="E707" i="9"/>
  <c r="D707" i="9"/>
  <c r="K706" i="9"/>
  <c r="L706" i="9" s="1"/>
  <c r="J706" i="9"/>
  <c r="H706" i="9"/>
  <c r="G706" i="9"/>
  <c r="I706" i="9" s="1"/>
  <c r="F706" i="9"/>
  <c r="E706" i="9"/>
  <c r="D706" i="9"/>
  <c r="K705" i="9"/>
  <c r="L705" i="9" s="1"/>
  <c r="I705" i="9"/>
  <c r="G705" i="9"/>
  <c r="J705" i="9" s="1"/>
  <c r="F705" i="9"/>
  <c r="E705" i="9"/>
  <c r="D705" i="9"/>
  <c r="K704" i="9"/>
  <c r="J704" i="9"/>
  <c r="H704" i="9"/>
  <c r="G704" i="9"/>
  <c r="I704" i="9" s="1"/>
  <c r="F704" i="9"/>
  <c r="E704" i="9"/>
  <c r="D704" i="9"/>
  <c r="K703" i="9"/>
  <c r="H703" i="9"/>
  <c r="G703" i="9"/>
  <c r="F703" i="9"/>
  <c r="L703" i="9" s="1"/>
  <c r="E703" i="9"/>
  <c r="D703" i="9"/>
  <c r="L702" i="9"/>
  <c r="K702" i="9"/>
  <c r="G702" i="9"/>
  <c r="F702" i="9"/>
  <c r="E702" i="9"/>
  <c r="D702" i="9"/>
  <c r="K701" i="9"/>
  <c r="H701" i="9"/>
  <c r="G701" i="9"/>
  <c r="F701" i="9"/>
  <c r="L701" i="9" s="1"/>
  <c r="E701" i="9"/>
  <c r="D701" i="9"/>
  <c r="K700" i="9"/>
  <c r="G700" i="9"/>
  <c r="F700" i="9"/>
  <c r="L700" i="9" s="1"/>
  <c r="E700" i="9"/>
  <c r="D700" i="9"/>
  <c r="K699" i="9"/>
  <c r="G699" i="9"/>
  <c r="F699" i="9"/>
  <c r="E699" i="9"/>
  <c r="D699" i="9"/>
  <c r="K698" i="9"/>
  <c r="L698" i="9" s="1"/>
  <c r="H698" i="9"/>
  <c r="G698" i="9"/>
  <c r="I698" i="9" s="1"/>
  <c r="F698" i="9"/>
  <c r="E698" i="9"/>
  <c r="D698" i="9"/>
  <c r="K697" i="9"/>
  <c r="I697" i="9"/>
  <c r="G697" i="9"/>
  <c r="J697" i="9" s="1"/>
  <c r="F697" i="9"/>
  <c r="L697" i="9" s="1"/>
  <c r="E697" i="9"/>
  <c r="D697" i="9"/>
  <c r="K696" i="9"/>
  <c r="J696" i="9"/>
  <c r="G696" i="9"/>
  <c r="I696" i="9" s="1"/>
  <c r="F696" i="9"/>
  <c r="L696" i="9" s="1"/>
  <c r="E696" i="9"/>
  <c r="D696" i="9"/>
  <c r="K695" i="9"/>
  <c r="G695" i="9"/>
  <c r="F695" i="9"/>
  <c r="L695" i="9" s="1"/>
  <c r="E695" i="9"/>
  <c r="D695" i="9"/>
  <c r="L694" i="9"/>
  <c r="K694" i="9"/>
  <c r="G694" i="9"/>
  <c r="F694" i="9"/>
  <c r="E694" i="9"/>
  <c r="D694" i="9"/>
  <c r="K693" i="9"/>
  <c r="J693" i="9"/>
  <c r="I693" i="9"/>
  <c r="H693" i="9"/>
  <c r="G693" i="9"/>
  <c r="F693" i="9"/>
  <c r="E693" i="9"/>
  <c r="D693" i="9"/>
  <c r="K692" i="9"/>
  <c r="G692" i="9"/>
  <c r="F692" i="9"/>
  <c r="L692" i="9" s="1"/>
  <c r="E692" i="9"/>
  <c r="D692" i="9"/>
  <c r="K691" i="9"/>
  <c r="G691" i="9"/>
  <c r="I691" i="9" s="1"/>
  <c r="F691" i="9"/>
  <c r="E691" i="9"/>
  <c r="D691" i="9"/>
  <c r="K690" i="9"/>
  <c r="L690" i="9" s="1"/>
  <c r="G690" i="9"/>
  <c r="I690" i="9" s="1"/>
  <c r="F690" i="9"/>
  <c r="E690" i="9"/>
  <c r="D690" i="9"/>
  <c r="K689" i="9"/>
  <c r="I689" i="9"/>
  <c r="H689" i="9"/>
  <c r="G689" i="9"/>
  <c r="J689" i="9" s="1"/>
  <c r="F689" i="9"/>
  <c r="L689" i="9" s="1"/>
  <c r="E689" i="9"/>
  <c r="D689" i="9"/>
  <c r="K688" i="9"/>
  <c r="G688" i="9"/>
  <c r="I688" i="9" s="1"/>
  <c r="F688" i="9"/>
  <c r="E688" i="9"/>
  <c r="D688" i="9"/>
  <c r="K687" i="9"/>
  <c r="J687" i="9"/>
  <c r="H687" i="9"/>
  <c r="G687" i="9"/>
  <c r="I687" i="9" s="1"/>
  <c r="F687" i="9"/>
  <c r="L687" i="9" s="1"/>
  <c r="E687" i="9"/>
  <c r="D687" i="9"/>
  <c r="K686" i="9"/>
  <c r="L686" i="9" s="1"/>
  <c r="G686" i="9"/>
  <c r="F686" i="9"/>
  <c r="E686" i="9"/>
  <c r="D686" i="9"/>
  <c r="K685" i="9"/>
  <c r="I685" i="9"/>
  <c r="H685" i="9"/>
  <c r="G685" i="9"/>
  <c r="J685" i="9" s="1"/>
  <c r="F685" i="9"/>
  <c r="E685" i="9"/>
  <c r="D685" i="9"/>
  <c r="K684" i="9"/>
  <c r="J684" i="9"/>
  <c r="H684" i="9"/>
  <c r="G684" i="9"/>
  <c r="I684" i="9" s="1"/>
  <c r="F684" i="9"/>
  <c r="L684" i="9" s="1"/>
  <c r="E684" i="9"/>
  <c r="D684" i="9"/>
  <c r="K683" i="9"/>
  <c r="G683" i="9"/>
  <c r="I683" i="9" s="1"/>
  <c r="F683" i="9"/>
  <c r="E683" i="9"/>
  <c r="D683" i="9"/>
  <c r="L682" i="9"/>
  <c r="K682" i="9"/>
  <c r="J682" i="9"/>
  <c r="G682" i="9"/>
  <c r="F682" i="9"/>
  <c r="E682" i="9"/>
  <c r="D682" i="9"/>
  <c r="K681" i="9"/>
  <c r="H681" i="9"/>
  <c r="G681" i="9"/>
  <c r="J681" i="9" s="1"/>
  <c r="F681" i="9"/>
  <c r="E681" i="9"/>
  <c r="D681" i="9"/>
  <c r="K680" i="9"/>
  <c r="J680" i="9"/>
  <c r="G680" i="9"/>
  <c r="I680" i="9" s="1"/>
  <c r="F680" i="9"/>
  <c r="L680" i="9" s="1"/>
  <c r="E680" i="9"/>
  <c r="D680" i="9"/>
  <c r="K679" i="9"/>
  <c r="G679" i="9"/>
  <c r="I679" i="9" s="1"/>
  <c r="F679" i="9"/>
  <c r="L679" i="9" s="1"/>
  <c r="E679" i="9"/>
  <c r="D679" i="9"/>
  <c r="K678" i="9"/>
  <c r="L678" i="9" s="1"/>
  <c r="G678" i="9"/>
  <c r="F678" i="9"/>
  <c r="E678" i="9"/>
  <c r="D678" i="9"/>
  <c r="K677" i="9"/>
  <c r="G677" i="9"/>
  <c r="F677" i="9"/>
  <c r="L677" i="9" s="1"/>
  <c r="E677" i="9"/>
  <c r="D677" i="9"/>
  <c r="K676" i="9"/>
  <c r="H676" i="9"/>
  <c r="G676" i="9"/>
  <c r="I676" i="9" s="1"/>
  <c r="F676" i="9"/>
  <c r="E676" i="9"/>
  <c r="D676" i="9"/>
  <c r="K675" i="9"/>
  <c r="J675" i="9"/>
  <c r="H675" i="9"/>
  <c r="G675" i="9"/>
  <c r="I675" i="9" s="1"/>
  <c r="F675" i="9"/>
  <c r="E675" i="9"/>
  <c r="D675" i="9"/>
  <c r="L674" i="9"/>
  <c r="K674" i="9"/>
  <c r="G674" i="9"/>
  <c r="F674" i="9"/>
  <c r="E674" i="9"/>
  <c r="D674" i="9"/>
  <c r="K673" i="9"/>
  <c r="I673" i="9"/>
  <c r="H673" i="9"/>
  <c r="G673" i="9"/>
  <c r="J673" i="9" s="1"/>
  <c r="F673" i="9"/>
  <c r="E673" i="9"/>
  <c r="D673" i="9"/>
  <c r="K672" i="9"/>
  <c r="J672" i="9"/>
  <c r="G672" i="9"/>
  <c r="F672" i="9"/>
  <c r="L672" i="9" s="1"/>
  <c r="E672" i="9"/>
  <c r="D672" i="9"/>
  <c r="K671" i="9"/>
  <c r="H671" i="9"/>
  <c r="G671" i="9"/>
  <c r="I671" i="9" s="1"/>
  <c r="F671" i="9"/>
  <c r="E671" i="9"/>
  <c r="D671" i="9"/>
  <c r="K670" i="9"/>
  <c r="L670" i="9" s="1"/>
  <c r="J670" i="9"/>
  <c r="G670" i="9"/>
  <c r="F670" i="9"/>
  <c r="E670" i="9"/>
  <c r="D670" i="9"/>
  <c r="K669" i="9"/>
  <c r="G669" i="9"/>
  <c r="F669" i="9"/>
  <c r="E669" i="9"/>
  <c r="D669" i="9"/>
  <c r="K668" i="9"/>
  <c r="J668" i="9"/>
  <c r="H668" i="9"/>
  <c r="G668" i="9"/>
  <c r="I668" i="9" s="1"/>
  <c r="F668" i="9"/>
  <c r="E668" i="9"/>
  <c r="D668" i="9"/>
  <c r="K667" i="9"/>
  <c r="G667" i="9"/>
  <c r="F667" i="9"/>
  <c r="E667" i="9"/>
  <c r="D667" i="9"/>
  <c r="L666" i="9"/>
  <c r="K666" i="9"/>
  <c r="J666" i="9"/>
  <c r="H666" i="9"/>
  <c r="G666" i="9"/>
  <c r="I666" i="9" s="1"/>
  <c r="F666" i="9"/>
  <c r="E666" i="9"/>
  <c r="D666" i="9"/>
  <c r="K665" i="9"/>
  <c r="H665" i="9"/>
  <c r="G665" i="9"/>
  <c r="J665" i="9" s="1"/>
  <c r="F665" i="9"/>
  <c r="L665" i="9" s="1"/>
  <c r="E665" i="9"/>
  <c r="D665" i="9"/>
  <c r="K664" i="9"/>
  <c r="H664" i="9"/>
  <c r="G664" i="9"/>
  <c r="F664" i="9"/>
  <c r="E664" i="9"/>
  <c r="D664" i="9"/>
  <c r="K663" i="9"/>
  <c r="J663" i="9"/>
  <c r="H663" i="9"/>
  <c r="G663" i="9"/>
  <c r="I663" i="9" s="1"/>
  <c r="F663" i="9"/>
  <c r="E663" i="9"/>
  <c r="D663" i="9"/>
  <c r="L662" i="9"/>
  <c r="K662" i="9"/>
  <c r="G662" i="9"/>
  <c r="F662" i="9"/>
  <c r="E662" i="9"/>
  <c r="D662" i="9"/>
  <c r="K661" i="9"/>
  <c r="J661" i="9"/>
  <c r="I661" i="9"/>
  <c r="H661" i="9"/>
  <c r="G661" i="9"/>
  <c r="F661" i="9"/>
  <c r="E661" i="9"/>
  <c r="D661" i="9"/>
  <c r="K660" i="9"/>
  <c r="G660" i="9"/>
  <c r="F660" i="9"/>
  <c r="L660" i="9" s="1"/>
  <c r="E660" i="9"/>
  <c r="D660" i="9"/>
  <c r="K659" i="9"/>
  <c r="L659" i="9" s="1"/>
  <c r="H659" i="9"/>
  <c r="G659" i="9"/>
  <c r="F659" i="9"/>
  <c r="E659" i="9"/>
  <c r="D659" i="9"/>
  <c r="K658" i="9"/>
  <c r="L658" i="9" s="1"/>
  <c r="J658" i="9"/>
  <c r="H658" i="9"/>
  <c r="G658" i="9"/>
  <c r="I658" i="9" s="1"/>
  <c r="F658" i="9"/>
  <c r="E658" i="9"/>
  <c r="D658" i="9"/>
  <c r="K657" i="9"/>
  <c r="G657" i="9"/>
  <c r="F657" i="9"/>
  <c r="L657" i="9" s="1"/>
  <c r="E657" i="9"/>
  <c r="D657" i="9"/>
  <c r="K656" i="9"/>
  <c r="J656" i="9"/>
  <c r="H656" i="9"/>
  <c r="G656" i="9"/>
  <c r="I656" i="9" s="1"/>
  <c r="F656" i="9"/>
  <c r="L656" i="9" s="1"/>
  <c r="E656" i="9"/>
  <c r="D656" i="9"/>
  <c r="K655" i="9"/>
  <c r="J655" i="9"/>
  <c r="H655" i="9"/>
  <c r="G655" i="9"/>
  <c r="I655" i="9" s="1"/>
  <c r="F655" i="9"/>
  <c r="L655" i="9" s="1"/>
  <c r="E655" i="9"/>
  <c r="D655" i="9"/>
  <c r="L654" i="9"/>
  <c r="K654" i="9"/>
  <c r="J654" i="9"/>
  <c r="G654" i="9"/>
  <c r="F654" i="9"/>
  <c r="E654" i="9"/>
  <c r="D654" i="9"/>
  <c r="K653" i="9"/>
  <c r="J653" i="9"/>
  <c r="I653" i="9"/>
  <c r="H653" i="9"/>
  <c r="G653" i="9"/>
  <c r="F653" i="9"/>
  <c r="E653" i="9"/>
  <c r="D653" i="9"/>
  <c r="K652" i="9"/>
  <c r="G652" i="9"/>
  <c r="F652" i="9"/>
  <c r="L652" i="9" s="1"/>
  <c r="E652" i="9"/>
  <c r="D652" i="9"/>
  <c r="K651" i="9"/>
  <c r="J651" i="9"/>
  <c r="H651" i="9"/>
  <c r="G651" i="9"/>
  <c r="I651" i="9" s="1"/>
  <c r="F651" i="9"/>
  <c r="E651" i="9"/>
  <c r="D651" i="9"/>
  <c r="K650" i="9"/>
  <c r="L650" i="9" s="1"/>
  <c r="J650" i="9"/>
  <c r="H650" i="9"/>
  <c r="G650" i="9"/>
  <c r="I650" i="9" s="1"/>
  <c r="F650" i="9"/>
  <c r="E650" i="9"/>
  <c r="D650" i="9"/>
  <c r="K649" i="9"/>
  <c r="I649" i="9"/>
  <c r="H649" i="9"/>
  <c r="G649" i="9"/>
  <c r="J649" i="9" s="1"/>
  <c r="F649" i="9"/>
  <c r="L649" i="9" s="1"/>
  <c r="E649" i="9"/>
  <c r="D649" i="9"/>
  <c r="K648" i="9"/>
  <c r="J648" i="9"/>
  <c r="H648" i="9"/>
  <c r="G648" i="9"/>
  <c r="I648" i="9" s="1"/>
  <c r="F648" i="9"/>
  <c r="E648" i="9"/>
  <c r="D648" i="9"/>
  <c r="K647" i="9"/>
  <c r="H647" i="9"/>
  <c r="G647" i="9"/>
  <c r="F647" i="9"/>
  <c r="E647" i="9"/>
  <c r="D647" i="9"/>
  <c r="L646" i="9"/>
  <c r="K646" i="9"/>
  <c r="J646" i="9"/>
  <c r="G646" i="9"/>
  <c r="F646" i="9"/>
  <c r="E646" i="9"/>
  <c r="D646" i="9"/>
  <c r="K645" i="9"/>
  <c r="G645" i="9"/>
  <c r="J645" i="9" s="1"/>
  <c r="F645" i="9"/>
  <c r="E645" i="9"/>
  <c r="D645" i="9"/>
  <c r="K644" i="9"/>
  <c r="J644" i="9"/>
  <c r="H644" i="9"/>
  <c r="G644" i="9"/>
  <c r="I644" i="9" s="1"/>
  <c r="F644" i="9"/>
  <c r="L644" i="9" s="1"/>
  <c r="E644" i="9"/>
  <c r="D644" i="9"/>
  <c r="K643" i="9"/>
  <c r="J643" i="9"/>
  <c r="H643" i="9"/>
  <c r="G643" i="9"/>
  <c r="I643" i="9" s="1"/>
  <c r="F643" i="9"/>
  <c r="E643" i="9"/>
  <c r="D643" i="9"/>
  <c r="L642" i="9"/>
  <c r="K642" i="9"/>
  <c r="G642" i="9"/>
  <c r="I642" i="9" s="1"/>
  <c r="F642" i="9"/>
  <c r="E642" i="9"/>
  <c r="D642" i="9"/>
  <c r="K641" i="9"/>
  <c r="G641" i="9"/>
  <c r="F641" i="9"/>
  <c r="L641" i="9" s="1"/>
  <c r="E641" i="9"/>
  <c r="D641" i="9"/>
  <c r="K640" i="9"/>
  <c r="G640" i="9"/>
  <c r="I640" i="9" s="1"/>
  <c r="F640" i="9"/>
  <c r="E640" i="9"/>
  <c r="D640" i="9"/>
  <c r="K639" i="9"/>
  <c r="G639" i="9"/>
  <c r="F639" i="9"/>
  <c r="L639" i="9" s="1"/>
  <c r="E639" i="9"/>
  <c r="D639" i="9"/>
  <c r="K638" i="9"/>
  <c r="L638" i="9" s="1"/>
  <c r="J638" i="9"/>
  <c r="G638" i="9"/>
  <c r="F638" i="9"/>
  <c r="E638" i="9"/>
  <c r="D638" i="9"/>
  <c r="K637" i="9"/>
  <c r="J637" i="9"/>
  <c r="I637" i="9"/>
  <c r="H637" i="9"/>
  <c r="G637" i="9"/>
  <c r="F637" i="9"/>
  <c r="E637" i="9"/>
  <c r="D637" i="9"/>
  <c r="K636" i="9"/>
  <c r="G636" i="9"/>
  <c r="F636" i="9"/>
  <c r="L636" i="9" s="1"/>
  <c r="E636" i="9"/>
  <c r="D636" i="9"/>
  <c r="K635" i="9"/>
  <c r="J635" i="9"/>
  <c r="H635" i="9"/>
  <c r="G635" i="9"/>
  <c r="I635" i="9" s="1"/>
  <c r="F635" i="9"/>
  <c r="E635" i="9"/>
  <c r="D635" i="9"/>
  <c r="K634" i="9"/>
  <c r="L634" i="9" s="1"/>
  <c r="G634" i="9"/>
  <c r="F634" i="9"/>
  <c r="E634" i="9"/>
  <c r="D634" i="9"/>
  <c r="K633" i="9"/>
  <c r="I633" i="9"/>
  <c r="H633" i="9"/>
  <c r="G633" i="9"/>
  <c r="J633" i="9" s="1"/>
  <c r="F633" i="9"/>
  <c r="E633" i="9"/>
  <c r="D633" i="9"/>
  <c r="K632" i="9"/>
  <c r="J632" i="9"/>
  <c r="H632" i="9"/>
  <c r="G632" i="9"/>
  <c r="I632" i="9" s="1"/>
  <c r="F632" i="9"/>
  <c r="L632" i="9" s="1"/>
  <c r="E632" i="9"/>
  <c r="D632" i="9"/>
  <c r="K631" i="9"/>
  <c r="G631" i="9"/>
  <c r="F631" i="9"/>
  <c r="L631" i="9" s="1"/>
  <c r="E631" i="9"/>
  <c r="D631" i="9"/>
  <c r="K630" i="9"/>
  <c r="L630" i="9" s="1"/>
  <c r="G630" i="9"/>
  <c r="F630" i="9"/>
  <c r="E630" i="9"/>
  <c r="D630" i="9"/>
  <c r="K629" i="9"/>
  <c r="J629" i="9"/>
  <c r="I629" i="9"/>
  <c r="H629" i="9"/>
  <c r="G629" i="9"/>
  <c r="F629" i="9"/>
  <c r="L629" i="9" s="1"/>
  <c r="E629" i="9"/>
  <c r="D629" i="9"/>
  <c r="K628" i="9"/>
  <c r="J628" i="9"/>
  <c r="H628" i="9"/>
  <c r="G628" i="9"/>
  <c r="I628" i="9" s="1"/>
  <c r="F628" i="9"/>
  <c r="E628" i="9"/>
  <c r="D628" i="9"/>
  <c r="K627" i="9"/>
  <c r="G627" i="9"/>
  <c r="F627" i="9"/>
  <c r="E627" i="9"/>
  <c r="D627" i="9"/>
  <c r="L626" i="9"/>
  <c r="K626" i="9"/>
  <c r="H626" i="9"/>
  <c r="G626" i="9"/>
  <c r="I626" i="9" s="1"/>
  <c r="F626" i="9"/>
  <c r="E626" i="9"/>
  <c r="D626" i="9"/>
  <c r="K625" i="9"/>
  <c r="I625" i="9"/>
  <c r="G625" i="9"/>
  <c r="J625" i="9" s="1"/>
  <c r="F625" i="9"/>
  <c r="E625" i="9"/>
  <c r="D625" i="9"/>
  <c r="K624" i="9"/>
  <c r="J624" i="9"/>
  <c r="H624" i="9"/>
  <c r="G624" i="9"/>
  <c r="I624" i="9" s="1"/>
  <c r="F624" i="9"/>
  <c r="L624" i="9" s="1"/>
  <c r="E624" i="9"/>
  <c r="D624" i="9"/>
  <c r="K623" i="9"/>
  <c r="J623" i="9"/>
  <c r="H623" i="9"/>
  <c r="G623" i="9"/>
  <c r="I623" i="9" s="1"/>
  <c r="F623" i="9"/>
  <c r="E623" i="9"/>
  <c r="D623" i="9"/>
  <c r="L622" i="9"/>
  <c r="K622" i="9"/>
  <c r="G622" i="9"/>
  <c r="F622" i="9"/>
  <c r="E622" i="9"/>
  <c r="D622" i="9"/>
  <c r="K621" i="9"/>
  <c r="G621" i="9"/>
  <c r="J621" i="9" s="1"/>
  <c r="F621" i="9"/>
  <c r="L621" i="9" s="1"/>
  <c r="E621" i="9"/>
  <c r="D621" i="9"/>
  <c r="K620" i="9"/>
  <c r="G620" i="9"/>
  <c r="F620" i="9"/>
  <c r="E620" i="9"/>
  <c r="D620" i="9"/>
  <c r="K619" i="9"/>
  <c r="G619" i="9"/>
  <c r="I619" i="9" s="1"/>
  <c r="F619" i="9"/>
  <c r="E619" i="9"/>
  <c r="D619" i="9"/>
  <c r="K618" i="9"/>
  <c r="L618" i="9" s="1"/>
  <c r="G618" i="9"/>
  <c r="F618" i="9"/>
  <c r="E618" i="9"/>
  <c r="D618" i="9"/>
  <c r="K617" i="9"/>
  <c r="I617" i="9"/>
  <c r="H617" i="9"/>
  <c r="G617" i="9"/>
  <c r="J617" i="9" s="1"/>
  <c r="F617" i="9"/>
  <c r="L617" i="9" s="1"/>
  <c r="E617" i="9"/>
  <c r="D617" i="9"/>
  <c r="K616" i="9"/>
  <c r="J616" i="9"/>
  <c r="H616" i="9"/>
  <c r="G616" i="9"/>
  <c r="I616" i="9" s="1"/>
  <c r="F616" i="9"/>
  <c r="L616" i="9" s="1"/>
  <c r="E616" i="9"/>
  <c r="D616" i="9"/>
  <c r="K615" i="9"/>
  <c r="G615" i="9"/>
  <c r="F615" i="9"/>
  <c r="E615" i="9"/>
  <c r="D615" i="9"/>
  <c r="L614" i="9"/>
  <c r="K614" i="9"/>
  <c r="G614" i="9"/>
  <c r="F614" i="9"/>
  <c r="E614" i="9"/>
  <c r="D614" i="9"/>
  <c r="K613" i="9"/>
  <c r="G613" i="9"/>
  <c r="F613" i="9"/>
  <c r="L613" i="9" s="1"/>
  <c r="E613" i="9"/>
  <c r="D613" i="9"/>
  <c r="K612" i="9"/>
  <c r="H612" i="9"/>
  <c r="G612" i="9"/>
  <c r="I612" i="9" s="1"/>
  <c r="F612" i="9"/>
  <c r="L612" i="9" s="1"/>
  <c r="E612" i="9"/>
  <c r="D612" i="9"/>
  <c r="K611" i="9"/>
  <c r="J611" i="9"/>
  <c r="H611" i="9"/>
  <c r="G611" i="9"/>
  <c r="I611" i="9" s="1"/>
  <c r="F611" i="9"/>
  <c r="E611" i="9"/>
  <c r="D611" i="9"/>
  <c r="L610" i="9"/>
  <c r="K610" i="9"/>
  <c r="J610" i="9"/>
  <c r="H610" i="9"/>
  <c r="G610" i="9"/>
  <c r="I610" i="9" s="1"/>
  <c r="F610" i="9"/>
  <c r="E610" i="9"/>
  <c r="D610" i="9"/>
  <c r="K609" i="9"/>
  <c r="I609" i="9"/>
  <c r="H609" i="9"/>
  <c r="G609" i="9"/>
  <c r="J609" i="9" s="1"/>
  <c r="F609" i="9"/>
  <c r="E609" i="9"/>
  <c r="D609" i="9"/>
  <c r="K608" i="9"/>
  <c r="G608" i="9"/>
  <c r="F608" i="9"/>
  <c r="L608" i="9" s="1"/>
  <c r="E608" i="9"/>
  <c r="D608" i="9"/>
  <c r="K607" i="9"/>
  <c r="J607" i="9"/>
  <c r="H607" i="9"/>
  <c r="G607" i="9"/>
  <c r="I607" i="9" s="1"/>
  <c r="F607" i="9"/>
  <c r="E607" i="9"/>
  <c r="D607" i="9"/>
  <c r="K606" i="9"/>
  <c r="L606" i="9" s="1"/>
  <c r="G606" i="9"/>
  <c r="F606" i="9"/>
  <c r="E606" i="9"/>
  <c r="D606" i="9"/>
  <c r="K605" i="9"/>
  <c r="J605" i="9"/>
  <c r="I605" i="9"/>
  <c r="H605" i="9"/>
  <c r="G605" i="9"/>
  <c r="F605" i="9"/>
  <c r="E605" i="9"/>
  <c r="D605" i="9"/>
  <c r="K604" i="9"/>
  <c r="G604" i="9"/>
  <c r="I604" i="9" s="1"/>
  <c r="F604" i="9"/>
  <c r="L604" i="9" s="1"/>
  <c r="E604" i="9"/>
  <c r="D604" i="9"/>
  <c r="K603" i="9"/>
  <c r="G603" i="9"/>
  <c r="F603" i="9"/>
  <c r="E603" i="9"/>
  <c r="D603" i="9"/>
  <c r="K602" i="9"/>
  <c r="L602" i="9" s="1"/>
  <c r="J602" i="9"/>
  <c r="H602" i="9"/>
  <c r="G602" i="9"/>
  <c r="I602" i="9" s="1"/>
  <c r="F602" i="9"/>
  <c r="E602" i="9"/>
  <c r="D602" i="9"/>
  <c r="K601" i="9"/>
  <c r="G601" i="9"/>
  <c r="F601" i="9"/>
  <c r="L601" i="9" s="1"/>
  <c r="E601" i="9"/>
  <c r="D601" i="9"/>
  <c r="K600" i="9"/>
  <c r="G600" i="9"/>
  <c r="I600" i="9" s="1"/>
  <c r="F600" i="9"/>
  <c r="E600" i="9"/>
  <c r="D600" i="9"/>
  <c r="K599" i="9"/>
  <c r="H599" i="9"/>
  <c r="G599" i="9"/>
  <c r="I599" i="9" s="1"/>
  <c r="F599" i="9"/>
  <c r="L599" i="9" s="1"/>
  <c r="E599" i="9"/>
  <c r="D599" i="9"/>
  <c r="K598" i="9"/>
  <c r="L598" i="9" s="1"/>
  <c r="G598" i="9"/>
  <c r="F598" i="9"/>
  <c r="E598" i="9"/>
  <c r="D598" i="9"/>
  <c r="K597" i="9"/>
  <c r="J597" i="9"/>
  <c r="I597" i="9"/>
  <c r="H597" i="9"/>
  <c r="G597" i="9"/>
  <c r="F597" i="9"/>
  <c r="E597" i="9"/>
  <c r="D597" i="9"/>
  <c r="K596" i="9"/>
  <c r="G596" i="9"/>
  <c r="I596" i="9" s="1"/>
  <c r="F596" i="9"/>
  <c r="L596" i="9" s="1"/>
  <c r="E596" i="9"/>
  <c r="D596" i="9"/>
  <c r="K595" i="9"/>
  <c r="J595" i="9"/>
  <c r="H595" i="9"/>
  <c r="G595" i="9"/>
  <c r="I595" i="9" s="1"/>
  <c r="F595" i="9"/>
  <c r="E595" i="9"/>
  <c r="D595" i="9"/>
  <c r="K594" i="9"/>
  <c r="L594" i="9" s="1"/>
  <c r="G594" i="9"/>
  <c r="F594" i="9"/>
  <c r="E594" i="9"/>
  <c r="D594" i="9"/>
  <c r="K593" i="9"/>
  <c r="H593" i="9"/>
  <c r="G593" i="9"/>
  <c r="F593" i="9"/>
  <c r="L593" i="9" s="1"/>
  <c r="E593" i="9"/>
  <c r="D593" i="9"/>
  <c r="K592" i="9"/>
  <c r="G592" i="9"/>
  <c r="F592" i="9"/>
  <c r="L592" i="9" s="1"/>
  <c r="E592" i="9"/>
  <c r="D592" i="9"/>
  <c r="K591" i="9"/>
  <c r="J591" i="9"/>
  <c r="H591" i="9"/>
  <c r="G591" i="9"/>
  <c r="I591" i="9" s="1"/>
  <c r="F591" i="9"/>
  <c r="L591" i="9" s="1"/>
  <c r="E591" i="9"/>
  <c r="D591" i="9"/>
  <c r="K590" i="9"/>
  <c r="L590" i="9" s="1"/>
  <c r="J590" i="9"/>
  <c r="G590" i="9"/>
  <c r="F590" i="9"/>
  <c r="E590" i="9"/>
  <c r="D590" i="9"/>
  <c r="K589" i="9"/>
  <c r="G589" i="9"/>
  <c r="F589" i="9"/>
  <c r="L589" i="9" s="1"/>
  <c r="E589" i="9"/>
  <c r="D589" i="9"/>
  <c r="K588" i="9"/>
  <c r="G588" i="9"/>
  <c r="F588" i="9"/>
  <c r="L588" i="9" s="1"/>
  <c r="E588" i="9"/>
  <c r="D588" i="9"/>
  <c r="K587" i="9"/>
  <c r="G587" i="9"/>
  <c r="I587" i="9" s="1"/>
  <c r="F587" i="9"/>
  <c r="E587" i="9"/>
  <c r="D587" i="9"/>
  <c r="K586" i="9"/>
  <c r="L586" i="9" s="1"/>
  <c r="J586" i="9"/>
  <c r="H586" i="9"/>
  <c r="G586" i="9"/>
  <c r="I586" i="9" s="1"/>
  <c r="F586" i="9"/>
  <c r="E586" i="9"/>
  <c r="D586" i="9"/>
  <c r="K585" i="9"/>
  <c r="I585" i="9"/>
  <c r="H585" i="9"/>
  <c r="G585" i="9"/>
  <c r="J585" i="9" s="1"/>
  <c r="F585" i="9"/>
  <c r="E585" i="9"/>
  <c r="D585" i="9"/>
  <c r="K584" i="9"/>
  <c r="G584" i="9"/>
  <c r="F584" i="9"/>
  <c r="L584" i="9" s="1"/>
  <c r="E584" i="9"/>
  <c r="D584" i="9"/>
  <c r="K583" i="9"/>
  <c r="H583" i="9"/>
  <c r="G583" i="9"/>
  <c r="F583" i="9"/>
  <c r="E583" i="9"/>
  <c r="D583" i="9"/>
  <c r="K582" i="9"/>
  <c r="L582" i="9" s="1"/>
  <c r="G582" i="9"/>
  <c r="F582" i="9"/>
  <c r="E582" i="9"/>
  <c r="D582" i="9"/>
  <c r="K581" i="9"/>
  <c r="G581" i="9"/>
  <c r="J581" i="9" s="1"/>
  <c r="F581" i="9"/>
  <c r="E581" i="9"/>
  <c r="D581" i="9"/>
  <c r="K580" i="9"/>
  <c r="J580" i="9"/>
  <c r="H580" i="9"/>
  <c r="G580" i="9"/>
  <c r="I580" i="9" s="1"/>
  <c r="F580" i="9"/>
  <c r="E580" i="9"/>
  <c r="D580" i="9"/>
  <c r="K579" i="9"/>
  <c r="G579" i="9"/>
  <c r="I579" i="9" s="1"/>
  <c r="F579" i="9"/>
  <c r="E579" i="9"/>
  <c r="D579" i="9"/>
  <c r="L578" i="9"/>
  <c r="K578" i="9"/>
  <c r="G578" i="9"/>
  <c r="I578" i="9" s="1"/>
  <c r="F578" i="9"/>
  <c r="E578" i="9"/>
  <c r="D578" i="9"/>
  <c r="K577" i="9"/>
  <c r="G577" i="9"/>
  <c r="J577" i="9" s="1"/>
  <c r="F577" i="9"/>
  <c r="L577" i="9" s="1"/>
  <c r="E577" i="9"/>
  <c r="D577" i="9"/>
  <c r="K576" i="9"/>
  <c r="G576" i="9"/>
  <c r="I576" i="9" s="1"/>
  <c r="F576" i="9"/>
  <c r="L576" i="9" s="1"/>
  <c r="E576" i="9"/>
  <c r="D576" i="9"/>
  <c r="K575" i="9"/>
  <c r="J575" i="9"/>
  <c r="H575" i="9"/>
  <c r="G575" i="9"/>
  <c r="I575" i="9" s="1"/>
  <c r="F575" i="9"/>
  <c r="E575" i="9"/>
  <c r="D575" i="9"/>
  <c r="K574" i="9"/>
  <c r="G574" i="9"/>
  <c r="F574" i="9"/>
  <c r="L574" i="9" s="1"/>
  <c r="E574" i="9"/>
  <c r="D574" i="9"/>
  <c r="K573" i="9"/>
  <c r="L573" i="9" s="1"/>
  <c r="H573" i="9"/>
  <c r="G573" i="9"/>
  <c r="J573" i="9" s="1"/>
  <c r="F573" i="9"/>
  <c r="E573" i="9"/>
  <c r="D573" i="9"/>
  <c r="K572" i="9"/>
  <c r="L572" i="9" s="1"/>
  <c r="J572" i="9"/>
  <c r="H572" i="9"/>
  <c r="G572" i="9"/>
  <c r="I572" i="9" s="1"/>
  <c r="F572" i="9"/>
  <c r="E572" i="9"/>
  <c r="D572" i="9"/>
  <c r="K571" i="9"/>
  <c r="G571" i="9"/>
  <c r="F571" i="9"/>
  <c r="L571" i="9" s="1"/>
  <c r="E571" i="9"/>
  <c r="D571" i="9"/>
  <c r="L570" i="9"/>
  <c r="K570" i="9"/>
  <c r="H570" i="9"/>
  <c r="G570" i="9"/>
  <c r="I570" i="9" s="1"/>
  <c r="F570" i="9"/>
  <c r="E570" i="9"/>
  <c r="D570" i="9"/>
  <c r="K569" i="9"/>
  <c r="L569" i="9" s="1"/>
  <c r="G569" i="9"/>
  <c r="F569" i="9"/>
  <c r="E569" i="9"/>
  <c r="D569" i="9"/>
  <c r="K568" i="9"/>
  <c r="J568" i="9"/>
  <c r="I568" i="9"/>
  <c r="H568" i="9"/>
  <c r="G568" i="9"/>
  <c r="F568" i="9"/>
  <c r="L568" i="9" s="1"/>
  <c r="E568" i="9"/>
  <c r="D568" i="9"/>
  <c r="K567" i="9"/>
  <c r="G567" i="9"/>
  <c r="J567" i="9" s="1"/>
  <c r="F567" i="9"/>
  <c r="E567" i="9"/>
  <c r="D567" i="9"/>
  <c r="K566" i="9"/>
  <c r="G566" i="9"/>
  <c r="I566" i="9" s="1"/>
  <c r="F566" i="9"/>
  <c r="E566" i="9"/>
  <c r="D566" i="9"/>
  <c r="K565" i="9"/>
  <c r="L565" i="9" s="1"/>
  <c r="G565" i="9"/>
  <c r="F565" i="9"/>
  <c r="E565" i="9"/>
  <c r="D565" i="9"/>
  <c r="L564" i="9"/>
  <c r="K564" i="9"/>
  <c r="G564" i="9"/>
  <c r="J564" i="9" s="1"/>
  <c r="F564" i="9"/>
  <c r="E564" i="9"/>
  <c r="D564" i="9"/>
  <c r="K563" i="9"/>
  <c r="J563" i="9"/>
  <c r="I563" i="9"/>
  <c r="H563" i="9"/>
  <c r="G563" i="9"/>
  <c r="F563" i="9"/>
  <c r="E563" i="9"/>
  <c r="D563" i="9"/>
  <c r="K562" i="9"/>
  <c r="G562" i="9"/>
  <c r="F562" i="9"/>
  <c r="L562" i="9" s="1"/>
  <c r="E562" i="9"/>
  <c r="D562" i="9"/>
  <c r="L561" i="9"/>
  <c r="K561" i="9"/>
  <c r="G561" i="9"/>
  <c r="J561" i="9" s="1"/>
  <c r="F561" i="9"/>
  <c r="E561" i="9"/>
  <c r="D561" i="9"/>
  <c r="K560" i="9"/>
  <c r="L560" i="9" s="1"/>
  <c r="J560" i="9"/>
  <c r="I560" i="9"/>
  <c r="H560" i="9"/>
  <c r="G560" i="9"/>
  <c r="F560" i="9"/>
  <c r="E560" i="9"/>
  <c r="D560" i="9"/>
  <c r="K559" i="9"/>
  <c r="I559" i="9"/>
  <c r="H559" i="9"/>
  <c r="G559" i="9"/>
  <c r="J559" i="9" s="1"/>
  <c r="F559" i="9"/>
  <c r="L559" i="9" s="1"/>
  <c r="E559" i="9"/>
  <c r="D559" i="9"/>
  <c r="K558" i="9"/>
  <c r="J558" i="9"/>
  <c r="H558" i="9"/>
  <c r="G558" i="9"/>
  <c r="I558" i="9" s="1"/>
  <c r="F558" i="9"/>
  <c r="L558" i="9" s="1"/>
  <c r="E558" i="9"/>
  <c r="D558" i="9"/>
  <c r="L557" i="9"/>
  <c r="K557" i="9"/>
  <c r="J557" i="9"/>
  <c r="G557" i="9"/>
  <c r="I557" i="9" s="1"/>
  <c r="F557" i="9"/>
  <c r="E557" i="9"/>
  <c r="D557" i="9"/>
  <c r="K556" i="9"/>
  <c r="L556" i="9" s="1"/>
  <c r="J556" i="9"/>
  <c r="I556" i="9"/>
  <c r="H556" i="9"/>
  <c r="G556" i="9"/>
  <c r="F556" i="9"/>
  <c r="E556" i="9"/>
  <c r="D556" i="9"/>
  <c r="K555" i="9"/>
  <c r="G555" i="9"/>
  <c r="I555" i="9" s="1"/>
  <c r="F555" i="9"/>
  <c r="L555" i="9" s="1"/>
  <c r="E555" i="9"/>
  <c r="D555" i="9"/>
  <c r="K554" i="9"/>
  <c r="L554" i="9" s="1"/>
  <c r="G554" i="9"/>
  <c r="I554" i="9" s="1"/>
  <c r="F554" i="9"/>
  <c r="E554" i="9"/>
  <c r="D554" i="9"/>
  <c r="K553" i="9"/>
  <c r="L553" i="9" s="1"/>
  <c r="G553" i="9"/>
  <c r="F553" i="9"/>
  <c r="E553" i="9"/>
  <c r="D553" i="9"/>
  <c r="K552" i="9"/>
  <c r="G552" i="9"/>
  <c r="F552" i="9"/>
  <c r="L552" i="9" s="1"/>
  <c r="E552" i="9"/>
  <c r="D552" i="9"/>
  <c r="K551" i="9"/>
  <c r="J551" i="9"/>
  <c r="I551" i="9"/>
  <c r="H551" i="9"/>
  <c r="G551" i="9"/>
  <c r="F551" i="9"/>
  <c r="E551" i="9"/>
  <c r="D551" i="9"/>
  <c r="L550" i="9"/>
  <c r="K550" i="9"/>
  <c r="J550" i="9"/>
  <c r="H550" i="9"/>
  <c r="G550" i="9"/>
  <c r="I550" i="9" s="1"/>
  <c r="F550" i="9"/>
  <c r="E550" i="9"/>
  <c r="D550" i="9"/>
  <c r="K549" i="9"/>
  <c r="L549" i="9" s="1"/>
  <c r="H549" i="9"/>
  <c r="G549" i="9"/>
  <c r="F549" i="9"/>
  <c r="E549" i="9"/>
  <c r="D549" i="9"/>
  <c r="L548" i="9"/>
  <c r="K548" i="9"/>
  <c r="J548" i="9"/>
  <c r="G548" i="9"/>
  <c r="I548" i="9" s="1"/>
  <c r="F548" i="9"/>
  <c r="E548" i="9"/>
  <c r="D548" i="9"/>
  <c r="K547" i="9"/>
  <c r="J547" i="9"/>
  <c r="I547" i="9"/>
  <c r="H547" i="9"/>
  <c r="G547" i="9"/>
  <c r="F547" i="9"/>
  <c r="E547" i="9"/>
  <c r="D547" i="9"/>
  <c r="K546" i="9"/>
  <c r="H546" i="9"/>
  <c r="G546" i="9"/>
  <c r="F546" i="9"/>
  <c r="L546" i="9" s="1"/>
  <c r="E546" i="9"/>
  <c r="D546" i="9"/>
  <c r="L545" i="9"/>
  <c r="K545" i="9"/>
  <c r="I545" i="9"/>
  <c r="G545" i="9"/>
  <c r="J545" i="9" s="1"/>
  <c r="F545" i="9"/>
  <c r="E545" i="9"/>
  <c r="D545" i="9"/>
  <c r="L544" i="9"/>
  <c r="K544" i="9"/>
  <c r="J544" i="9"/>
  <c r="I544" i="9"/>
  <c r="H544" i="9"/>
  <c r="G544" i="9"/>
  <c r="F544" i="9"/>
  <c r="E544" i="9"/>
  <c r="D544" i="9"/>
  <c r="K543" i="9"/>
  <c r="G543" i="9"/>
  <c r="F543" i="9"/>
  <c r="L543" i="9" s="1"/>
  <c r="E543" i="9"/>
  <c r="D543" i="9"/>
  <c r="K542" i="9"/>
  <c r="G542" i="9"/>
  <c r="I542" i="9" s="1"/>
  <c r="F542" i="9"/>
  <c r="L542" i="9" s="1"/>
  <c r="E542" i="9"/>
  <c r="D542" i="9"/>
  <c r="K541" i="9"/>
  <c r="L541" i="9" s="1"/>
  <c r="J541" i="9"/>
  <c r="I541" i="9"/>
  <c r="G541" i="9"/>
  <c r="H541" i="9" s="1"/>
  <c r="F541" i="9"/>
  <c r="E541" i="9"/>
  <c r="D541" i="9"/>
  <c r="K540" i="9"/>
  <c r="I540" i="9"/>
  <c r="G540" i="9"/>
  <c r="J540" i="9" s="1"/>
  <c r="F540" i="9"/>
  <c r="L540" i="9" s="1"/>
  <c r="E540" i="9"/>
  <c r="D540" i="9"/>
  <c r="K539" i="9"/>
  <c r="J539" i="9"/>
  <c r="I539" i="9"/>
  <c r="H539" i="9"/>
  <c r="G539" i="9"/>
  <c r="F539" i="9"/>
  <c r="L539" i="9" s="1"/>
  <c r="E539" i="9"/>
  <c r="D539" i="9"/>
  <c r="K538" i="9"/>
  <c r="L538" i="9" s="1"/>
  <c r="H538" i="9"/>
  <c r="G538" i="9"/>
  <c r="F538" i="9"/>
  <c r="E538" i="9"/>
  <c r="D538" i="9"/>
  <c r="L537" i="9"/>
  <c r="K537" i="9"/>
  <c r="I537" i="9"/>
  <c r="H537" i="9"/>
  <c r="G537" i="9"/>
  <c r="J537" i="9" s="1"/>
  <c r="F537" i="9"/>
  <c r="E537" i="9"/>
  <c r="D537" i="9"/>
  <c r="K536" i="9"/>
  <c r="I536" i="9"/>
  <c r="G536" i="9"/>
  <c r="J536" i="9" s="1"/>
  <c r="F536" i="9"/>
  <c r="L536" i="9" s="1"/>
  <c r="E536" i="9"/>
  <c r="D536" i="9"/>
  <c r="K535" i="9"/>
  <c r="J535" i="9"/>
  <c r="G535" i="9"/>
  <c r="I535" i="9" s="1"/>
  <c r="F535" i="9"/>
  <c r="L535" i="9" s="1"/>
  <c r="E535" i="9"/>
  <c r="D535" i="9"/>
  <c r="K534" i="9"/>
  <c r="J534" i="9"/>
  <c r="H534" i="9"/>
  <c r="G534" i="9"/>
  <c r="I534" i="9" s="1"/>
  <c r="F534" i="9"/>
  <c r="L534" i="9" s="1"/>
  <c r="E534" i="9"/>
  <c r="D534" i="9"/>
  <c r="L533" i="9"/>
  <c r="K533" i="9"/>
  <c r="G533" i="9"/>
  <c r="F533" i="9"/>
  <c r="E533" i="9"/>
  <c r="D533" i="9"/>
  <c r="L532" i="9"/>
  <c r="K532" i="9"/>
  <c r="G532" i="9"/>
  <c r="J532" i="9" s="1"/>
  <c r="F532" i="9"/>
  <c r="E532" i="9"/>
  <c r="D532" i="9"/>
  <c r="K531" i="9"/>
  <c r="G531" i="9"/>
  <c r="I531" i="9" s="1"/>
  <c r="F531" i="9"/>
  <c r="E531" i="9"/>
  <c r="D531" i="9"/>
  <c r="K530" i="9"/>
  <c r="G530" i="9"/>
  <c r="F530" i="9"/>
  <c r="L530" i="9" s="1"/>
  <c r="E530" i="9"/>
  <c r="D530" i="9"/>
  <c r="L529" i="9"/>
  <c r="K529" i="9"/>
  <c r="G529" i="9"/>
  <c r="J529" i="9" s="1"/>
  <c r="F529" i="9"/>
  <c r="E529" i="9"/>
  <c r="D529" i="9"/>
  <c r="L528" i="9"/>
  <c r="K528" i="9"/>
  <c r="J528" i="9"/>
  <c r="I528" i="9"/>
  <c r="H528" i="9"/>
  <c r="G528" i="9"/>
  <c r="F528" i="9"/>
  <c r="E528" i="9"/>
  <c r="D528" i="9"/>
  <c r="K527" i="9"/>
  <c r="J527" i="9"/>
  <c r="I527" i="9"/>
  <c r="H527" i="9"/>
  <c r="G527" i="9"/>
  <c r="F527" i="9"/>
  <c r="L527" i="9" s="1"/>
  <c r="E527" i="9"/>
  <c r="D527" i="9"/>
  <c r="K526" i="9"/>
  <c r="J526" i="9"/>
  <c r="H526" i="9"/>
  <c r="G526" i="9"/>
  <c r="I526" i="9" s="1"/>
  <c r="F526" i="9"/>
  <c r="L526" i="9" s="1"/>
  <c r="E526" i="9"/>
  <c r="D526" i="9"/>
  <c r="K525" i="9"/>
  <c r="L525" i="9" s="1"/>
  <c r="J525" i="9"/>
  <c r="I525" i="9"/>
  <c r="H525" i="9"/>
  <c r="G525" i="9"/>
  <c r="F525" i="9"/>
  <c r="E525" i="9"/>
  <c r="D525" i="9"/>
  <c r="K524" i="9"/>
  <c r="J524" i="9"/>
  <c r="H524" i="9"/>
  <c r="G524" i="9"/>
  <c r="I524" i="9" s="1"/>
  <c r="F524" i="9"/>
  <c r="L524" i="9" s="1"/>
  <c r="E524" i="9"/>
  <c r="D524" i="9"/>
  <c r="K523" i="9"/>
  <c r="J523" i="9"/>
  <c r="I523" i="9"/>
  <c r="H523" i="9"/>
  <c r="G523" i="9"/>
  <c r="F523" i="9"/>
  <c r="L523" i="9" s="1"/>
  <c r="E523" i="9"/>
  <c r="D523" i="9"/>
  <c r="K522" i="9"/>
  <c r="L522" i="9" s="1"/>
  <c r="J522" i="9"/>
  <c r="H522" i="9"/>
  <c r="G522" i="9"/>
  <c r="I522" i="9" s="1"/>
  <c r="F522" i="9"/>
  <c r="E522" i="9"/>
  <c r="D522" i="9"/>
  <c r="K521" i="9"/>
  <c r="L521" i="9" s="1"/>
  <c r="G521" i="9"/>
  <c r="J521" i="9" s="1"/>
  <c r="F521" i="9"/>
  <c r="E521" i="9"/>
  <c r="D521" i="9"/>
  <c r="K520" i="9"/>
  <c r="J520" i="9"/>
  <c r="I520" i="9"/>
  <c r="H520" i="9"/>
  <c r="G520" i="9"/>
  <c r="F520" i="9"/>
  <c r="L520" i="9" s="1"/>
  <c r="E520" i="9"/>
  <c r="D520" i="9"/>
  <c r="K519" i="9"/>
  <c r="J519" i="9"/>
  <c r="G519" i="9"/>
  <c r="I519" i="9" s="1"/>
  <c r="F519" i="9"/>
  <c r="E519" i="9"/>
  <c r="D519" i="9"/>
  <c r="K518" i="9"/>
  <c r="J518" i="9"/>
  <c r="H518" i="9"/>
  <c r="G518" i="9"/>
  <c r="I518" i="9" s="1"/>
  <c r="F518" i="9"/>
  <c r="L518" i="9" s="1"/>
  <c r="E518" i="9"/>
  <c r="D518" i="9"/>
  <c r="K517" i="9"/>
  <c r="L517" i="9" s="1"/>
  <c r="J517" i="9"/>
  <c r="I517" i="9"/>
  <c r="G517" i="9"/>
  <c r="H517" i="9" s="1"/>
  <c r="F517" i="9"/>
  <c r="E517" i="9"/>
  <c r="D517" i="9"/>
  <c r="L516" i="9"/>
  <c r="K516" i="9"/>
  <c r="J516" i="9"/>
  <c r="G516" i="9"/>
  <c r="I516" i="9" s="1"/>
  <c r="F516" i="9"/>
  <c r="E516" i="9"/>
  <c r="D516" i="9"/>
  <c r="K515" i="9"/>
  <c r="J515" i="9"/>
  <c r="I515" i="9"/>
  <c r="H515" i="9"/>
  <c r="G515" i="9"/>
  <c r="F515" i="9"/>
  <c r="L515" i="9" s="1"/>
  <c r="E515" i="9"/>
  <c r="D515" i="9"/>
  <c r="L514" i="9"/>
  <c r="K514" i="9"/>
  <c r="H514" i="9"/>
  <c r="G514" i="9"/>
  <c r="F514" i="9"/>
  <c r="E514" i="9"/>
  <c r="D514" i="9"/>
  <c r="L513" i="9"/>
  <c r="K513" i="9"/>
  <c r="J513" i="9"/>
  <c r="G513" i="9"/>
  <c r="I513" i="9" s="1"/>
  <c r="F513" i="9"/>
  <c r="E513" i="9"/>
  <c r="D513" i="9"/>
  <c r="K512" i="9"/>
  <c r="L512" i="9" s="1"/>
  <c r="J512" i="9"/>
  <c r="I512" i="9"/>
  <c r="H512" i="9"/>
  <c r="G512" i="9"/>
  <c r="F512" i="9"/>
  <c r="E512" i="9"/>
  <c r="D512" i="9"/>
  <c r="K511" i="9"/>
  <c r="G511" i="9"/>
  <c r="F511" i="9"/>
  <c r="L511" i="9" s="1"/>
  <c r="E511" i="9"/>
  <c r="D511" i="9"/>
  <c r="L510" i="9"/>
  <c r="K510" i="9"/>
  <c r="J510" i="9"/>
  <c r="H510" i="9"/>
  <c r="G510" i="9"/>
  <c r="I510" i="9" s="1"/>
  <c r="F510" i="9"/>
  <c r="E510" i="9"/>
  <c r="D510" i="9"/>
  <c r="K509" i="9"/>
  <c r="L509" i="9" s="1"/>
  <c r="J509" i="9"/>
  <c r="I509" i="9"/>
  <c r="H509" i="9"/>
  <c r="G509" i="9"/>
  <c r="F509" i="9"/>
  <c r="E509" i="9"/>
  <c r="D509" i="9"/>
  <c r="K508" i="9"/>
  <c r="I508" i="9"/>
  <c r="G508" i="9"/>
  <c r="J508" i="9" s="1"/>
  <c r="F508" i="9"/>
  <c r="L508" i="9" s="1"/>
  <c r="E508" i="9"/>
  <c r="D508" i="9"/>
  <c r="K507" i="9"/>
  <c r="G507" i="9"/>
  <c r="I507" i="9" s="1"/>
  <c r="F507" i="9"/>
  <c r="L507" i="9" s="1"/>
  <c r="E507" i="9"/>
  <c r="D507" i="9"/>
  <c r="K506" i="9"/>
  <c r="L506" i="9" s="1"/>
  <c r="J506" i="9"/>
  <c r="H506" i="9"/>
  <c r="G506" i="9"/>
  <c r="I506" i="9" s="1"/>
  <c r="F506" i="9"/>
  <c r="E506" i="9"/>
  <c r="D506" i="9"/>
  <c r="L505" i="9"/>
  <c r="K505" i="9"/>
  <c r="I505" i="9"/>
  <c r="H505" i="9"/>
  <c r="G505" i="9"/>
  <c r="J505" i="9" s="1"/>
  <c r="F505" i="9"/>
  <c r="E505" i="9"/>
  <c r="D505" i="9"/>
  <c r="K504" i="9"/>
  <c r="I504" i="9"/>
  <c r="G504" i="9"/>
  <c r="J504" i="9" s="1"/>
  <c r="F504" i="9"/>
  <c r="L504" i="9" s="1"/>
  <c r="E504" i="9"/>
  <c r="D504" i="9"/>
  <c r="K503" i="9"/>
  <c r="J503" i="9"/>
  <c r="I503" i="9"/>
  <c r="H503" i="9"/>
  <c r="G503" i="9"/>
  <c r="F503" i="9"/>
  <c r="E503" i="9"/>
  <c r="D503" i="9"/>
  <c r="K502" i="9"/>
  <c r="H502" i="9"/>
  <c r="G502" i="9"/>
  <c r="F502" i="9"/>
  <c r="L502" i="9" s="1"/>
  <c r="E502" i="9"/>
  <c r="D502" i="9"/>
  <c r="K501" i="9"/>
  <c r="L501" i="9" s="1"/>
  <c r="I501" i="9"/>
  <c r="G501" i="9"/>
  <c r="J501" i="9" s="1"/>
  <c r="F501" i="9"/>
  <c r="E501" i="9"/>
  <c r="D501" i="9"/>
  <c r="K500" i="9"/>
  <c r="L500" i="9" s="1"/>
  <c r="G500" i="9"/>
  <c r="I500" i="9" s="1"/>
  <c r="F500" i="9"/>
  <c r="E500" i="9"/>
  <c r="D500" i="9"/>
  <c r="K499" i="9"/>
  <c r="G499" i="9"/>
  <c r="J499" i="9" s="1"/>
  <c r="F499" i="9"/>
  <c r="L499" i="9" s="1"/>
  <c r="E499" i="9"/>
  <c r="D499" i="9"/>
  <c r="K498" i="9"/>
  <c r="J498" i="9"/>
  <c r="G498" i="9"/>
  <c r="I498" i="9" s="1"/>
  <c r="F498" i="9"/>
  <c r="L498" i="9" s="1"/>
  <c r="E498" i="9"/>
  <c r="D498" i="9"/>
  <c r="K497" i="9"/>
  <c r="L497" i="9" s="1"/>
  <c r="G497" i="9"/>
  <c r="J497" i="9" s="1"/>
  <c r="F497" i="9"/>
  <c r="E497" i="9"/>
  <c r="D497" i="9"/>
  <c r="K496" i="9"/>
  <c r="L496" i="9" s="1"/>
  <c r="J496" i="9"/>
  <c r="I496" i="9"/>
  <c r="H496" i="9"/>
  <c r="G496" i="9"/>
  <c r="F496" i="9"/>
  <c r="E496" i="9"/>
  <c r="D496" i="9"/>
  <c r="K495" i="9"/>
  <c r="G495" i="9"/>
  <c r="F495" i="9"/>
  <c r="L495" i="9" s="1"/>
  <c r="E495" i="9"/>
  <c r="D495" i="9"/>
  <c r="K494" i="9"/>
  <c r="G494" i="9"/>
  <c r="I494" i="9" s="1"/>
  <c r="F494" i="9"/>
  <c r="E494" i="9"/>
  <c r="D494" i="9"/>
  <c r="K493" i="9"/>
  <c r="L493" i="9" s="1"/>
  <c r="I493" i="9"/>
  <c r="G493" i="9"/>
  <c r="H493" i="9" s="1"/>
  <c r="F493" i="9"/>
  <c r="E493" i="9"/>
  <c r="D493" i="9"/>
  <c r="K492" i="9"/>
  <c r="G492" i="9"/>
  <c r="F492" i="9"/>
  <c r="L492" i="9" s="1"/>
  <c r="E492" i="9"/>
  <c r="D492" i="9"/>
  <c r="K491" i="9"/>
  <c r="J491" i="9"/>
  <c r="H491" i="9"/>
  <c r="G491" i="9"/>
  <c r="I491" i="9" s="1"/>
  <c r="F491" i="9"/>
  <c r="E491" i="9"/>
  <c r="D491" i="9"/>
  <c r="K490" i="9"/>
  <c r="L490" i="9" s="1"/>
  <c r="G490" i="9"/>
  <c r="F490" i="9"/>
  <c r="E490" i="9"/>
  <c r="D490" i="9"/>
  <c r="L489" i="9"/>
  <c r="K489" i="9"/>
  <c r="G489" i="9"/>
  <c r="F489" i="9"/>
  <c r="E489" i="9"/>
  <c r="D489" i="9"/>
  <c r="L488" i="9"/>
  <c r="K488" i="9"/>
  <c r="G488" i="9"/>
  <c r="J488" i="9" s="1"/>
  <c r="F488" i="9"/>
  <c r="E488" i="9"/>
  <c r="D488" i="9"/>
  <c r="K487" i="9"/>
  <c r="J487" i="9"/>
  <c r="I487" i="9"/>
  <c r="H487" i="9"/>
  <c r="G487" i="9"/>
  <c r="F487" i="9"/>
  <c r="L487" i="9" s="1"/>
  <c r="E487" i="9"/>
  <c r="D487" i="9"/>
  <c r="K486" i="9"/>
  <c r="J486" i="9"/>
  <c r="H486" i="9"/>
  <c r="G486" i="9"/>
  <c r="I486" i="9" s="1"/>
  <c r="F486" i="9"/>
  <c r="L486" i="9" s="1"/>
  <c r="E486" i="9"/>
  <c r="D486" i="9"/>
  <c r="L485" i="9"/>
  <c r="K485" i="9"/>
  <c r="J485" i="9"/>
  <c r="I485" i="9"/>
  <c r="H485" i="9"/>
  <c r="G485" i="9"/>
  <c r="F485" i="9"/>
  <c r="E485" i="9"/>
  <c r="D485" i="9"/>
  <c r="L484" i="9"/>
  <c r="K484" i="9"/>
  <c r="J484" i="9"/>
  <c r="G484" i="9"/>
  <c r="I484" i="9" s="1"/>
  <c r="F484" i="9"/>
  <c r="E484" i="9"/>
  <c r="D484" i="9"/>
  <c r="K483" i="9"/>
  <c r="J483" i="9"/>
  <c r="G483" i="9"/>
  <c r="I483" i="9" s="1"/>
  <c r="F483" i="9"/>
  <c r="L483" i="9" s="1"/>
  <c r="E483" i="9"/>
  <c r="D483" i="9"/>
  <c r="K482" i="9"/>
  <c r="J482" i="9"/>
  <c r="H482" i="9"/>
  <c r="G482" i="9"/>
  <c r="I482" i="9" s="1"/>
  <c r="F482" i="9"/>
  <c r="L482" i="9" s="1"/>
  <c r="E482" i="9"/>
  <c r="D482" i="9"/>
  <c r="K481" i="9"/>
  <c r="L481" i="9" s="1"/>
  <c r="J481" i="9"/>
  <c r="G481" i="9"/>
  <c r="I481" i="9" s="1"/>
  <c r="F481" i="9"/>
  <c r="E481" i="9"/>
  <c r="D481" i="9"/>
  <c r="L480" i="9"/>
  <c r="K480" i="9"/>
  <c r="J480" i="9"/>
  <c r="I480" i="9"/>
  <c r="H480" i="9"/>
  <c r="G480" i="9"/>
  <c r="F480" i="9"/>
  <c r="E480" i="9"/>
  <c r="D480" i="9"/>
  <c r="K479" i="9"/>
  <c r="J479" i="9"/>
  <c r="I479" i="9"/>
  <c r="H479" i="9"/>
  <c r="G479" i="9"/>
  <c r="F479" i="9"/>
  <c r="L479" i="9" s="1"/>
  <c r="E479" i="9"/>
  <c r="D479" i="9"/>
  <c r="L478" i="9"/>
  <c r="K478" i="9"/>
  <c r="H478" i="9"/>
  <c r="G478" i="9"/>
  <c r="I478" i="9" s="1"/>
  <c r="F478" i="9"/>
  <c r="E478" i="9"/>
  <c r="D478" i="9"/>
  <c r="K477" i="9"/>
  <c r="L477" i="9" s="1"/>
  <c r="J477" i="9"/>
  <c r="I477" i="9"/>
  <c r="G477" i="9"/>
  <c r="H477" i="9" s="1"/>
  <c r="F477" i="9"/>
  <c r="E477" i="9"/>
  <c r="D477" i="9"/>
  <c r="K476" i="9"/>
  <c r="G476" i="9"/>
  <c r="F476" i="9"/>
  <c r="L476" i="9" s="1"/>
  <c r="E476" i="9"/>
  <c r="D476" i="9"/>
  <c r="K475" i="9"/>
  <c r="J475" i="9"/>
  <c r="H475" i="9"/>
  <c r="G475" i="9"/>
  <c r="I475" i="9" s="1"/>
  <c r="F475" i="9"/>
  <c r="E475" i="9"/>
  <c r="D475" i="9"/>
  <c r="L474" i="9"/>
  <c r="K474" i="9"/>
  <c r="J474" i="9"/>
  <c r="H474" i="9"/>
  <c r="G474" i="9"/>
  <c r="I474" i="9" s="1"/>
  <c r="F474" i="9"/>
  <c r="E474" i="9"/>
  <c r="D474" i="9"/>
  <c r="K473" i="9"/>
  <c r="L473" i="9" s="1"/>
  <c r="G473" i="9"/>
  <c r="F473" i="9"/>
  <c r="E473" i="9"/>
  <c r="D473" i="9"/>
  <c r="L472" i="9"/>
  <c r="K472" i="9"/>
  <c r="J472" i="9"/>
  <c r="I472" i="9"/>
  <c r="H472" i="9"/>
  <c r="G472" i="9"/>
  <c r="F472" i="9"/>
  <c r="E472" i="9"/>
  <c r="D472" i="9"/>
  <c r="K471" i="9"/>
  <c r="J471" i="9"/>
  <c r="I471" i="9"/>
  <c r="H471" i="9"/>
  <c r="G471" i="9"/>
  <c r="F471" i="9"/>
  <c r="E471" i="9"/>
  <c r="D471" i="9"/>
  <c r="K470" i="9"/>
  <c r="G470" i="9"/>
  <c r="F470" i="9"/>
  <c r="L470" i="9" s="1"/>
  <c r="E470" i="9"/>
  <c r="D470" i="9"/>
  <c r="L469" i="9"/>
  <c r="K469" i="9"/>
  <c r="I469" i="9"/>
  <c r="G469" i="9"/>
  <c r="H469" i="9" s="1"/>
  <c r="F469" i="9"/>
  <c r="E469" i="9"/>
  <c r="D469" i="9"/>
  <c r="L468" i="9"/>
  <c r="K468" i="9"/>
  <c r="J468" i="9"/>
  <c r="I468" i="9"/>
  <c r="H468" i="9"/>
  <c r="G468" i="9"/>
  <c r="F468" i="9"/>
  <c r="E468" i="9"/>
  <c r="D468" i="9"/>
  <c r="K467" i="9"/>
  <c r="H467" i="9"/>
  <c r="G467" i="9"/>
  <c r="F467" i="9"/>
  <c r="L467" i="9" s="1"/>
  <c r="E467" i="9"/>
  <c r="D467" i="9"/>
  <c r="K466" i="9"/>
  <c r="H466" i="9"/>
  <c r="G466" i="9"/>
  <c r="F466" i="9"/>
  <c r="L466" i="9" s="1"/>
  <c r="E466" i="9"/>
  <c r="D466" i="9"/>
  <c r="L465" i="9"/>
  <c r="K465" i="9"/>
  <c r="J465" i="9"/>
  <c r="I465" i="9"/>
  <c r="H465" i="9"/>
  <c r="G465" i="9"/>
  <c r="F465" i="9"/>
  <c r="E465" i="9"/>
  <c r="D465" i="9"/>
  <c r="K464" i="9"/>
  <c r="G464" i="9"/>
  <c r="F464" i="9"/>
  <c r="L464" i="9" s="1"/>
  <c r="E464" i="9"/>
  <c r="D464" i="9"/>
  <c r="K463" i="9"/>
  <c r="J463" i="9"/>
  <c r="I463" i="9"/>
  <c r="H463" i="9"/>
  <c r="G463" i="9"/>
  <c r="F463" i="9"/>
  <c r="L463" i="9" s="1"/>
  <c r="E463" i="9"/>
  <c r="D463" i="9"/>
  <c r="L462" i="9"/>
  <c r="K462" i="9"/>
  <c r="J462" i="9"/>
  <c r="H462" i="9"/>
  <c r="G462" i="9"/>
  <c r="I462" i="9" s="1"/>
  <c r="F462" i="9"/>
  <c r="E462" i="9"/>
  <c r="D462" i="9"/>
  <c r="K461" i="9"/>
  <c r="L461" i="9" s="1"/>
  <c r="G461" i="9"/>
  <c r="F461" i="9"/>
  <c r="E461" i="9"/>
  <c r="D461" i="9"/>
  <c r="K460" i="9"/>
  <c r="G460" i="9"/>
  <c r="F460" i="9"/>
  <c r="L460" i="9" s="1"/>
  <c r="E460" i="9"/>
  <c r="D460" i="9"/>
  <c r="K459" i="9"/>
  <c r="G459" i="9"/>
  <c r="I459" i="9" s="1"/>
  <c r="F459" i="9"/>
  <c r="E459" i="9"/>
  <c r="D459" i="9"/>
  <c r="K458" i="9"/>
  <c r="J458" i="9"/>
  <c r="G458" i="9"/>
  <c r="I458" i="9" s="1"/>
  <c r="F458" i="9"/>
  <c r="E458" i="9"/>
  <c r="D458" i="9"/>
  <c r="L457" i="9"/>
  <c r="K457" i="9"/>
  <c r="G457" i="9"/>
  <c r="F457" i="9"/>
  <c r="E457" i="9"/>
  <c r="D457" i="9"/>
  <c r="L456" i="9"/>
  <c r="K456" i="9"/>
  <c r="I456" i="9"/>
  <c r="G456" i="9"/>
  <c r="J456" i="9" s="1"/>
  <c r="F456" i="9"/>
  <c r="E456" i="9"/>
  <c r="D456" i="9"/>
  <c r="K455" i="9"/>
  <c r="J455" i="9"/>
  <c r="I455" i="9"/>
  <c r="H455" i="9"/>
  <c r="G455" i="9"/>
  <c r="F455" i="9"/>
  <c r="E455" i="9"/>
  <c r="D455" i="9"/>
  <c r="K454" i="9"/>
  <c r="G454" i="9"/>
  <c r="F454" i="9"/>
  <c r="L454" i="9" s="1"/>
  <c r="E454" i="9"/>
  <c r="D454" i="9"/>
  <c r="K453" i="9"/>
  <c r="L453" i="9" s="1"/>
  <c r="I453" i="9"/>
  <c r="G453" i="9"/>
  <c r="J453" i="9" s="1"/>
  <c r="F453" i="9"/>
  <c r="E453" i="9"/>
  <c r="D453" i="9"/>
  <c r="K452" i="9"/>
  <c r="L452" i="9" s="1"/>
  <c r="J452" i="9"/>
  <c r="H452" i="9"/>
  <c r="G452" i="9"/>
  <c r="I452" i="9" s="1"/>
  <c r="F452" i="9"/>
  <c r="E452" i="9"/>
  <c r="D452" i="9"/>
  <c r="K451" i="9"/>
  <c r="H451" i="9"/>
  <c r="G451" i="9"/>
  <c r="F451" i="9"/>
  <c r="L451" i="9" s="1"/>
  <c r="E451" i="9"/>
  <c r="D451" i="9"/>
  <c r="L450" i="9"/>
  <c r="K450" i="9"/>
  <c r="J450" i="9"/>
  <c r="G450" i="9"/>
  <c r="I450" i="9" s="1"/>
  <c r="F450" i="9"/>
  <c r="E450" i="9"/>
  <c r="D450" i="9"/>
  <c r="L449" i="9"/>
  <c r="K449" i="9"/>
  <c r="I449" i="9"/>
  <c r="H449" i="9"/>
  <c r="G449" i="9"/>
  <c r="J449" i="9" s="1"/>
  <c r="F449" i="9"/>
  <c r="E449" i="9"/>
  <c r="D449" i="9"/>
  <c r="K448" i="9"/>
  <c r="J448" i="9"/>
  <c r="I448" i="9"/>
  <c r="H448" i="9"/>
  <c r="G448" i="9"/>
  <c r="F448" i="9"/>
  <c r="L448" i="9" s="1"/>
  <c r="E448" i="9"/>
  <c r="D448" i="9"/>
  <c r="K447" i="9"/>
  <c r="J447" i="9"/>
  <c r="I447" i="9"/>
  <c r="H447" i="9"/>
  <c r="G447" i="9"/>
  <c r="F447" i="9"/>
  <c r="L447" i="9" s="1"/>
  <c r="E447" i="9"/>
  <c r="D447" i="9"/>
  <c r="K446" i="9"/>
  <c r="J446" i="9"/>
  <c r="H446" i="9"/>
  <c r="G446" i="9"/>
  <c r="I446" i="9" s="1"/>
  <c r="F446" i="9"/>
  <c r="E446" i="9"/>
  <c r="D446" i="9"/>
  <c r="L445" i="9"/>
  <c r="K445" i="9"/>
  <c r="G445" i="9"/>
  <c r="F445" i="9"/>
  <c r="E445" i="9"/>
  <c r="D445" i="9"/>
  <c r="L444" i="9"/>
  <c r="K444" i="9"/>
  <c r="J444" i="9"/>
  <c r="I444" i="9"/>
  <c r="H444" i="9"/>
  <c r="G444" i="9"/>
  <c r="F444" i="9"/>
  <c r="E444" i="9"/>
  <c r="D444" i="9"/>
  <c r="K443" i="9"/>
  <c r="J443" i="9"/>
  <c r="I443" i="9"/>
  <c r="H443" i="9"/>
  <c r="G443" i="9"/>
  <c r="F443" i="9"/>
  <c r="E443" i="9"/>
  <c r="D443" i="9"/>
  <c r="K442" i="9"/>
  <c r="H442" i="9"/>
  <c r="G442" i="9"/>
  <c r="F442" i="9"/>
  <c r="L442" i="9" s="1"/>
  <c r="E442" i="9"/>
  <c r="D442" i="9"/>
  <c r="L441" i="9"/>
  <c r="K441" i="9"/>
  <c r="J441" i="9"/>
  <c r="I441" i="9"/>
  <c r="H441" i="9"/>
  <c r="G441" i="9"/>
  <c r="F441" i="9"/>
  <c r="E441" i="9"/>
  <c r="D441" i="9"/>
  <c r="K440" i="9"/>
  <c r="L440" i="9" s="1"/>
  <c r="J440" i="9"/>
  <c r="G440" i="9"/>
  <c r="I440" i="9" s="1"/>
  <c r="F440" i="9"/>
  <c r="E440" i="9"/>
  <c r="D440" i="9"/>
  <c r="K439" i="9"/>
  <c r="G439" i="9"/>
  <c r="F439" i="9"/>
  <c r="L439" i="9" s="1"/>
  <c r="E439" i="9"/>
  <c r="D439" i="9"/>
  <c r="K438" i="9"/>
  <c r="J438" i="9"/>
  <c r="H438" i="9"/>
  <c r="G438" i="9"/>
  <c r="I438" i="9" s="1"/>
  <c r="F438" i="9"/>
  <c r="L438" i="9" s="1"/>
  <c r="E438" i="9"/>
  <c r="D438" i="9"/>
  <c r="K437" i="9"/>
  <c r="L437" i="9" s="1"/>
  <c r="H437" i="9"/>
  <c r="G437" i="9"/>
  <c r="J437" i="9" s="1"/>
  <c r="F437" i="9"/>
  <c r="E437" i="9"/>
  <c r="D437" i="9"/>
  <c r="K436" i="9"/>
  <c r="L436" i="9" s="1"/>
  <c r="J436" i="9"/>
  <c r="I436" i="9"/>
  <c r="H436" i="9"/>
  <c r="G436" i="9"/>
  <c r="F436" i="9"/>
  <c r="E436" i="9"/>
  <c r="D436" i="9"/>
  <c r="K435" i="9"/>
  <c r="G435" i="9"/>
  <c r="F435" i="9"/>
  <c r="L435" i="9" s="1"/>
  <c r="E435" i="9"/>
  <c r="D435" i="9"/>
  <c r="L434" i="9"/>
  <c r="K434" i="9"/>
  <c r="H434" i="9"/>
  <c r="G434" i="9"/>
  <c r="I434" i="9" s="1"/>
  <c r="F434" i="9"/>
  <c r="E434" i="9"/>
  <c r="D434" i="9"/>
  <c r="L433" i="9"/>
  <c r="K433" i="9"/>
  <c r="J433" i="9"/>
  <c r="I433" i="9"/>
  <c r="H433" i="9"/>
  <c r="G433" i="9"/>
  <c r="F433" i="9"/>
  <c r="E433" i="9"/>
  <c r="D433" i="9"/>
  <c r="K432" i="9"/>
  <c r="H432" i="9"/>
  <c r="G432" i="9"/>
  <c r="J432" i="9" s="1"/>
  <c r="F432" i="9"/>
  <c r="L432" i="9" s="1"/>
  <c r="E432" i="9"/>
  <c r="D432" i="9"/>
  <c r="K431" i="9"/>
  <c r="J431" i="9"/>
  <c r="I431" i="9"/>
  <c r="H431" i="9"/>
  <c r="G431" i="9"/>
  <c r="F431" i="9"/>
  <c r="L431" i="9" s="1"/>
  <c r="E431" i="9"/>
  <c r="D431" i="9"/>
  <c r="L430" i="9"/>
  <c r="K430" i="9"/>
  <c r="J430" i="9"/>
  <c r="H430" i="9"/>
  <c r="G430" i="9"/>
  <c r="I430" i="9" s="1"/>
  <c r="F430" i="9"/>
  <c r="E430" i="9"/>
  <c r="D430" i="9"/>
  <c r="K429" i="9"/>
  <c r="L429" i="9" s="1"/>
  <c r="G429" i="9"/>
  <c r="J429" i="9" s="1"/>
  <c r="F429" i="9"/>
  <c r="E429" i="9"/>
  <c r="D429" i="9"/>
  <c r="K428" i="9"/>
  <c r="J428" i="9"/>
  <c r="H428" i="9"/>
  <c r="G428" i="9"/>
  <c r="I428" i="9" s="1"/>
  <c r="F428" i="9"/>
  <c r="L428" i="9" s="1"/>
  <c r="E428" i="9"/>
  <c r="D428" i="9"/>
  <c r="K427" i="9"/>
  <c r="J427" i="9"/>
  <c r="I427" i="9"/>
  <c r="H427" i="9"/>
  <c r="G427" i="9"/>
  <c r="F427" i="9"/>
  <c r="E427" i="9"/>
  <c r="D427" i="9"/>
  <c r="K426" i="9"/>
  <c r="G426" i="9"/>
  <c r="F426" i="9"/>
  <c r="L426" i="9" s="1"/>
  <c r="E426" i="9"/>
  <c r="D426" i="9"/>
  <c r="K425" i="9"/>
  <c r="L425" i="9" s="1"/>
  <c r="I425" i="9"/>
  <c r="H425" i="9"/>
  <c r="G425" i="9"/>
  <c r="J425" i="9" s="1"/>
  <c r="F425" i="9"/>
  <c r="E425" i="9"/>
  <c r="D425" i="9"/>
  <c r="K424" i="9"/>
  <c r="L424" i="9" s="1"/>
  <c r="J424" i="9"/>
  <c r="I424" i="9"/>
  <c r="H424" i="9"/>
  <c r="G424" i="9"/>
  <c r="F424" i="9"/>
  <c r="E424" i="9"/>
  <c r="D424" i="9"/>
  <c r="K423" i="9"/>
  <c r="H423" i="9"/>
  <c r="G423" i="9"/>
  <c r="F423" i="9"/>
  <c r="L423" i="9" s="1"/>
  <c r="E423" i="9"/>
  <c r="D423" i="9"/>
  <c r="K422" i="9"/>
  <c r="J422" i="9"/>
  <c r="H422" i="9"/>
  <c r="G422" i="9"/>
  <c r="I422" i="9" s="1"/>
  <c r="F422" i="9"/>
  <c r="E422" i="9"/>
  <c r="D422" i="9"/>
  <c r="L421" i="9"/>
  <c r="K421" i="9"/>
  <c r="J421" i="9"/>
  <c r="I421" i="9"/>
  <c r="G421" i="9"/>
  <c r="H421" i="9" s="1"/>
  <c r="F421" i="9"/>
  <c r="E421" i="9"/>
  <c r="D421" i="9"/>
  <c r="K420" i="9"/>
  <c r="G420" i="9"/>
  <c r="F420" i="9"/>
  <c r="L420" i="9" s="1"/>
  <c r="E420" i="9"/>
  <c r="D420" i="9"/>
  <c r="K419" i="9"/>
  <c r="J419" i="9"/>
  <c r="I419" i="9"/>
  <c r="H419" i="9"/>
  <c r="G419" i="9"/>
  <c r="F419" i="9"/>
  <c r="E419" i="9"/>
  <c r="D419" i="9"/>
  <c r="K418" i="9"/>
  <c r="H418" i="9"/>
  <c r="G418" i="9"/>
  <c r="F418" i="9"/>
  <c r="E418" i="9"/>
  <c r="D418" i="9"/>
  <c r="L417" i="9"/>
  <c r="K417" i="9"/>
  <c r="G417" i="9"/>
  <c r="F417" i="9"/>
  <c r="E417" i="9"/>
  <c r="D417" i="9"/>
  <c r="L416" i="9"/>
  <c r="K416" i="9"/>
  <c r="J416" i="9"/>
  <c r="G416" i="9"/>
  <c r="F416" i="9"/>
  <c r="E416" i="9"/>
  <c r="D416" i="9"/>
  <c r="K415" i="9"/>
  <c r="H415" i="9"/>
  <c r="G415" i="9"/>
  <c r="J415" i="9" s="1"/>
  <c r="F415" i="9"/>
  <c r="L415" i="9" s="1"/>
  <c r="E415" i="9"/>
  <c r="D415" i="9"/>
  <c r="K414" i="9"/>
  <c r="L414" i="9" s="1"/>
  <c r="J414" i="9"/>
  <c r="H414" i="9"/>
  <c r="G414" i="9"/>
  <c r="I414" i="9" s="1"/>
  <c r="F414" i="9"/>
  <c r="E414" i="9"/>
  <c r="D414" i="9"/>
  <c r="K413" i="9"/>
  <c r="L413" i="9" s="1"/>
  <c r="G413" i="9"/>
  <c r="F413" i="9"/>
  <c r="E413" i="9"/>
  <c r="D413" i="9"/>
  <c r="L412" i="9"/>
  <c r="K412" i="9"/>
  <c r="J412" i="9"/>
  <c r="I412" i="9"/>
  <c r="H412" i="9"/>
  <c r="G412" i="9"/>
  <c r="F412" i="9"/>
  <c r="E412" i="9"/>
  <c r="D412" i="9"/>
  <c r="K411" i="9"/>
  <c r="J411" i="9"/>
  <c r="H411" i="9"/>
  <c r="G411" i="9"/>
  <c r="I411" i="9" s="1"/>
  <c r="F411" i="9"/>
  <c r="E411" i="9"/>
  <c r="D411" i="9"/>
  <c r="K410" i="9"/>
  <c r="G410" i="9"/>
  <c r="F410" i="9"/>
  <c r="L410" i="9" s="1"/>
  <c r="E410" i="9"/>
  <c r="D410" i="9"/>
  <c r="L409" i="9"/>
  <c r="K409" i="9"/>
  <c r="J409" i="9"/>
  <c r="I409" i="9"/>
  <c r="H409" i="9"/>
  <c r="G409" i="9"/>
  <c r="F409" i="9"/>
  <c r="E409" i="9"/>
  <c r="D409" i="9"/>
  <c r="L408" i="9"/>
  <c r="K408" i="9"/>
  <c r="J408" i="9"/>
  <c r="I408" i="9"/>
  <c r="G408" i="9"/>
  <c r="H408" i="9" s="1"/>
  <c r="F408" i="9"/>
  <c r="E408" i="9"/>
  <c r="D408" i="9"/>
  <c r="K407" i="9"/>
  <c r="J407" i="9"/>
  <c r="I407" i="9"/>
  <c r="H407" i="9"/>
  <c r="G407" i="9"/>
  <c r="F407" i="9"/>
  <c r="L407" i="9" s="1"/>
  <c r="E407" i="9"/>
  <c r="D407" i="9"/>
  <c r="K406" i="9"/>
  <c r="J406" i="9"/>
  <c r="H406" i="9"/>
  <c r="G406" i="9"/>
  <c r="I406" i="9" s="1"/>
  <c r="F406" i="9"/>
  <c r="L406" i="9" s="1"/>
  <c r="E406" i="9"/>
  <c r="D406" i="9"/>
  <c r="K405" i="9"/>
  <c r="L405" i="9" s="1"/>
  <c r="J405" i="9"/>
  <c r="G405" i="9"/>
  <c r="H405" i="9" s="1"/>
  <c r="F405" i="9"/>
  <c r="E405" i="9"/>
  <c r="D405" i="9"/>
  <c r="K404" i="9"/>
  <c r="H404" i="9"/>
  <c r="G404" i="9"/>
  <c r="F404" i="9"/>
  <c r="L404" i="9" s="1"/>
  <c r="E404" i="9"/>
  <c r="D404" i="9"/>
  <c r="K403" i="9"/>
  <c r="J403" i="9"/>
  <c r="I403" i="9"/>
  <c r="H403" i="9"/>
  <c r="G403" i="9"/>
  <c r="F403" i="9"/>
  <c r="L403" i="9" s="1"/>
  <c r="E403" i="9"/>
  <c r="D403" i="9"/>
  <c r="K402" i="9"/>
  <c r="L402" i="9" s="1"/>
  <c r="G402" i="9"/>
  <c r="F402" i="9"/>
  <c r="E402" i="9"/>
  <c r="D402" i="9"/>
  <c r="K401" i="9"/>
  <c r="L401" i="9" s="1"/>
  <c r="H401" i="9"/>
  <c r="G401" i="9"/>
  <c r="J401" i="9" s="1"/>
  <c r="F401" i="9"/>
  <c r="E401" i="9"/>
  <c r="D401" i="9"/>
  <c r="L400" i="9"/>
  <c r="K400" i="9"/>
  <c r="J400" i="9"/>
  <c r="I400" i="9"/>
  <c r="H400" i="9"/>
  <c r="G400" i="9"/>
  <c r="F400" i="9"/>
  <c r="E400" i="9"/>
  <c r="D400" i="9"/>
  <c r="K399" i="9"/>
  <c r="J399" i="9"/>
  <c r="H399" i="9"/>
  <c r="G399" i="9"/>
  <c r="I399" i="9" s="1"/>
  <c r="F399" i="9"/>
  <c r="E399" i="9"/>
  <c r="D399" i="9"/>
  <c r="K398" i="9"/>
  <c r="G398" i="9"/>
  <c r="I398" i="9" s="1"/>
  <c r="F398" i="9"/>
  <c r="L398" i="9" s="1"/>
  <c r="E398" i="9"/>
  <c r="D398" i="9"/>
  <c r="L397" i="9"/>
  <c r="K397" i="9"/>
  <c r="J397" i="9"/>
  <c r="I397" i="9"/>
  <c r="G397" i="9"/>
  <c r="H397" i="9" s="1"/>
  <c r="F397" i="9"/>
  <c r="E397" i="9"/>
  <c r="D397" i="9"/>
  <c r="K396" i="9"/>
  <c r="H396" i="9"/>
  <c r="G396" i="9"/>
  <c r="F396" i="9"/>
  <c r="L396" i="9" s="1"/>
  <c r="E396" i="9"/>
  <c r="D396" i="9"/>
  <c r="K395" i="9"/>
  <c r="G395" i="9"/>
  <c r="J395" i="9" s="1"/>
  <c r="F395" i="9"/>
  <c r="E395" i="9"/>
  <c r="D395" i="9"/>
  <c r="K394" i="9"/>
  <c r="L394" i="9" s="1"/>
  <c r="H394" i="9"/>
  <c r="G394" i="9"/>
  <c r="F394" i="9"/>
  <c r="E394" i="9"/>
  <c r="D394" i="9"/>
  <c r="K393" i="9"/>
  <c r="L393" i="9" s="1"/>
  <c r="G393" i="9"/>
  <c r="F393" i="9"/>
  <c r="E393" i="9"/>
  <c r="D393" i="9"/>
  <c r="K392" i="9"/>
  <c r="L392" i="9" s="1"/>
  <c r="G392" i="9"/>
  <c r="J392" i="9" s="1"/>
  <c r="F392" i="9"/>
  <c r="E392" i="9"/>
  <c r="D392" i="9"/>
  <c r="K391" i="9"/>
  <c r="J391" i="9"/>
  <c r="I391" i="9"/>
  <c r="G391" i="9"/>
  <c r="H391" i="9" s="1"/>
  <c r="F391" i="9"/>
  <c r="L391" i="9" s="1"/>
  <c r="E391" i="9"/>
  <c r="D391" i="9"/>
  <c r="K390" i="9"/>
  <c r="J390" i="9"/>
  <c r="H390" i="9"/>
  <c r="G390" i="9"/>
  <c r="I390" i="9" s="1"/>
  <c r="F390" i="9"/>
  <c r="L390" i="9" s="1"/>
  <c r="E390" i="9"/>
  <c r="D390" i="9"/>
  <c r="L389" i="9"/>
  <c r="K389" i="9"/>
  <c r="J389" i="9"/>
  <c r="I389" i="9"/>
  <c r="H389" i="9"/>
  <c r="G389" i="9"/>
  <c r="F389" i="9"/>
  <c r="E389" i="9"/>
  <c r="D389" i="9"/>
  <c r="L388" i="9"/>
  <c r="K388" i="9"/>
  <c r="J388" i="9"/>
  <c r="I388" i="9"/>
  <c r="G388" i="9"/>
  <c r="H388" i="9" s="1"/>
  <c r="F388" i="9"/>
  <c r="E388" i="9"/>
  <c r="D388" i="9"/>
  <c r="K387" i="9"/>
  <c r="G387" i="9"/>
  <c r="I387" i="9" s="1"/>
  <c r="F387" i="9"/>
  <c r="L387" i="9" s="1"/>
  <c r="E387" i="9"/>
  <c r="D387" i="9"/>
  <c r="K386" i="9"/>
  <c r="J386" i="9"/>
  <c r="H386" i="9"/>
  <c r="G386" i="9"/>
  <c r="I386" i="9" s="1"/>
  <c r="F386" i="9"/>
  <c r="L386" i="9" s="1"/>
  <c r="E386" i="9"/>
  <c r="D386" i="9"/>
  <c r="K385" i="9"/>
  <c r="L385" i="9" s="1"/>
  <c r="J385" i="9"/>
  <c r="I385" i="9"/>
  <c r="G385" i="9"/>
  <c r="H385" i="9" s="1"/>
  <c r="F385" i="9"/>
  <c r="E385" i="9"/>
  <c r="D385" i="9"/>
  <c r="L384" i="9"/>
  <c r="K384" i="9"/>
  <c r="J384" i="9"/>
  <c r="I384" i="9"/>
  <c r="H384" i="9"/>
  <c r="G384" i="9"/>
  <c r="F384" i="9"/>
  <c r="E384" i="9"/>
  <c r="D384" i="9"/>
  <c r="K383" i="9"/>
  <c r="J383" i="9"/>
  <c r="I383" i="9"/>
  <c r="H383" i="9"/>
  <c r="G383" i="9"/>
  <c r="F383" i="9"/>
  <c r="L383" i="9" s="1"/>
  <c r="E383" i="9"/>
  <c r="D383" i="9"/>
  <c r="K382" i="9"/>
  <c r="G382" i="9"/>
  <c r="I382" i="9" s="1"/>
  <c r="F382" i="9"/>
  <c r="L382" i="9" s="1"/>
  <c r="E382" i="9"/>
  <c r="D382" i="9"/>
  <c r="K381" i="9"/>
  <c r="L381" i="9" s="1"/>
  <c r="J381" i="9"/>
  <c r="I381" i="9"/>
  <c r="H381" i="9"/>
  <c r="G381" i="9"/>
  <c r="F381" i="9"/>
  <c r="E381" i="9"/>
  <c r="D381" i="9"/>
  <c r="K380" i="9"/>
  <c r="G380" i="9"/>
  <c r="F380" i="9"/>
  <c r="L380" i="9" s="1"/>
  <c r="E380" i="9"/>
  <c r="D380" i="9"/>
  <c r="K379" i="9"/>
  <c r="J379" i="9"/>
  <c r="I379" i="9"/>
  <c r="G379" i="9"/>
  <c r="H379" i="9" s="1"/>
  <c r="F379" i="9"/>
  <c r="E379" i="9"/>
  <c r="D379" i="9"/>
  <c r="L378" i="9"/>
  <c r="K378" i="9"/>
  <c r="J378" i="9"/>
  <c r="G378" i="9"/>
  <c r="I378" i="9" s="1"/>
  <c r="F378" i="9"/>
  <c r="E378" i="9"/>
  <c r="D378" i="9"/>
  <c r="K377" i="9"/>
  <c r="L377" i="9" s="1"/>
  <c r="H377" i="9"/>
  <c r="G377" i="9"/>
  <c r="F377" i="9"/>
  <c r="E377" i="9"/>
  <c r="D377" i="9"/>
  <c r="L376" i="9"/>
  <c r="K376" i="9"/>
  <c r="J376" i="9"/>
  <c r="I376" i="9"/>
  <c r="H376" i="9"/>
  <c r="G376" i="9"/>
  <c r="F376" i="9"/>
  <c r="E376" i="9"/>
  <c r="D376" i="9"/>
  <c r="K375" i="9"/>
  <c r="J375" i="9"/>
  <c r="I375" i="9"/>
  <c r="H375" i="9"/>
  <c r="G375" i="9"/>
  <c r="F375" i="9"/>
  <c r="E375" i="9"/>
  <c r="D375" i="9"/>
  <c r="K374" i="9"/>
  <c r="G374" i="9"/>
  <c r="F374" i="9"/>
  <c r="L374" i="9" s="1"/>
  <c r="E374" i="9"/>
  <c r="D374" i="9"/>
  <c r="L373" i="9"/>
  <c r="K373" i="9"/>
  <c r="J373" i="9"/>
  <c r="G373" i="9"/>
  <c r="H373" i="9" s="1"/>
  <c r="F373" i="9"/>
  <c r="E373" i="9"/>
  <c r="D373" i="9"/>
  <c r="K372" i="9"/>
  <c r="G372" i="9"/>
  <c r="J372" i="9" s="1"/>
  <c r="F372" i="9"/>
  <c r="L372" i="9" s="1"/>
  <c r="E372" i="9"/>
  <c r="D372" i="9"/>
  <c r="K371" i="9"/>
  <c r="G371" i="9"/>
  <c r="J371" i="9" s="1"/>
  <c r="F371" i="9"/>
  <c r="L371" i="9" s="1"/>
  <c r="E371" i="9"/>
  <c r="D371" i="9"/>
  <c r="K370" i="9"/>
  <c r="H370" i="9"/>
  <c r="G370" i="9"/>
  <c r="F370" i="9"/>
  <c r="L370" i="9" s="1"/>
  <c r="E370" i="9"/>
  <c r="D370" i="9"/>
  <c r="K369" i="9"/>
  <c r="L369" i="9" s="1"/>
  <c r="H369" i="9"/>
  <c r="G369" i="9"/>
  <c r="J369" i="9" s="1"/>
  <c r="F369" i="9"/>
  <c r="E369" i="9"/>
  <c r="D369" i="9"/>
  <c r="K368" i="9"/>
  <c r="H368" i="9"/>
  <c r="G368" i="9"/>
  <c r="J368" i="9" s="1"/>
  <c r="F368" i="9"/>
  <c r="L368" i="9" s="1"/>
  <c r="E368" i="9"/>
  <c r="D368" i="9"/>
  <c r="K367" i="9"/>
  <c r="J367" i="9"/>
  <c r="I367" i="9"/>
  <c r="H367" i="9"/>
  <c r="G367" i="9"/>
  <c r="F367" i="9"/>
  <c r="L367" i="9" s="1"/>
  <c r="E367" i="9"/>
  <c r="D367" i="9"/>
  <c r="K366" i="9"/>
  <c r="J366" i="9"/>
  <c r="H366" i="9"/>
  <c r="G366" i="9"/>
  <c r="I366" i="9" s="1"/>
  <c r="F366" i="9"/>
  <c r="E366" i="9"/>
  <c r="D366" i="9"/>
  <c r="K365" i="9"/>
  <c r="L365" i="9" s="1"/>
  <c r="H365" i="9"/>
  <c r="G365" i="9"/>
  <c r="J365" i="9" s="1"/>
  <c r="F365" i="9"/>
  <c r="E365" i="9"/>
  <c r="D365" i="9"/>
  <c r="L364" i="9"/>
  <c r="K364" i="9"/>
  <c r="J364" i="9"/>
  <c r="H364" i="9"/>
  <c r="G364" i="9"/>
  <c r="I364" i="9" s="1"/>
  <c r="F364" i="9"/>
  <c r="E364" i="9"/>
  <c r="D364" i="9"/>
  <c r="K363" i="9"/>
  <c r="G363" i="9"/>
  <c r="I363" i="9" s="1"/>
  <c r="F363" i="9"/>
  <c r="L363" i="9" s="1"/>
  <c r="E363" i="9"/>
  <c r="D363" i="9"/>
  <c r="L362" i="9"/>
  <c r="K362" i="9"/>
  <c r="G362" i="9"/>
  <c r="F362" i="9"/>
  <c r="E362" i="9"/>
  <c r="D362" i="9"/>
  <c r="L361" i="9"/>
  <c r="K361" i="9"/>
  <c r="G361" i="9"/>
  <c r="F361" i="9"/>
  <c r="E361" i="9"/>
  <c r="D361" i="9"/>
  <c r="L360" i="9"/>
  <c r="K360" i="9"/>
  <c r="I360" i="9"/>
  <c r="G360" i="9"/>
  <c r="J360" i="9" s="1"/>
  <c r="F360" i="9"/>
  <c r="E360" i="9"/>
  <c r="D360" i="9"/>
  <c r="K359" i="9"/>
  <c r="H359" i="9"/>
  <c r="G359" i="9"/>
  <c r="J359" i="9" s="1"/>
  <c r="F359" i="9"/>
  <c r="L359" i="9" s="1"/>
  <c r="E359" i="9"/>
  <c r="D359" i="9"/>
  <c r="L358" i="9"/>
  <c r="K358" i="9"/>
  <c r="J358" i="9"/>
  <c r="H358" i="9"/>
  <c r="G358" i="9"/>
  <c r="I358" i="9" s="1"/>
  <c r="F358" i="9"/>
  <c r="E358" i="9"/>
  <c r="D358" i="9"/>
  <c r="K357" i="9"/>
  <c r="L357" i="9" s="1"/>
  <c r="J357" i="9"/>
  <c r="I357" i="9"/>
  <c r="H357" i="9"/>
  <c r="G357" i="9"/>
  <c r="F357" i="9"/>
  <c r="E357" i="9"/>
  <c r="D357" i="9"/>
  <c r="K356" i="9"/>
  <c r="J356" i="9"/>
  <c r="G356" i="9"/>
  <c r="I356" i="9" s="1"/>
  <c r="F356" i="9"/>
  <c r="L356" i="9" s="1"/>
  <c r="E356" i="9"/>
  <c r="D356" i="9"/>
  <c r="K355" i="9"/>
  <c r="J355" i="9"/>
  <c r="G355" i="9"/>
  <c r="I355" i="9" s="1"/>
  <c r="F355" i="9"/>
  <c r="L355" i="9" s="1"/>
  <c r="E355" i="9"/>
  <c r="D355" i="9"/>
  <c r="L354" i="9"/>
  <c r="K354" i="9"/>
  <c r="J354" i="9"/>
  <c r="H354" i="9"/>
  <c r="G354" i="9"/>
  <c r="I354" i="9" s="1"/>
  <c r="F354" i="9"/>
  <c r="E354" i="9"/>
  <c r="D354" i="9"/>
  <c r="K353" i="9"/>
  <c r="L353" i="9" s="1"/>
  <c r="I353" i="9"/>
  <c r="H353" i="9"/>
  <c r="G353" i="9"/>
  <c r="J353" i="9" s="1"/>
  <c r="F353" i="9"/>
  <c r="E353" i="9"/>
  <c r="D353" i="9"/>
  <c r="K352" i="9"/>
  <c r="H352" i="9"/>
  <c r="G352" i="9"/>
  <c r="J352" i="9" s="1"/>
  <c r="F352" i="9"/>
  <c r="L352" i="9" s="1"/>
  <c r="E352" i="9"/>
  <c r="D352" i="9"/>
  <c r="K351" i="9"/>
  <c r="J351" i="9"/>
  <c r="I351" i="9"/>
  <c r="H351" i="9"/>
  <c r="G351" i="9"/>
  <c r="F351" i="9"/>
  <c r="E351" i="9"/>
  <c r="D351" i="9"/>
  <c r="K350" i="9"/>
  <c r="J350" i="9"/>
  <c r="I350" i="9"/>
  <c r="H350" i="9"/>
  <c r="G350" i="9"/>
  <c r="F350" i="9"/>
  <c r="L350" i="9" s="1"/>
  <c r="E350" i="9"/>
  <c r="D350" i="9"/>
  <c r="K349" i="9"/>
  <c r="J349" i="9"/>
  <c r="G349" i="9"/>
  <c r="I349" i="9" s="1"/>
  <c r="F349" i="9"/>
  <c r="L349" i="9" s="1"/>
  <c r="E349" i="9"/>
  <c r="D349" i="9"/>
  <c r="K348" i="9"/>
  <c r="L348" i="9" s="1"/>
  <c r="G348" i="9"/>
  <c r="F348" i="9"/>
  <c r="E348" i="9"/>
  <c r="D348" i="9"/>
  <c r="K347" i="9"/>
  <c r="L347" i="9" s="1"/>
  <c r="J347" i="9"/>
  <c r="I347" i="9"/>
  <c r="H347" i="9"/>
  <c r="G347" i="9"/>
  <c r="F347" i="9"/>
  <c r="E347" i="9"/>
  <c r="D347" i="9"/>
  <c r="K346" i="9"/>
  <c r="J346" i="9"/>
  <c r="G346" i="9"/>
  <c r="I346" i="9" s="1"/>
  <c r="F346" i="9"/>
  <c r="E346" i="9"/>
  <c r="D346" i="9"/>
  <c r="K345" i="9"/>
  <c r="J345" i="9"/>
  <c r="H345" i="9"/>
  <c r="G345" i="9"/>
  <c r="I345" i="9" s="1"/>
  <c r="F345" i="9"/>
  <c r="L345" i="9" s="1"/>
  <c r="E345" i="9"/>
  <c r="D345" i="9"/>
  <c r="K344" i="9"/>
  <c r="L344" i="9" s="1"/>
  <c r="G344" i="9"/>
  <c r="F344" i="9"/>
  <c r="E344" i="9"/>
  <c r="D344" i="9"/>
  <c r="K343" i="9"/>
  <c r="L343" i="9" s="1"/>
  <c r="J343" i="9"/>
  <c r="I343" i="9"/>
  <c r="H343" i="9"/>
  <c r="G343" i="9"/>
  <c r="F343" i="9"/>
  <c r="E343" i="9"/>
  <c r="D343" i="9"/>
  <c r="K342" i="9"/>
  <c r="G342" i="9"/>
  <c r="F342" i="9"/>
  <c r="L342" i="9" s="1"/>
  <c r="E342" i="9"/>
  <c r="D342" i="9"/>
  <c r="K341" i="9"/>
  <c r="G341" i="9"/>
  <c r="I341" i="9" s="1"/>
  <c r="F341" i="9"/>
  <c r="L341" i="9" s="1"/>
  <c r="E341" i="9"/>
  <c r="D341" i="9"/>
  <c r="K340" i="9"/>
  <c r="L340" i="9" s="1"/>
  <c r="G340" i="9"/>
  <c r="F340" i="9"/>
  <c r="E340" i="9"/>
  <c r="D340" i="9"/>
  <c r="L339" i="9"/>
  <c r="K339" i="9"/>
  <c r="J339" i="9"/>
  <c r="I339" i="9"/>
  <c r="H339" i="9"/>
  <c r="G339" i="9"/>
  <c r="F339" i="9"/>
  <c r="E339" i="9"/>
  <c r="D339" i="9"/>
  <c r="K338" i="9"/>
  <c r="J338" i="9"/>
  <c r="I338" i="9"/>
  <c r="H338" i="9"/>
  <c r="G338" i="9"/>
  <c r="F338" i="9"/>
  <c r="E338" i="9"/>
  <c r="D338" i="9"/>
  <c r="K337" i="9"/>
  <c r="G337" i="9"/>
  <c r="F337" i="9"/>
  <c r="L337" i="9" s="1"/>
  <c r="E337" i="9"/>
  <c r="D337" i="9"/>
  <c r="K336" i="9"/>
  <c r="L336" i="9" s="1"/>
  <c r="G336" i="9"/>
  <c r="F336" i="9"/>
  <c r="E336" i="9"/>
  <c r="D336" i="9"/>
  <c r="K335" i="9"/>
  <c r="L335" i="9" s="1"/>
  <c r="J335" i="9"/>
  <c r="I335" i="9"/>
  <c r="H335" i="9"/>
  <c r="G335" i="9"/>
  <c r="F335" i="9"/>
  <c r="E335" i="9"/>
  <c r="D335" i="9"/>
  <c r="K334" i="9"/>
  <c r="J334" i="9"/>
  <c r="G334" i="9"/>
  <c r="I334" i="9" s="1"/>
  <c r="F334" i="9"/>
  <c r="L334" i="9" s="1"/>
  <c r="E334" i="9"/>
  <c r="D334" i="9"/>
  <c r="K333" i="9"/>
  <c r="J333" i="9"/>
  <c r="H333" i="9"/>
  <c r="G333" i="9"/>
  <c r="I333" i="9" s="1"/>
  <c r="F333" i="9"/>
  <c r="L333" i="9" s="1"/>
  <c r="E333" i="9"/>
  <c r="D333" i="9"/>
  <c r="K332" i="9"/>
  <c r="L332" i="9" s="1"/>
  <c r="G332" i="9"/>
  <c r="F332" i="9"/>
  <c r="E332" i="9"/>
  <c r="D332" i="9"/>
  <c r="K331" i="9"/>
  <c r="L331" i="9" s="1"/>
  <c r="J331" i="9"/>
  <c r="I331" i="9"/>
  <c r="H331" i="9"/>
  <c r="G331" i="9"/>
  <c r="F331" i="9"/>
  <c r="E331" i="9"/>
  <c r="D331" i="9"/>
  <c r="K330" i="9"/>
  <c r="J330" i="9"/>
  <c r="I330" i="9"/>
  <c r="G330" i="9"/>
  <c r="H330" i="9" s="1"/>
  <c r="F330" i="9"/>
  <c r="E330" i="9"/>
  <c r="D330" i="9"/>
  <c r="K329" i="9"/>
  <c r="G329" i="9"/>
  <c r="I329" i="9" s="1"/>
  <c r="F329" i="9"/>
  <c r="L329" i="9" s="1"/>
  <c r="E329" i="9"/>
  <c r="D329" i="9"/>
  <c r="K328" i="9"/>
  <c r="L328" i="9" s="1"/>
  <c r="G328" i="9"/>
  <c r="F328" i="9"/>
  <c r="E328" i="9"/>
  <c r="D328" i="9"/>
  <c r="L327" i="9"/>
  <c r="K327" i="9"/>
  <c r="J327" i="9"/>
  <c r="I327" i="9"/>
  <c r="H327" i="9"/>
  <c r="G327" i="9"/>
  <c r="F327" i="9"/>
  <c r="E327" i="9"/>
  <c r="D327" i="9"/>
  <c r="K326" i="9"/>
  <c r="H326" i="9"/>
  <c r="G326" i="9"/>
  <c r="J326" i="9" s="1"/>
  <c r="F326" i="9"/>
  <c r="E326" i="9"/>
  <c r="D326" i="9"/>
  <c r="K325" i="9"/>
  <c r="G325" i="9"/>
  <c r="I325" i="9" s="1"/>
  <c r="F325" i="9"/>
  <c r="L325" i="9" s="1"/>
  <c r="E325" i="9"/>
  <c r="D325" i="9"/>
  <c r="K324" i="9"/>
  <c r="L324" i="9" s="1"/>
  <c r="G324" i="9"/>
  <c r="F324" i="9"/>
  <c r="E324" i="9"/>
  <c r="D324" i="9"/>
  <c r="L323" i="9"/>
  <c r="K323" i="9"/>
  <c r="J323" i="9"/>
  <c r="I323" i="9"/>
  <c r="H323" i="9"/>
  <c r="G323" i="9"/>
  <c r="F323" i="9"/>
  <c r="E323" i="9"/>
  <c r="D323" i="9"/>
  <c r="K322" i="9"/>
  <c r="G322" i="9"/>
  <c r="J322" i="9" s="1"/>
  <c r="F322" i="9"/>
  <c r="L322" i="9" s="1"/>
  <c r="E322" i="9"/>
  <c r="D322" i="9"/>
  <c r="K321" i="9"/>
  <c r="H321" i="9"/>
  <c r="G321" i="9"/>
  <c r="I321" i="9" s="1"/>
  <c r="F321" i="9"/>
  <c r="L321" i="9" s="1"/>
  <c r="E321" i="9"/>
  <c r="D321" i="9"/>
  <c r="K320" i="9"/>
  <c r="L320" i="9" s="1"/>
  <c r="G320" i="9"/>
  <c r="F320" i="9"/>
  <c r="E320" i="9"/>
  <c r="D320" i="9"/>
  <c r="K319" i="9"/>
  <c r="L319" i="9" s="1"/>
  <c r="J319" i="9"/>
  <c r="I319" i="9"/>
  <c r="H319" i="9"/>
  <c r="G319" i="9"/>
  <c r="F319" i="9"/>
  <c r="E319" i="9"/>
  <c r="D319" i="9"/>
  <c r="K318" i="9"/>
  <c r="J318" i="9"/>
  <c r="I318" i="9"/>
  <c r="G318" i="9"/>
  <c r="H318" i="9" s="1"/>
  <c r="F318" i="9"/>
  <c r="E318" i="9"/>
  <c r="D318" i="9"/>
  <c r="K317" i="9"/>
  <c r="J317" i="9"/>
  <c r="H317" i="9"/>
  <c r="G317" i="9"/>
  <c r="I317" i="9" s="1"/>
  <c r="F317" i="9"/>
  <c r="L317" i="9" s="1"/>
  <c r="E317" i="9"/>
  <c r="D317" i="9"/>
  <c r="K316" i="9"/>
  <c r="L316" i="9" s="1"/>
  <c r="G316" i="9"/>
  <c r="F316" i="9"/>
  <c r="E316" i="9"/>
  <c r="D316" i="9"/>
  <c r="K315" i="9"/>
  <c r="L315" i="9" s="1"/>
  <c r="J315" i="9"/>
  <c r="I315" i="9"/>
  <c r="H315" i="9"/>
  <c r="G315" i="9"/>
  <c r="F315" i="9"/>
  <c r="E315" i="9"/>
  <c r="D315" i="9"/>
  <c r="K314" i="9"/>
  <c r="G314" i="9"/>
  <c r="F314" i="9"/>
  <c r="L314" i="9" s="1"/>
  <c r="E314" i="9"/>
  <c r="D314" i="9"/>
  <c r="K313" i="9"/>
  <c r="J313" i="9"/>
  <c r="G313" i="9"/>
  <c r="I313" i="9" s="1"/>
  <c r="F313" i="9"/>
  <c r="L313" i="9" s="1"/>
  <c r="E313" i="9"/>
  <c r="D313" i="9"/>
  <c r="K312" i="9"/>
  <c r="L312" i="9" s="1"/>
  <c r="G312" i="9"/>
  <c r="F312" i="9"/>
  <c r="E312" i="9"/>
  <c r="D312" i="9"/>
  <c r="K311" i="9"/>
  <c r="L311" i="9" s="1"/>
  <c r="J311" i="9"/>
  <c r="I311" i="9"/>
  <c r="H311" i="9"/>
  <c r="G311" i="9"/>
  <c r="F311" i="9"/>
  <c r="E311" i="9"/>
  <c r="D311" i="9"/>
  <c r="K310" i="9"/>
  <c r="J310" i="9"/>
  <c r="I310" i="9"/>
  <c r="G310" i="9"/>
  <c r="H310" i="9" s="1"/>
  <c r="F310" i="9"/>
  <c r="E310" i="9"/>
  <c r="D310" i="9"/>
  <c r="K309" i="9"/>
  <c r="G309" i="9"/>
  <c r="F309" i="9"/>
  <c r="L309" i="9" s="1"/>
  <c r="E309" i="9"/>
  <c r="D309" i="9"/>
  <c r="K308" i="9"/>
  <c r="L308" i="9" s="1"/>
  <c r="G308" i="9"/>
  <c r="F308" i="9"/>
  <c r="E308" i="9"/>
  <c r="D308" i="9"/>
  <c r="L307" i="9"/>
  <c r="K307" i="9"/>
  <c r="J307" i="9"/>
  <c r="I307" i="9"/>
  <c r="H307" i="9"/>
  <c r="G307" i="9"/>
  <c r="F307" i="9"/>
  <c r="E307" i="9"/>
  <c r="D307" i="9"/>
  <c r="K306" i="9"/>
  <c r="I306" i="9"/>
  <c r="H306" i="9"/>
  <c r="G306" i="9"/>
  <c r="J306" i="9" s="1"/>
  <c r="F306" i="9"/>
  <c r="L306" i="9" s="1"/>
  <c r="E306" i="9"/>
  <c r="D306" i="9"/>
  <c r="K305" i="9"/>
  <c r="J305" i="9"/>
  <c r="H305" i="9"/>
  <c r="G305" i="9"/>
  <c r="I305" i="9" s="1"/>
  <c r="F305" i="9"/>
  <c r="L305" i="9" s="1"/>
  <c r="E305" i="9"/>
  <c r="D305" i="9"/>
  <c r="K304" i="9"/>
  <c r="L304" i="9" s="1"/>
  <c r="G304" i="9"/>
  <c r="F304" i="9"/>
  <c r="E304" i="9"/>
  <c r="D304" i="9"/>
  <c r="L303" i="9"/>
  <c r="K303" i="9"/>
  <c r="J303" i="9"/>
  <c r="I303" i="9"/>
  <c r="H303" i="9"/>
  <c r="G303" i="9"/>
  <c r="F303" i="9"/>
  <c r="E303" i="9"/>
  <c r="D303" i="9"/>
  <c r="K302" i="9"/>
  <c r="I302" i="9"/>
  <c r="G302" i="9"/>
  <c r="J302" i="9" s="1"/>
  <c r="F302" i="9"/>
  <c r="L302" i="9" s="1"/>
  <c r="E302" i="9"/>
  <c r="D302" i="9"/>
  <c r="K301" i="9"/>
  <c r="J301" i="9"/>
  <c r="H301" i="9"/>
  <c r="G301" i="9"/>
  <c r="I301" i="9" s="1"/>
  <c r="F301" i="9"/>
  <c r="L301" i="9" s="1"/>
  <c r="E301" i="9"/>
  <c r="D301" i="9"/>
  <c r="K300" i="9"/>
  <c r="L300" i="9" s="1"/>
  <c r="G300" i="9"/>
  <c r="F300" i="9"/>
  <c r="E300" i="9"/>
  <c r="D300" i="9"/>
  <c r="K299" i="9"/>
  <c r="L299" i="9" s="1"/>
  <c r="J299" i="9"/>
  <c r="I299" i="9"/>
  <c r="H299" i="9"/>
  <c r="G299" i="9"/>
  <c r="F299" i="9"/>
  <c r="E299" i="9"/>
  <c r="D299" i="9"/>
  <c r="K298" i="9"/>
  <c r="J298" i="9"/>
  <c r="G298" i="9"/>
  <c r="I298" i="9" s="1"/>
  <c r="F298" i="9"/>
  <c r="E298" i="9"/>
  <c r="D298" i="9"/>
  <c r="K297" i="9"/>
  <c r="G297" i="9"/>
  <c r="I297" i="9" s="1"/>
  <c r="F297" i="9"/>
  <c r="L297" i="9" s="1"/>
  <c r="E297" i="9"/>
  <c r="D297" i="9"/>
  <c r="K296" i="9"/>
  <c r="L296" i="9" s="1"/>
  <c r="G296" i="9"/>
  <c r="F296" i="9"/>
  <c r="E296" i="9"/>
  <c r="D296" i="9"/>
  <c r="L295" i="9"/>
  <c r="K295" i="9"/>
  <c r="J295" i="9"/>
  <c r="I295" i="9"/>
  <c r="H295" i="9"/>
  <c r="G295" i="9"/>
  <c r="F295" i="9"/>
  <c r="E295" i="9"/>
  <c r="D295" i="9"/>
  <c r="K294" i="9"/>
  <c r="G294" i="9"/>
  <c r="F294" i="9"/>
  <c r="L294" i="9" s="1"/>
  <c r="E294" i="9"/>
  <c r="D294" i="9"/>
  <c r="K293" i="9"/>
  <c r="G293" i="9"/>
  <c r="I293" i="9" s="1"/>
  <c r="F293" i="9"/>
  <c r="L293" i="9" s="1"/>
  <c r="E293" i="9"/>
  <c r="D293" i="9"/>
  <c r="K292" i="9"/>
  <c r="L292" i="9" s="1"/>
  <c r="G292" i="9"/>
  <c r="F292" i="9"/>
  <c r="E292" i="9"/>
  <c r="D292" i="9"/>
  <c r="L291" i="9"/>
  <c r="K291" i="9"/>
  <c r="J291" i="9"/>
  <c r="I291" i="9"/>
  <c r="H291" i="9"/>
  <c r="G291" i="9"/>
  <c r="F291" i="9"/>
  <c r="E291" i="9"/>
  <c r="D291" i="9"/>
  <c r="K290" i="9"/>
  <c r="J290" i="9"/>
  <c r="I290" i="9"/>
  <c r="H290" i="9"/>
  <c r="G290" i="9"/>
  <c r="F290" i="9"/>
  <c r="E290" i="9"/>
  <c r="D290" i="9"/>
  <c r="K289" i="9"/>
  <c r="H289" i="9"/>
  <c r="G289" i="9"/>
  <c r="F289" i="9"/>
  <c r="L289" i="9" s="1"/>
  <c r="E289" i="9"/>
  <c r="D289" i="9"/>
  <c r="K288" i="9"/>
  <c r="L288" i="9" s="1"/>
  <c r="G288" i="9"/>
  <c r="F288" i="9"/>
  <c r="E288" i="9"/>
  <c r="D288" i="9"/>
  <c r="K287" i="9"/>
  <c r="L287" i="9" s="1"/>
  <c r="J287" i="9"/>
  <c r="I287" i="9"/>
  <c r="H287" i="9"/>
  <c r="G287" i="9"/>
  <c r="F287" i="9"/>
  <c r="E287" i="9"/>
  <c r="D287" i="9"/>
  <c r="K286" i="9"/>
  <c r="J286" i="9"/>
  <c r="G286" i="9"/>
  <c r="I286" i="9" s="1"/>
  <c r="F286" i="9"/>
  <c r="L286" i="9" s="1"/>
  <c r="E286" i="9"/>
  <c r="D286" i="9"/>
  <c r="K285" i="9"/>
  <c r="J285" i="9"/>
  <c r="H285" i="9"/>
  <c r="G285" i="9"/>
  <c r="I285" i="9" s="1"/>
  <c r="F285" i="9"/>
  <c r="L285" i="9" s="1"/>
  <c r="E285" i="9"/>
  <c r="D285" i="9"/>
  <c r="K284" i="9"/>
  <c r="L284" i="9" s="1"/>
  <c r="G284" i="9"/>
  <c r="F284" i="9"/>
  <c r="E284" i="9"/>
  <c r="D284" i="9"/>
  <c r="L283" i="9"/>
  <c r="K283" i="9"/>
  <c r="J283" i="9"/>
  <c r="I283" i="9"/>
  <c r="H283" i="9"/>
  <c r="G283" i="9"/>
  <c r="F283" i="9"/>
  <c r="E283" i="9"/>
  <c r="D283" i="9"/>
  <c r="K282" i="9"/>
  <c r="J282" i="9"/>
  <c r="I282" i="9"/>
  <c r="H282" i="9"/>
  <c r="G282" i="9"/>
  <c r="F282" i="9"/>
  <c r="E282" i="9"/>
  <c r="D282" i="9"/>
  <c r="K281" i="9"/>
  <c r="G281" i="9"/>
  <c r="F281" i="9"/>
  <c r="L281" i="9" s="1"/>
  <c r="E281" i="9"/>
  <c r="D281" i="9"/>
  <c r="K280" i="9"/>
  <c r="L280" i="9" s="1"/>
  <c r="G280" i="9"/>
  <c r="F280" i="9"/>
  <c r="E280" i="9"/>
  <c r="D280" i="9"/>
  <c r="K279" i="9"/>
  <c r="L279" i="9" s="1"/>
  <c r="J279" i="9"/>
  <c r="I279" i="9"/>
  <c r="H279" i="9"/>
  <c r="G279" i="9"/>
  <c r="F279" i="9"/>
  <c r="E279" i="9"/>
  <c r="D279" i="9"/>
  <c r="K278" i="9"/>
  <c r="G278" i="9"/>
  <c r="F278" i="9"/>
  <c r="L278" i="9" s="1"/>
  <c r="E278" i="9"/>
  <c r="D278" i="9"/>
  <c r="K277" i="9"/>
  <c r="J277" i="9"/>
  <c r="G277" i="9"/>
  <c r="I277" i="9" s="1"/>
  <c r="F277" i="9"/>
  <c r="E277" i="9"/>
  <c r="D277" i="9"/>
  <c r="K276" i="9"/>
  <c r="L276" i="9" s="1"/>
  <c r="J276" i="9"/>
  <c r="H276" i="9"/>
  <c r="G276" i="9"/>
  <c r="I276" i="9" s="1"/>
  <c r="F276" i="9"/>
  <c r="E276" i="9"/>
  <c r="D276" i="9"/>
  <c r="K275" i="9"/>
  <c r="L275" i="9" s="1"/>
  <c r="G275" i="9"/>
  <c r="F275" i="9"/>
  <c r="E275" i="9"/>
  <c r="D275" i="9"/>
  <c r="K274" i="9"/>
  <c r="J274" i="9"/>
  <c r="G274" i="9"/>
  <c r="I274" i="9" s="1"/>
  <c r="F274" i="9"/>
  <c r="E274" i="9"/>
  <c r="D274" i="9"/>
  <c r="K273" i="9"/>
  <c r="G273" i="9"/>
  <c r="I273" i="9" s="1"/>
  <c r="F273" i="9"/>
  <c r="L273" i="9" s="1"/>
  <c r="E273" i="9"/>
  <c r="D273" i="9"/>
  <c r="K272" i="9"/>
  <c r="L272" i="9" s="1"/>
  <c r="J272" i="9"/>
  <c r="G272" i="9"/>
  <c r="I272" i="9" s="1"/>
  <c r="F272" i="9"/>
  <c r="E272" i="9"/>
  <c r="D272" i="9"/>
  <c r="K271" i="9"/>
  <c r="L271" i="9" s="1"/>
  <c r="J271" i="9"/>
  <c r="G271" i="9"/>
  <c r="I271" i="9" s="1"/>
  <c r="F271" i="9"/>
  <c r="E271" i="9"/>
  <c r="D271" i="9"/>
  <c r="K270" i="9"/>
  <c r="J270" i="9"/>
  <c r="G270" i="9"/>
  <c r="I270" i="9" s="1"/>
  <c r="F270" i="9"/>
  <c r="E270" i="9"/>
  <c r="D270" i="9"/>
  <c r="K269" i="9"/>
  <c r="G269" i="9"/>
  <c r="I269" i="9" s="1"/>
  <c r="F269" i="9"/>
  <c r="L269" i="9" s="1"/>
  <c r="E269" i="9"/>
  <c r="D269" i="9"/>
  <c r="L268" i="9"/>
  <c r="K268" i="9"/>
  <c r="J268" i="9"/>
  <c r="G268" i="9"/>
  <c r="I268" i="9" s="1"/>
  <c r="F268" i="9"/>
  <c r="E268" i="9"/>
  <c r="D268" i="9"/>
  <c r="K267" i="9"/>
  <c r="L267" i="9" s="1"/>
  <c r="J267" i="9"/>
  <c r="I267" i="9"/>
  <c r="H267" i="9"/>
  <c r="G267" i="9"/>
  <c r="F267" i="9"/>
  <c r="E267" i="9"/>
  <c r="D267" i="9"/>
  <c r="K266" i="9"/>
  <c r="G266" i="9"/>
  <c r="F266" i="9"/>
  <c r="L266" i="9" s="1"/>
  <c r="E266" i="9"/>
  <c r="D266" i="9"/>
  <c r="K265" i="9"/>
  <c r="J265" i="9"/>
  <c r="G265" i="9"/>
  <c r="I265" i="9" s="1"/>
  <c r="F265" i="9"/>
  <c r="E265" i="9"/>
  <c r="D265" i="9"/>
  <c r="K264" i="9"/>
  <c r="L264" i="9" s="1"/>
  <c r="G264" i="9"/>
  <c r="I264" i="9" s="1"/>
  <c r="F264" i="9"/>
  <c r="E264" i="9"/>
  <c r="D264" i="9"/>
  <c r="K263" i="9"/>
  <c r="L263" i="9" s="1"/>
  <c r="G263" i="9"/>
  <c r="F263" i="9"/>
  <c r="E263" i="9"/>
  <c r="D263" i="9"/>
  <c r="K262" i="9"/>
  <c r="J262" i="9"/>
  <c r="G262" i="9"/>
  <c r="I262" i="9" s="1"/>
  <c r="F262" i="9"/>
  <c r="E262" i="9"/>
  <c r="D262" i="9"/>
  <c r="K261" i="9"/>
  <c r="J261" i="9"/>
  <c r="H261" i="9"/>
  <c r="G261" i="9"/>
  <c r="I261" i="9" s="1"/>
  <c r="F261" i="9"/>
  <c r="E261" i="9"/>
  <c r="D261" i="9"/>
  <c r="K260" i="9"/>
  <c r="L260" i="9" s="1"/>
  <c r="G260" i="9"/>
  <c r="I260" i="9" s="1"/>
  <c r="F260" i="9"/>
  <c r="E260" i="9"/>
  <c r="D260" i="9"/>
  <c r="K259" i="9"/>
  <c r="L259" i="9" s="1"/>
  <c r="J259" i="9"/>
  <c r="G259" i="9"/>
  <c r="I259" i="9" s="1"/>
  <c r="F259" i="9"/>
  <c r="E259" i="9"/>
  <c r="D259" i="9"/>
  <c r="K258" i="9"/>
  <c r="G258" i="9"/>
  <c r="J258" i="9" s="1"/>
  <c r="F258" i="9"/>
  <c r="L258" i="9" s="1"/>
  <c r="E258" i="9"/>
  <c r="D258" i="9"/>
  <c r="K257" i="9"/>
  <c r="G257" i="9"/>
  <c r="I257" i="9" s="1"/>
  <c r="F257" i="9"/>
  <c r="L257" i="9" s="1"/>
  <c r="E257" i="9"/>
  <c r="D257" i="9"/>
  <c r="K256" i="9"/>
  <c r="L256" i="9" s="1"/>
  <c r="J256" i="9"/>
  <c r="G256" i="9"/>
  <c r="I256" i="9" s="1"/>
  <c r="F256" i="9"/>
  <c r="E256" i="9"/>
  <c r="D256" i="9"/>
  <c r="K255" i="9"/>
  <c r="L255" i="9" s="1"/>
  <c r="J255" i="9"/>
  <c r="G255" i="9"/>
  <c r="I255" i="9" s="1"/>
  <c r="F255" i="9"/>
  <c r="E255" i="9"/>
  <c r="D255" i="9"/>
  <c r="K254" i="9"/>
  <c r="G254" i="9"/>
  <c r="F254" i="9"/>
  <c r="L254" i="9" s="1"/>
  <c r="E254" i="9"/>
  <c r="D254" i="9"/>
  <c r="K253" i="9"/>
  <c r="J253" i="9"/>
  <c r="G253" i="9"/>
  <c r="I253" i="9" s="1"/>
  <c r="F253" i="9"/>
  <c r="E253" i="9"/>
  <c r="D253" i="9"/>
  <c r="K252" i="9"/>
  <c r="L252" i="9" s="1"/>
  <c r="G252" i="9"/>
  <c r="I252" i="9" s="1"/>
  <c r="F252" i="9"/>
  <c r="E252" i="9"/>
  <c r="D252" i="9"/>
  <c r="K251" i="9"/>
  <c r="L251" i="9" s="1"/>
  <c r="G251" i="9"/>
  <c r="F251" i="9"/>
  <c r="E251" i="9"/>
  <c r="D251" i="9"/>
  <c r="K250" i="9"/>
  <c r="J250" i="9"/>
  <c r="G250" i="9"/>
  <c r="I250" i="9" s="1"/>
  <c r="F250" i="9"/>
  <c r="E250" i="9"/>
  <c r="D250" i="9"/>
  <c r="K249" i="9"/>
  <c r="G249" i="9"/>
  <c r="I249" i="9" s="1"/>
  <c r="F249" i="9"/>
  <c r="E249" i="9"/>
  <c r="D249" i="9"/>
  <c r="K248" i="9"/>
  <c r="L248" i="9" s="1"/>
  <c r="G248" i="9"/>
  <c r="I248" i="9" s="1"/>
  <c r="F248" i="9"/>
  <c r="E248" i="9"/>
  <c r="D248" i="9"/>
  <c r="L247" i="9"/>
  <c r="K247" i="9"/>
  <c r="J247" i="9"/>
  <c r="G247" i="9"/>
  <c r="I247" i="9" s="1"/>
  <c r="F247" i="9"/>
  <c r="E247" i="9"/>
  <c r="D247" i="9"/>
  <c r="K246" i="9"/>
  <c r="J246" i="9"/>
  <c r="I246" i="9"/>
  <c r="H246" i="9"/>
  <c r="G246" i="9"/>
  <c r="F246" i="9"/>
  <c r="E246" i="9"/>
  <c r="D246" i="9"/>
  <c r="K245" i="9"/>
  <c r="G245" i="9"/>
  <c r="I245" i="9" s="1"/>
  <c r="F245" i="9"/>
  <c r="L245" i="9" s="1"/>
  <c r="E245" i="9"/>
  <c r="D245" i="9"/>
  <c r="K244" i="9"/>
  <c r="L244" i="9" s="1"/>
  <c r="J244" i="9"/>
  <c r="G244" i="9"/>
  <c r="I244" i="9" s="1"/>
  <c r="F244" i="9"/>
  <c r="E244" i="9"/>
  <c r="D244" i="9"/>
  <c r="K243" i="9"/>
  <c r="L243" i="9" s="1"/>
  <c r="G243" i="9"/>
  <c r="J243" i="9" s="1"/>
  <c r="F243" i="9"/>
  <c r="E243" i="9"/>
  <c r="D243" i="9"/>
  <c r="K242" i="9"/>
  <c r="G242" i="9"/>
  <c r="F242" i="9"/>
  <c r="L242" i="9" s="1"/>
  <c r="E242" i="9"/>
  <c r="D242" i="9"/>
  <c r="K241" i="9"/>
  <c r="J241" i="9"/>
  <c r="G241" i="9"/>
  <c r="I241" i="9" s="1"/>
  <c r="F241" i="9"/>
  <c r="E241" i="9"/>
  <c r="D241" i="9"/>
  <c r="K240" i="9"/>
  <c r="L240" i="9" s="1"/>
  <c r="J240" i="9"/>
  <c r="H240" i="9"/>
  <c r="G240" i="9"/>
  <c r="I240" i="9" s="1"/>
  <c r="F240" i="9"/>
  <c r="E240" i="9"/>
  <c r="D240" i="9"/>
  <c r="K239" i="9"/>
  <c r="L239" i="9" s="1"/>
  <c r="G239" i="9"/>
  <c r="F239" i="9"/>
  <c r="E239" i="9"/>
  <c r="D239" i="9"/>
  <c r="K238" i="9"/>
  <c r="J238" i="9"/>
  <c r="G238" i="9"/>
  <c r="I238" i="9" s="1"/>
  <c r="F238" i="9"/>
  <c r="E238" i="9"/>
  <c r="D238" i="9"/>
  <c r="K237" i="9"/>
  <c r="G237" i="9"/>
  <c r="I237" i="9" s="1"/>
  <c r="F237" i="9"/>
  <c r="L237" i="9" s="1"/>
  <c r="E237" i="9"/>
  <c r="D237" i="9"/>
  <c r="K236" i="9"/>
  <c r="L236" i="9" s="1"/>
  <c r="G236" i="9"/>
  <c r="I236" i="9" s="1"/>
  <c r="F236" i="9"/>
  <c r="E236" i="9"/>
  <c r="D236" i="9"/>
  <c r="K235" i="9"/>
  <c r="L235" i="9" s="1"/>
  <c r="J235" i="9"/>
  <c r="G235" i="9"/>
  <c r="I235" i="9" s="1"/>
  <c r="F235" i="9"/>
  <c r="E235" i="9"/>
  <c r="D235" i="9"/>
  <c r="K234" i="9"/>
  <c r="J234" i="9"/>
  <c r="G234" i="9"/>
  <c r="I234" i="9" s="1"/>
  <c r="F234" i="9"/>
  <c r="E234" i="9"/>
  <c r="D234" i="9"/>
  <c r="K233" i="9"/>
  <c r="G233" i="9"/>
  <c r="I233" i="9" s="1"/>
  <c r="F233" i="9"/>
  <c r="L233" i="9" s="1"/>
  <c r="E233" i="9"/>
  <c r="D233" i="9"/>
  <c r="L232" i="9"/>
  <c r="K232" i="9"/>
  <c r="J232" i="9"/>
  <c r="G232" i="9"/>
  <c r="I232" i="9" s="1"/>
  <c r="F232" i="9"/>
  <c r="E232" i="9"/>
  <c r="D232" i="9"/>
  <c r="K231" i="9"/>
  <c r="L231" i="9" s="1"/>
  <c r="J231" i="9"/>
  <c r="I231" i="9"/>
  <c r="H231" i="9"/>
  <c r="G231" i="9"/>
  <c r="F231" i="9"/>
  <c r="E231" i="9"/>
  <c r="D231" i="9"/>
  <c r="K230" i="9"/>
  <c r="G230" i="9"/>
  <c r="F230" i="9"/>
  <c r="L230" i="9" s="1"/>
  <c r="E230" i="9"/>
  <c r="D230" i="9"/>
  <c r="K229" i="9"/>
  <c r="H229" i="9"/>
  <c r="G229" i="9"/>
  <c r="J229" i="9" s="1"/>
  <c r="F229" i="9"/>
  <c r="E229" i="9"/>
  <c r="D229" i="9"/>
  <c r="L228" i="9"/>
  <c r="K228" i="9"/>
  <c r="G228" i="9"/>
  <c r="I228" i="9" s="1"/>
  <c r="F228" i="9"/>
  <c r="E228" i="9"/>
  <c r="D228" i="9"/>
  <c r="L227" i="9"/>
  <c r="K227" i="9"/>
  <c r="G227" i="9"/>
  <c r="J227" i="9" s="1"/>
  <c r="F227" i="9"/>
  <c r="E227" i="9"/>
  <c r="D227" i="9"/>
  <c r="K226" i="9"/>
  <c r="J226" i="9"/>
  <c r="G226" i="9"/>
  <c r="I226" i="9" s="1"/>
  <c r="F226" i="9"/>
  <c r="L226" i="9" s="1"/>
  <c r="E226" i="9"/>
  <c r="D226" i="9"/>
  <c r="K225" i="9"/>
  <c r="J225" i="9"/>
  <c r="I225" i="9"/>
  <c r="G225" i="9"/>
  <c r="H225" i="9" s="1"/>
  <c r="F225" i="9"/>
  <c r="E225" i="9"/>
  <c r="D225" i="9"/>
  <c r="K224" i="9"/>
  <c r="J224" i="9"/>
  <c r="H224" i="9"/>
  <c r="G224" i="9"/>
  <c r="I224" i="9" s="1"/>
  <c r="F224" i="9"/>
  <c r="E224" i="9"/>
  <c r="D224" i="9"/>
  <c r="K223" i="9"/>
  <c r="L223" i="9" s="1"/>
  <c r="G223" i="9"/>
  <c r="F223" i="9"/>
  <c r="E223" i="9"/>
  <c r="D223" i="9"/>
  <c r="K222" i="9"/>
  <c r="L222" i="9" s="1"/>
  <c r="H222" i="9"/>
  <c r="G222" i="9"/>
  <c r="J222" i="9" s="1"/>
  <c r="F222" i="9"/>
  <c r="E222" i="9"/>
  <c r="D222" i="9"/>
  <c r="K221" i="9"/>
  <c r="G221" i="9"/>
  <c r="J221" i="9" s="1"/>
  <c r="F221" i="9"/>
  <c r="E221" i="9"/>
  <c r="D221" i="9"/>
  <c r="K220" i="9"/>
  <c r="H220" i="9"/>
  <c r="G220" i="9"/>
  <c r="F220" i="9"/>
  <c r="L220" i="9" s="1"/>
  <c r="E220" i="9"/>
  <c r="D220" i="9"/>
  <c r="L219" i="9"/>
  <c r="K219" i="9"/>
  <c r="J219" i="9"/>
  <c r="I219" i="9"/>
  <c r="H219" i="9"/>
  <c r="G219" i="9"/>
  <c r="F219" i="9"/>
  <c r="E219" i="9"/>
  <c r="D219" i="9"/>
  <c r="K218" i="9"/>
  <c r="L218" i="9" s="1"/>
  <c r="J218" i="9"/>
  <c r="I218" i="9"/>
  <c r="G218" i="9"/>
  <c r="H218" i="9" s="1"/>
  <c r="F218" i="9"/>
  <c r="E218" i="9"/>
  <c r="D218" i="9"/>
  <c r="K217" i="9"/>
  <c r="J217" i="9"/>
  <c r="I217" i="9"/>
  <c r="G217" i="9"/>
  <c r="H217" i="9" s="1"/>
  <c r="F217" i="9"/>
  <c r="L217" i="9" s="1"/>
  <c r="E217" i="9"/>
  <c r="D217" i="9"/>
  <c r="K216" i="9"/>
  <c r="G216" i="9"/>
  <c r="I216" i="9" s="1"/>
  <c r="F216" i="9"/>
  <c r="L216" i="9" s="1"/>
  <c r="E216" i="9"/>
  <c r="D216" i="9"/>
  <c r="L215" i="9"/>
  <c r="K215" i="9"/>
  <c r="J215" i="9"/>
  <c r="G215" i="9"/>
  <c r="I215" i="9" s="1"/>
  <c r="F215" i="9"/>
  <c r="E215" i="9"/>
  <c r="D215" i="9"/>
  <c r="K214" i="9"/>
  <c r="L214" i="9" s="1"/>
  <c r="J214" i="9"/>
  <c r="I214" i="9"/>
  <c r="H214" i="9"/>
  <c r="G214" i="9"/>
  <c r="F214" i="9"/>
  <c r="E214" i="9"/>
  <c r="D214" i="9"/>
  <c r="K213" i="9"/>
  <c r="G213" i="9"/>
  <c r="F213" i="9"/>
  <c r="L213" i="9" s="1"/>
  <c r="E213" i="9"/>
  <c r="D213" i="9"/>
  <c r="L212" i="9"/>
  <c r="K212" i="9"/>
  <c r="H212" i="9"/>
  <c r="G212" i="9"/>
  <c r="I212" i="9" s="1"/>
  <c r="F212" i="9"/>
  <c r="E212" i="9"/>
  <c r="D212" i="9"/>
  <c r="K211" i="9"/>
  <c r="L211" i="9" s="1"/>
  <c r="J211" i="9"/>
  <c r="I211" i="9"/>
  <c r="H211" i="9"/>
  <c r="G211" i="9"/>
  <c r="F211" i="9"/>
  <c r="E211" i="9"/>
  <c r="D211" i="9"/>
  <c r="K210" i="9"/>
  <c r="G210" i="9"/>
  <c r="J210" i="9" s="1"/>
  <c r="F210" i="9"/>
  <c r="L210" i="9" s="1"/>
  <c r="E210" i="9"/>
  <c r="D210" i="9"/>
  <c r="K209" i="9"/>
  <c r="J209" i="9"/>
  <c r="G209" i="9"/>
  <c r="I209" i="9" s="1"/>
  <c r="F209" i="9"/>
  <c r="L209" i="9" s="1"/>
  <c r="E209" i="9"/>
  <c r="D209" i="9"/>
  <c r="L208" i="9"/>
  <c r="K208" i="9"/>
  <c r="J208" i="9"/>
  <c r="G208" i="9"/>
  <c r="I208" i="9" s="1"/>
  <c r="F208" i="9"/>
  <c r="E208" i="9"/>
  <c r="D208" i="9"/>
  <c r="K207" i="9"/>
  <c r="L207" i="9" s="1"/>
  <c r="J207" i="9"/>
  <c r="I207" i="9"/>
  <c r="G207" i="9"/>
  <c r="H207" i="9" s="1"/>
  <c r="F207" i="9"/>
  <c r="E207" i="9"/>
  <c r="D207" i="9"/>
  <c r="K206" i="9"/>
  <c r="H206" i="9"/>
  <c r="G206" i="9"/>
  <c r="F206" i="9"/>
  <c r="L206" i="9" s="1"/>
  <c r="E206" i="9"/>
  <c r="D206" i="9"/>
  <c r="K205" i="9"/>
  <c r="H205" i="9"/>
  <c r="G205" i="9"/>
  <c r="J205" i="9" s="1"/>
  <c r="F205" i="9"/>
  <c r="E205" i="9"/>
  <c r="D205" i="9"/>
  <c r="K204" i="9"/>
  <c r="L204" i="9" s="1"/>
  <c r="H204" i="9"/>
  <c r="G204" i="9"/>
  <c r="I204" i="9" s="1"/>
  <c r="F204" i="9"/>
  <c r="E204" i="9"/>
  <c r="D204" i="9"/>
  <c r="L203" i="9"/>
  <c r="K203" i="9"/>
  <c r="G203" i="9"/>
  <c r="J203" i="9" s="1"/>
  <c r="F203" i="9"/>
  <c r="E203" i="9"/>
  <c r="D203" i="9"/>
  <c r="K202" i="9"/>
  <c r="J202" i="9"/>
  <c r="G202" i="9"/>
  <c r="I202" i="9" s="1"/>
  <c r="F202" i="9"/>
  <c r="L202" i="9" s="1"/>
  <c r="E202" i="9"/>
  <c r="D202" i="9"/>
  <c r="K201" i="9"/>
  <c r="J201" i="9"/>
  <c r="I201" i="9"/>
  <c r="G201" i="9"/>
  <c r="H201" i="9" s="1"/>
  <c r="F201" i="9"/>
  <c r="E201" i="9"/>
  <c r="D201" i="9"/>
  <c r="K200" i="9"/>
  <c r="J200" i="9"/>
  <c r="G200" i="9"/>
  <c r="I200" i="9" s="1"/>
  <c r="F200" i="9"/>
  <c r="E200" i="9"/>
  <c r="D200" i="9"/>
  <c r="K199" i="9"/>
  <c r="L199" i="9" s="1"/>
  <c r="G199" i="9"/>
  <c r="F199" i="9"/>
  <c r="E199" i="9"/>
  <c r="D199" i="9"/>
  <c r="L198" i="9"/>
  <c r="K198" i="9"/>
  <c r="H198" i="9"/>
  <c r="G198" i="9"/>
  <c r="J198" i="9" s="1"/>
  <c r="F198" i="9"/>
  <c r="E198" i="9"/>
  <c r="D198" i="9"/>
  <c r="K197" i="9"/>
  <c r="J197" i="9"/>
  <c r="H197" i="9"/>
  <c r="G197" i="9"/>
  <c r="I197" i="9" s="1"/>
  <c r="F197" i="9"/>
  <c r="E197" i="9"/>
  <c r="D197" i="9"/>
  <c r="K196" i="9"/>
  <c r="H196" i="9"/>
  <c r="G196" i="9"/>
  <c r="F196" i="9"/>
  <c r="L196" i="9" s="1"/>
  <c r="E196" i="9"/>
  <c r="D196" i="9"/>
  <c r="L195" i="9"/>
  <c r="K195" i="9"/>
  <c r="J195" i="9"/>
  <c r="I195" i="9"/>
  <c r="H195" i="9"/>
  <c r="G195" i="9"/>
  <c r="F195" i="9"/>
  <c r="E195" i="9"/>
  <c r="D195" i="9"/>
  <c r="K194" i="9"/>
  <c r="L194" i="9" s="1"/>
  <c r="J194" i="9"/>
  <c r="I194" i="9"/>
  <c r="G194" i="9"/>
  <c r="H194" i="9" s="1"/>
  <c r="F194" i="9"/>
  <c r="E194" i="9"/>
  <c r="D194" i="9"/>
  <c r="K193" i="9"/>
  <c r="G193" i="9"/>
  <c r="J193" i="9" s="1"/>
  <c r="F193" i="9"/>
  <c r="L193" i="9" s="1"/>
  <c r="E193" i="9"/>
  <c r="D193" i="9"/>
  <c r="K192" i="9"/>
  <c r="G192" i="9"/>
  <c r="I192" i="9" s="1"/>
  <c r="F192" i="9"/>
  <c r="L192" i="9" s="1"/>
  <c r="E192" i="9"/>
  <c r="D192" i="9"/>
  <c r="K191" i="9"/>
  <c r="L191" i="9" s="1"/>
  <c r="J191" i="9"/>
  <c r="G191" i="9"/>
  <c r="I191" i="9" s="1"/>
  <c r="F191" i="9"/>
  <c r="E191" i="9"/>
  <c r="D191" i="9"/>
  <c r="K190" i="9"/>
  <c r="L190" i="9" s="1"/>
  <c r="J190" i="9"/>
  <c r="I190" i="9"/>
  <c r="G190" i="9"/>
  <c r="H190" i="9" s="1"/>
  <c r="F190" i="9"/>
  <c r="E190" i="9"/>
  <c r="D190" i="9"/>
  <c r="K189" i="9"/>
  <c r="H189" i="9"/>
  <c r="G189" i="9"/>
  <c r="F189" i="9"/>
  <c r="L189" i="9" s="1"/>
  <c r="E189" i="9"/>
  <c r="D189" i="9"/>
  <c r="L188" i="9"/>
  <c r="K188" i="9"/>
  <c r="H188" i="9"/>
  <c r="G188" i="9"/>
  <c r="I188" i="9" s="1"/>
  <c r="F188" i="9"/>
  <c r="E188" i="9"/>
  <c r="D188" i="9"/>
  <c r="L187" i="9"/>
  <c r="K187" i="9"/>
  <c r="J187" i="9"/>
  <c r="I187" i="9"/>
  <c r="H187" i="9"/>
  <c r="G187" i="9"/>
  <c r="F187" i="9"/>
  <c r="E187" i="9"/>
  <c r="D187" i="9"/>
  <c r="K186" i="9"/>
  <c r="H186" i="9"/>
  <c r="G186" i="9"/>
  <c r="J186" i="9" s="1"/>
  <c r="F186" i="9"/>
  <c r="L186" i="9" s="1"/>
  <c r="E186" i="9"/>
  <c r="D186" i="9"/>
  <c r="K185" i="9"/>
  <c r="J185" i="9"/>
  <c r="G185" i="9"/>
  <c r="I185" i="9" s="1"/>
  <c r="F185" i="9"/>
  <c r="L185" i="9" s="1"/>
  <c r="E185" i="9"/>
  <c r="D185" i="9"/>
  <c r="K184" i="9"/>
  <c r="L184" i="9" s="1"/>
  <c r="J184" i="9"/>
  <c r="G184" i="9"/>
  <c r="I184" i="9" s="1"/>
  <c r="F184" i="9"/>
  <c r="E184" i="9"/>
  <c r="D184" i="9"/>
  <c r="K183" i="9"/>
  <c r="L183" i="9" s="1"/>
  <c r="G183" i="9"/>
  <c r="J183" i="9" s="1"/>
  <c r="F183" i="9"/>
  <c r="E183" i="9"/>
  <c r="D183" i="9"/>
  <c r="K182" i="9"/>
  <c r="H182" i="9"/>
  <c r="G182" i="9"/>
  <c r="F182" i="9"/>
  <c r="L182" i="9" s="1"/>
  <c r="E182" i="9"/>
  <c r="D182" i="9"/>
  <c r="K181" i="9"/>
  <c r="H181" i="9"/>
  <c r="G181" i="9"/>
  <c r="J181" i="9" s="1"/>
  <c r="F181" i="9"/>
  <c r="E181" i="9"/>
  <c r="D181" i="9"/>
  <c r="K180" i="9"/>
  <c r="L180" i="9" s="1"/>
  <c r="J180" i="9"/>
  <c r="H180" i="9"/>
  <c r="G180" i="9"/>
  <c r="I180" i="9" s="1"/>
  <c r="F180" i="9"/>
  <c r="E180" i="9"/>
  <c r="D180" i="9"/>
  <c r="L179" i="9"/>
  <c r="K179" i="9"/>
  <c r="I179" i="9"/>
  <c r="G179" i="9"/>
  <c r="J179" i="9" s="1"/>
  <c r="F179" i="9"/>
  <c r="E179" i="9"/>
  <c r="D179" i="9"/>
  <c r="K178" i="9"/>
  <c r="J178" i="9"/>
  <c r="G178" i="9"/>
  <c r="I178" i="9" s="1"/>
  <c r="F178" i="9"/>
  <c r="L178" i="9" s="1"/>
  <c r="E178" i="9"/>
  <c r="D178" i="9"/>
  <c r="K177" i="9"/>
  <c r="J177" i="9"/>
  <c r="I177" i="9"/>
  <c r="G177" i="9"/>
  <c r="H177" i="9" s="1"/>
  <c r="F177" i="9"/>
  <c r="E177" i="9"/>
  <c r="D177" i="9"/>
  <c r="K176" i="9"/>
  <c r="G176" i="9"/>
  <c r="I176" i="9" s="1"/>
  <c r="F176" i="9"/>
  <c r="L176" i="9" s="1"/>
  <c r="E176" i="9"/>
  <c r="D176" i="9"/>
  <c r="K175" i="9"/>
  <c r="L175" i="9" s="1"/>
  <c r="G175" i="9"/>
  <c r="F175" i="9"/>
  <c r="E175" i="9"/>
  <c r="D175" i="9"/>
  <c r="K174" i="9"/>
  <c r="L174" i="9" s="1"/>
  <c r="H174" i="9"/>
  <c r="G174" i="9"/>
  <c r="J174" i="9" s="1"/>
  <c r="F174" i="9"/>
  <c r="E174" i="9"/>
  <c r="D174" i="9"/>
  <c r="K173" i="9"/>
  <c r="J173" i="9"/>
  <c r="I173" i="9"/>
  <c r="H173" i="9"/>
  <c r="G173" i="9"/>
  <c r="F173" i="9"/>
  <c r="E173" i="9"/>
  <c r="D173" i="9"/>
  <c r="K172" i="9"/>
  <c r="G172" i="9"/>
  <c r="F172" i="9"/>
  <c r="L172" i="9" s="1"/>
  <c r="E172" i="9"/>
  <c r="D172" i="9"/>
  <c r="L171" i="9"/>
  <c r="K171" i="9"/>
  <c r="J171" i="9"/>
  <c r="I171" i="9"/>
  <c r="H171" i="9"/>
  <c r="G171" i="9"/>
  <c r="F171" i="9"/>
  <c r="E171" i="9"/>
  <c r="D171" i="9"/>
  <c r="K170" i="9"/>
  <c r="L170" i="9" s="1"/>
  <c r="J170" i="9"/>
  <c r="I170" i="9"/>
  <c r="G170" i="9"/>
  <c r="H170" i="9" s="1"/>
  <c r="F170" i="9"/>
  <c r="E170" i="9"/>
  <c r="D170" i="9"/>
  <c r="K169" i="9"/>
  <c r="H169" i="9"/>
  <c r="G169" i="9"/>
  <c r="J169" i="9" s="1"/>
  <c r="F169" i="9"/>
  <c r="L169" i="9" s="1"/>
  <c r="E169" i="9"/>
  <c r="D169" i="9"/>
  <c r="K168" i="9"/>
  <c r="G168" i="9"/>
  <c r="I168" i="9" s="1"/>
  <c r="F168" i="9"/>
  <c r="L168" i="9" s="1"/>
  <c r="E168" i="9"/>
  <c r="D168" i="9"/>
  <c r="K167" i="9"/>
  <c r="L167" i="9" s="1"/>
  <c r="J167" i="9"/>
  <c r="G167" i="9"/>
  <c r="I167" i="9" s="1"/>
  <c r="F167" i="9"/>
  <c r="E167" i="9"/>
  <c r="D167" i="9"/>
  <c r="L166" i="9"/>
  <c r="K166" i="9"/>
  <c r="G166" i="9"/>
  <c r="J166" i="9" s="1"/>
  <c r="F166" i="9"/>
  <c r="E166" i="9"/>
  <c r="D166" i="9"/>
  <c r="K165" i="9"/>
  <c r="H165" i="9"/>
  <c r="G165" i="9"/>
  <c r="F165" i="9"/>
  <c r="L165" i="9" s="1"/>
  <c r="E165" i="9"/>
  <c r="D165" i="9"/>
  <c r="L164" i="9"/>
  <c r="K164" i="9"/>
  <c r="H164" i="9"/>
  <c r="G164" i="9"/>
  <c r="I164" i="9" s="1"/>
  <c r="F164" i="9"/>
  <c r="E164" i="9"/>
  <c r="D164" i="9"/>
  <c r="L163" i="9"/>
  <c r="K163" i="9"/>
  <c r="J163" i="9"/>
  <c r="I163" i="9"/>
  <c r="H163" i="9"/>
  <c r="G163" i="9"/>
  <c r="F163" i="9"/>
  <c r="E163" i="9"/>
  <c r="D163" i="9"/>
  <c r="K162" i="9"/>
  <c r="J162" i="9"/>
  <c r="I162" i="9"/>
  <c r="H162" i="9"/>
  <c r="G162" i="9"/>
  <c r="F162" i="9"/>
  <c r="L162" i="9" s="1"/>
  <c r="E162" i="9"/>
  <c r="D162" i="9"/>
  <c r="K161" i="9"/>
  <c r="J161" i="9"/>
  <c r="G161" i="9"/>
  <c r="I161" i="9" s="1"/>
  <c r="F161" i="9"/>
  <c r="L161" i="9" s="1"/>
  <c r="E161" i="9"/>
  <c r="D161" i="9"/>
  <c r="K160" i="9"/>
  <c r="L160" i="9" s="1"/>
  <c r="J160" i="9"/>
  <c r="G160" i="9"/>
  <c r="I160" i="9" s="1"/>
  <c r="F160" i="9"/>
  <c r="E160" i="9"/>
  <c r="D160" i="9"/>
  <c r="K159" i="9"/>
  <c r="L159" i="9" s="1"/>
  <c r="H159" i="9"/>
  <c r="G159" i="9"/>
  <c r="J159" i="9" s="1"/>
  <c r="F159" i="9"/>
  <c r="E159" i="9"/>
  <c r="D159" i="9"/>
  <c r="K158" i="9"/>
  <c r="H158" i="9"/>
  <c r="G158" i="9"/>
  <c r="F158" i="9"/>
  <c r="L158" i="9" s="1"/>
  <c r="E158" i="9"/>
  <c r="D158" i="9"/>
  <c r="K157" i="9"/>
  <c r="H157" i="9"/>
  <c r="G157" i="9"/>
  <c r="J157" i="9" s="1"/>
  <c r="F157" i="9"/>
  <c r="E157" i="9"/>
  <c r="D157" i="9"/>
  <c r="L156" i="9"/>
  <c r="K156" i="9"/>
  <c r="J156" i="9"/>
  <c r="H156" i="9"/>
  <c r="G156" i="9"/>
  <c r="I156" i="9" s="1"/>
  <c r="F156" i="9"/>
  <c r="E156" i="9"/>
  <c r="D156" i="9"/>
  <c r="L155" i="9"/>
  <c r="K155" i="9"/>
  <c r="I155" i="9"/>
  <c r="H155" i="9"/>
  <c r="G155" i="9"/>
  <c r="J155" i="9" s="1"/>
  <c r="F155" i="9"/>
  <c r="E155" i="9"/>
  <c r="D155" i="9"/>
  <c r="K154" i="9"/>
  <c r="J154" i="9"/>
  <c r="G154" i="9"/>
  <c r="I154" i="9" s="1"/>
  <c r="F154" i="9"/>
  <c r="L154" i="9" s="1"/>
  <c r="E154" i="9"/>
  <c r="D154" i="9"/>
  <c r="K153" i="9"/>
  <c r="J153" i="9"/>
  <c r="I153" i="9"/>
  <c r="G153" i="9"/>
  <c r="H153" i="9" s="1"/>
  <c r="F153" i="9"/>
  <c r="E153" i="9"/>
  <c r="D153" i="9"/>
  <c r="K152" i="9"/>
  <c r="H152" i="9"/>
  <c r="G152" i="9"/>
  <c r="I152" i="9" s="1"/>
  <c r="F152" i="9"/>
  <c r="L152" i="9" s="1"/>
  <c r="E152" i="9"/>
  <c r="D152" i="9"/>
  <c r="K151" i="9"/>
  <c r="L151" i="9" s="1"/>
  <c r="G151" i="9"/>
  <c r="F151" i="9"/>
  <c r="E151" i="9"/>
  <c r="D151" i="9"/>
  <c r="K150" i="9"/>
  <c r="L150" i="9" s="1"/>
  <c r="H150" i="9"/>
  <c r="G150" i="9"/>
  <c r="J150" i="9" s="1"/>
  <c r="F150" i="9"/>
  <c r="E150" i="9"/>
  <c r="D150" i="9"/>
  <c r="K149" i="9"/>
  <c r="J149" i="9"/>
  <c r="I149" i="9"/>
  <c r="H149" i="9"/>
  <c r="G149" i="9"/>
  <c r="F149" i="9"/>
  <c r="E149" i="9"/>
  <c r="D149" i="9"/>
  <c r="K148" i="9"/>
  <c r="G148" i="9"/>
  <c r="F148" i="9"/>
  <c r="L148" i="9" s="1"/>
  <c r="E148" i="9"/>
  <c r="D148" i="9"/>
  <c r="L147" i="9"/>
  <c r="K147" i="9"/>
  <c r="J147" i="9"/>
  <c r="I147" i="9"/>
  <c r="H147" i="9"/>
  <c r="G147" i="9"/>
  <c r="F147" i="9"/>
  <c r="E147" i="9"/>
  <c r="D147" i="9"/>
  <c r="L146" i="9"/>
  <c r="K146" i="9"/>
  <c r="J146" i="9"/>
  <c r="I146" i="9"/>
  <c r="G146" i="9"/>
  <c r="H146" i="9" s="1"/>
  <c r="F146" i="9"/>
  <c r="E146" i="9"/>
  <c r="D146" i="9"/>
  <c r="K145" i="9"/>
  <c r="J145" i="9"/>
  <c r="I145" i="9"/>
  <c r="H145" i="9"/>
  <c r="G145" i="9"/>
  <c r="F145" i="9"/>
  <c r="L145" i="9" s="1"/>
  <c r="E145" i="9"/>
  <c r="D145" i="9"/>
  <c r="K144" i="9"/>
  <c r="G144" i="9"/>
  <c r="I144" i="9" s="1"/>
  <c r="F144" i="9"/>
  <c r="L144" i="9" s="1"/>
  <c r="E144" i="9"/>
  <c r="D144" i="9"/>
  <c r="L143" i="9"/>
  <c r="K143" i="9"/>
  <c r="J143" i="9"/>
  <c r="G143" i="9"/>
  <c r="I143" i="9" s="1"/>
  <c r="F143" i="9"/>
  <c r="E143" i="9"/>
  <c r="D143" i="9"/>
  <c r="L142" i="9"/>
  <c r="K142" i="9"/>
  <c r="H142" i="9"/>
  <c r="G142" i="9"/>
  <c r="J142" i="9" s="1"/>
  <c r="F142" i="9"/>
  <c r="E142" i="9"/>
  <c r="D142" i="9"/>
  <c r="K141" i="9"/>
  <c r="G141" i="9"/>
  <c r="J141" i="9" s="1"/>
  <c r="F141" i="9"/>
  <c r="L141" i="9" s="1"/>
  <c r="E141" i="9"/>
  <c r="D141" i="9"/>
  <c r="K140" i="9"/>
  <c r="J140" i="9"/>
  <c r="G140" i="9"/>
  <c r="I140" i="9" s="1"/>
  <c r="F140" i="9"/>
  <c r="L140" i="9" s="1"/>
  <c r="E140" i="9"/>
  <c r="D140" i="9"/>
  <c r="L139" i="9"/>
  <c r="K139" i="9"/>
  <c r="J139" i="9"/>
  <c r="G139" i="9"/>
  <c r="I139" i="9" s="1"/>
  <c r="F139" i="9"/>
  <c r="E139" i="9"/>
  <c r="D139" i="9"/>
  <c r="L138" i="9"/>
  <c r="K138" i="9"/>
  <c r="J138" i="9"/>
  <c r="I138" i="9"/>
  <c r="H138" i="9"/>
  <c r="G138" i="9"/>
  <c r="F138" i="9"/>
  <c r="E138" i="9"/>
  <c r="D138" i="9"/>
  <c r="K137" i="9"/>
  <c r="H137" i="9"/>
  <c r="G137" i="9"/>
  <c r="J137" i="9" s="1"/>
  <c r="F137" i="9"/>
  <c r="L137" i="9" s="1"/>
  <c r="E137" i="9"/>
  <c r="D137" i="9"/>
  <c r="K136" i="9"/>
  <c r="J136" i="9"/>
  <c r="G136" i="9"/>
  <c r="I136" i="9" s="1"/>
  <c r="F136" i="9"/>
  <c r="L136" i="9" s="1"/>
  <c r="E136" i="9"/>
  <c r="D136" i="9"/>
  <c r="K135" i="9"/>
  <c r="L135" i="9" s="1"/>
  <c r="J135" i="9"/>
  <c r="G135" i="9"/>
  <c r="I135" i="9" s="1"/>
  <c r="F135" i="9"/>
  <c r="E135" i="9"/>
  <c r="D135" i="9"/>
  <c r="L134" i="9"/>
  <c r="K134" i="9"/>
  <c r="G134" i="9"/>
  <c r="J134" i="9" s="1"/>
  <c r="F134" i="9"/>
  <c r="E134" i="9"/>
  <c r="D134" i="9"/>
  <c r="K133" i="9"/>
  <c r="I133" i="9"/>
  <c r="H133" i="9"/>
  <c r="G133" i="9"/>
  <c r="J133" i="9" s="1"/>
  <c r="F133" i="9"/>
  <c r="L133" i="9" s="1"/>
  <c r="E133" i="9"/>
  <c r="D133" i="9"/>
  <c r="K132" i="9"/>
  <c r="J132" i="9"/>
  <c r="G132" i="9"/>
  <c r="I132" i="9" s="1"/>
  <c r="F132" i="9"/>
  <c r="L132" i="9" s="1"/>
  <c r="E132" i="9"/>
  <c r="D132" i="9"/>
  <c r="L131" i="9"/>
  <c r="K131" i="9"/>
  <c r="J131" i="9"/>
  <c r="G131" i="9"/>
  <c r="I131" i="9" s="1"/>
  <c r="F131" i="9"/>
  <c r="E131" i="9"/>
  <c r="D131" i="9"/>
  <c r="K130" i="9"/>
  <c r="L130" i="9" s="1"/>
  <c r="J130" i="9"/>
  <c r="I130" i="9"/>
  <c r="H130" i="9"/>
  <c r="G130" i="9"/>
  <c r="F130" i="9"/>
  <c r="E130" i="9"/>
  <c r="D130" i="9"/>
  <c r="K129" i="9"/>
  <c r="G129" i="9"/>
  <c r="J129" i="9" s="1"/>
  <c r="F129" i="9"/>
  <c r="L129" i="9" s="1"/>
  <c r="E129" i="9"/>
  <c r="D129" i="9"/>
  <c r="K128" i="9"/>
  <c r="J128" i="9"/>
  <c r="G128" i="9"/>
  <c r="I128" i="9" s="1"/>
  <c r="F128" i="9"/>
  <c r="L128" i="9" s="1"/>
  <c r="E128" i="9"/>
  <c r="D128" i="9"/>
  <c r="K127" i="9"/>
  <c r="L127" i="9" s="1"/>
  <c r="G127" i="9"/>
  <c r="F127" i="9"/>
  <c r="E127" i="9"/>
  <c r="D127" i="9"/>
  <c r="L126" i="9"/>
  <c r="K126" i="9"/>
  <c r="J126" i="9"/>
  <c r="I126" i="9"/>
  <c r="H126" i="9"/>
  <c r="G126" i="9"/>
  <c r="F126" i="9"/>
  <c r="E126" i="9"/>
  <c r="D126" i="9"/>
  <c r="K125" i="9"/>
  <c r="I125" i="9"/>
  <c r="H125" i="9"/>
  <c r="G125" i="9"/>
  <c r="J125" i="9" s="1"/>
  <c r="F125" i="9"/>
  <c r="L125" i="9" s="1"/>
  <c r="E125" i="9"/>
  <c r="D125" i="9"/>
  <c r="K124" i="9"/>
  <c r="J124" i="9"/>
  <c r="G124" i="9"/>
  <c r="I124" i="9" s="1"/>
  <c r="F124" i="9"/>
  <c r="L124" i="9" s="1"/>
  <c r="E124" i="9"/>
  <c r="D124" i="9"/>
  <c r="K123" i="9"/>
  <c r="L123" i="9" s="1"/>
  <c r="J123" i="9"/>
  <c r="G123" i="9"/>
  <c r="F123" i="9"/>
  <c r="E123" i="9"/>
  <c r="D123" i="9"/>
  <c r="K122" i="9"/>
  <c r="L122" i="9" s="1"/>
  <c r="I122" i="9"/>
  <c r="H122" i="9"/>
  <c r="G122" i="9"/>
  <c r="J122" i="9" s="1"/>
  <c r="F122" i="9"/>
  <c r="E122" i="9"/>
  <c r="D122" i="9"/>
  <c r="K121" i="9"/>
  <c r="I121" i="9"/>
  <c r="H121" i="9"/>
  <c r="G121" i="9"/>
  <c r="J121" i="9" s="1"/>
  <c r="F121" i="9"/>
  <c r="L121" i="9" s="1"/>
  <c r="E121" i="9"/>
  <c r="D121" i="9"/>
  <c r="K120" i="9"/>
  <c r="J120" i="9"/>
  <c r="G120" i="9"/>
  <c r="I120" i="9" s="1"/>
  <c r="F120" i="9"/>
  <c r="L120" i="9" s="1"/>
  <c r="E120" i="9"/>
  <c r="D120" i="9"/>
  <c r="K119" i="9"/>
  <c r="L119" i="9" s="1"/>
  <c r="G119" i="9"/>
  <c r="F119" i="9"/>
  <c r="E119" i="9"/>
  <c r="D119" i="9"/>
  <c r="K118" i="9"/>
  <c r="L118" i="9" s="1"/>
  <c r="J118" i="9"/>
  <c r="I118" i="9"/>
  <c r="H118" i="9"/>
  <c r="G118" i="9"/>
  <c r="F118" i="9"/>
  <c r="E118" i="9"/>
  <c r="D118" i="9"/>
  <c r="K117" i="9"/>
  <c r="I117" i="9"/>
  <c r="H117" i="9"/>
  <c r="G117" i="9"/>
  <c r="J117" i="9" s="1"/>
  <c r="F117" i="9"/>
  <c r="L117" i="9" s="1"/>
  <c r="E117" i="9"/>
  <c r="D117" i="9"/>
  <c r="K116" i="9"/>
  <c r="J116" i="9"/>
  <c r="G116" i="9"/>
  <c r="I116" i="9" s="1"/>
  <c r="F116" i="9"/>
  <c r="L116" i="9" s="1"/>
  <c r="E116" i="9"/>
  <c r="D116" i="9"/>
  <c r="L115" i="9"/>
  <c r="K115" i="9"/>
  <c r="G115" i="9"/>
  <c r="F115" i="9"/>
  <c r="E115" i="9"/>
  <c r="D115" i="9"/>
  <c r="K114" i="9"/>
  <c r="L114" i="9" s="1"/>
  <c r="G114" i="9"/>
  <c r="J114" i="9" s="1"/>
  <c r="F114" i="9"/>
  <c r="E114" i="9"/>
  <c r="D114" i="9"/>
  <c r="K113" i="9"/>
  <c r="I113" i="9"/>
  <c r="H113" i="9"/>
  <c r="G113" i="9"/>
  <c r="J113" i="9" s="1"/>
  <c r="F113" i="9"/>
  <c r="L113" i="9" s="1"/>
  <c r="E113" i="9"/>
  <c r="D113" i="9"/>
  <c r="K112" i="9"/>
  <c r="J112" i="9"/>
  <c r="G112" i="9"/>
  <c r="I112" i="9" s="1"/>
  <c r="F112" i="9"/>
  <c r="L112" i="9" s="1"/>
  <c r="E112" i="9"/>
  <c r="D112" i="9"/>
  <c r="L111" i="9"/>
  <c r="K111" i="9"/>
  <c r="G111" i="9"/>
  <c r="F111" i="9"/>
  <c r="E111" i="9"/>
  <c r="D111" i="9"/>
  <c r="L110" i="9"/>
  <c r="K110" i="9"/>
  <c r="J110" i="9"/>
  <c r="I110" i="9"/>
  <c r="H110" i="9"/>
  <c r="G110" i="9"/>
  <c r="F110" i="9"/>
  <c r="E110" i="9"/>
  <c r="D110" i="9"/>
  <c r="K109" i="9"/>
  <c r="H109" i="9"/>
  <c r="G109" i="9"/>
  <c r="J109" i="9" s="1"/>
  <c r="F109" i="9"/>
  <c r="L109" i="9" s="1"/>
  <c r="E109" i="9"/>
  <c r="D109" i="9"/>
  <c r="K108" i="9"/>
  <c r="J108" i="9"/>
  <c r="G108" i="9"/>
  <c r="F108" i="9"/>
  <c r="L108" i="9" s="1"/>
  <c r="E108" i="9"/>
  <c r="D108" i="9"/>
  <c r="K107" i="9"/>
  <c r="L107" i="9" s="1"/>
  <c r="J107" i="9"/>
  <c r="G107" i="9"/>
  <c r="F107" i="9"/>
  <c r="E107" i="9"/>
  <c r="D107" i="9"/>
  <c r="L106" i="9"/>
  <c r="K106" i="9"/>
  <c r="G106" i="9"/>
  <c r="J106" i="9" s="1"/>
  <c r="F106" i="9"/>
  <c r="E106" i="9"/>
  <c r="D106" i="9"/>
  <c r="K105" i="9"/>
  <c r="J105" i="9"/>
  <c r="I105" i="9"/>
  <c r="H105" i="9"/>
  <c r="G105" i="9"/>
  <c r="F105" i="9"/>
  <c r="L105" i="9" s="1"/>
  <c r="E105" i="9"/>
  <c r="D105" i="9"/>
  <c r="K104" i="9"/>
  <c r="J104" i="9"/>
  <c r="G104" i="9"/>
  <c r="F104" i="9"/>
  <c r="L104" i="9" s="1"/>
  <c r="E104" i="9"/>
  <c r="D104" i="9"/>
  <c r="L103" i="9"/>
  <c r="K103" i="9"/>
  <c r="G103" i="9"/>
  <c r="F103" i="9"/>
  <c r="E103" i="9"/>
  <c r="D103" i="9"/>
  <c r="L102" i="9"/>
  <c r="K102" i="9"/>
  <c r="J102" i="9"/>
  <c r="I102" i="9"/>
  <c r="H102" i="9"/>
  <c r="G102" i="9"/>
  <c r="F102" i="9"/>
  <c r="E102" i="9"/>
  <c r="D102" i="9"/>
  <c r="K101" i="9"/>
  <c r="H101" i="9"/>
  <c r="G101" i="9"/>
  <c r="J101" i="9" s="1"/>
  <c r="F101" i="9"/>
  <c r="L101" i="9" s="1"/>
  <c r="E101" i="9"/>
  <c r="D101" i="9"/>
  <c r="K100" i="9"/>
  <c r="J100" i="9"/>
  <c r="G100" i="9"/>
  <c r="F100" i="9"/>
  <c r="L100" i="9" s="1"/>
  <c r="E100" i="9"/>
  <c r="D100" i="9"/>
  <c r="K99" i="9"/>
  <c r="L99" i="9" s="1"/>
  <c r="J99" i="9"/>
  <c r="G99" i="9"/>
  <c r="F99" i="9"/>
  <c r="E99" i="9"/>
  <c r="D99" i="9"/>
  <c r="L98" i="9"/>
  <c r="K98" i="9"/>
  <c r="G98" i="9"/>
  <c r="J98" i="9" s="1"/>
  <c r="F98" i="9"/>
  <c r="E98" i="9"/>
  <c r="D98" i="9"/>
  <c r="K97" i="9"/>
  <c r="J97" i="9"/>
  <c r="I97" i="9"/>
  <c r="H97" i="9"/>
  <c r="G97" i="9"/>
  <c r="F97" i="9"/>
  <c r="L97" i="9" s="1"/>
  <c r="E97" i="9"/>
  <c r="D97" i="9"/>
  <c r="K96" i="9"/>
  <c r="J96" i="9"/>
  <c r="G96" i="9"/>
  <c r="F96" i="9"/>
  <c r="L96" i="9" s="1"/>
  <c r="E96" i="9"/>
  <c r="D96" i="9"/>
  <c r="L95" i="9"/>
  <c r="K95" i="9"/>
  <c r="G95" i="9"/>
  <c r="F95" i="9"/>
  <c r="E95" i="9"/>
  <c r="D95" i="9"/>
  <c r="L94" i="9"/>
  <c r="K94" i="9"/>
  <c r="J94" i="9"/>
  <c r="I94" i="9"/>
  <c r="H94" i="9"/>
  <c r="G94" i="9"/>
  <c r="F94" i="9"/>
  <c r="E94" i="9"/>
  <c r="D94" i="9"/>
  <c r="K93" i="9"/>
  <c r="H93" i="9"/>
  <c r="G93" i="9"/>
  <c r="J93" i="9" s="1"/>
  <c r="F93" i="9"/>
  <c r="L93" i="9" s="1"/>
  <c r="E93" i="9"/>
  <c r="D93" i="9"/>
  <c r="K92" i="9"/>
  <c r="J92" i="9"/>
  <c r="G92" i="9"/>
  <c r="F92" i="9"/>
  <c r="L92" i="9" s="1"/>
  <c r="E92" i="9"/>
  <c r="D92" i="9"/>
  <c r="K91" i="9"/>
  <c r="L91" i="9" s="1"/>
  <c r="J91" i="9"/>
  <c r="G91" i="9"/>
  <c r="F91" i="9"/>
  <c r="E91" i="9"/>
  <c r="D91" i="9"/>
  <c r="L90" i="9"/>
  <c r="K90" i="9"/>
  <c r="G90" i="9"/>
  <c r="J90" i="9" s="1"/>
  <c r="F90" i="9"/>
  <c r="E90" i="9"/>
  <c r="D90" i="9"/>
  <c r="K89" i="9"/>
  <c r="J89" i="9"/>
  <c r="I89" i="9"/>
  <c r="H89" i="9"/>
  <c r="G89" i="9"/>
  <c r="F89" i="9"/>
  <c r="L89" i="9" s="1"/>
  <c r="E89" i="9"/>
  <c r="D89" i="9"/>
  <c r="K88" i="9"/>
  <c r="J88" i="9"/>
  <c r="G88" i="9"/>
  <c r="F88" i="9"/>
  <c r="L88" i="9" s="1"/>
  <c r="E88" i="9"/>
  <c r="D88" i="9"/>
  <c r="L87" i="9"/>
  <c r="K87" i="9"/>
  <c r="G87" i="9"/>
  <c r="F87" i="9"/>
  <c r="E87" i="9"/>
  <c r="D87" i="9"/>
  <c r="L86" i="9"/>
  <c r="K86" i="9"/>
  <c r="J86" i="9"/>
  <c r="I86" i="9"/>
  <c r="H86" i="9"/>
  <c r="G86" i="9"/>
  <c r="F86" i="9"/>
  <c r="E86" i="9"/>
  <c r="D86" i="9"/>
  <c r="K85" i="9"/>
  <c r="H85" i="9"/>
  <c r="G85" i="9"/>
  <c r="J85" i="9" s="1"/>
  <c r="F85" i="9"/>
  <c r="L85" i="9" s="1"/>
  <c r="E85" i="9"/>
  <c r="D85" i="9"/>
  <c r="K84" i="9"/>
  <c r="J84" i="9"/>
  <c r="G84" i="9"/>
  <c r="F84" i="9"/>
  <c r="L84" i="9" s="1"/>
  <c r="E84" i="9"/>
  <c r="D84" i="9"/>
  <c r="K83" i="9"/>
  <c r="L83" i="9" s="1"/>
  <c r="J83" i="9"/>
  <c r="G83" i="9"/>
  <c r="F83" i="9"/>
  <c r="E83" i="9"/>
  <c r="D83" i="9"/>
  <c r="L82" i="9"/>
  <c r="K82" i="9"/>
  <c r="G82" i="9"/>
  <c r="J82" i="9" s="1"/>
  <c r="F82" i="9"/>
  <c r="E82" i="9"/>
  <c r="D82" i="9"/>
  <c r="K81" i="9"/>
  <c r="J81" i="9"/>
  <c r="I81" i="9"/>
  <c r="H81" i="9"/>
  <c r="G81" i="9"/>
  <c r="F81" i="9"/>
  <c r="L81" i="9" s="1"/>
  <c r="E81" i="9"/>
  <c r="D81" i="9"/>
  <c r="K80" i="9"/>
  <c r="J80" i="9"/>
  <c r="G80" i="9"/>
  <c r="F80" i="9"/>
  <c r="L80" i="9" s="1"/>
  <c r="E80" i="9"/>
  <c r="D80" i="9"/>
  <c r="L79" i="9"/>
  <c r="K79" i="9"/>
  <c r="J79" i="9"/>
  <c r="H79" i="9"/>
  <c r="G79" i="9"/>
  <c r="I79" i="9" s="1"/>
  <c r="F79" i="9"/>
  <c r="E79" i="9"/>
  <c r="D79" i="9"/>
  <c r="L78" i="9"/>
  <c r="K78" i="9"/>
  <c r="J78" i="9"/>
  <c r="I78" i="9"/>
  <c r="G78" i="9"/>
  <c r="H78" i="9" s="1"/>
  <c r="F78" i="9"/>
  <c r="E78" i="9"/>
  <c r="D78" i="9"/>
  <c r="K77" i="9"/>
  <c r="I77" i="9"/>
  <c r="H77" i="9"/>
  <c r="G77" i="9"/>
  <c r="J77" i="9" s="1"/>
  <c r="F77" i="9"/>
  <c r="L77" i="9" s="1"/>
  <c r="E77" i="9"/>
  <c r="D77" i="9"/>
  <c r="K76" i="9"/>
  <c r="G76" i="9"/>
  <c r="F76" i="9"/>
  <c r="E76" i="9"/>
  <c r="D76" i="9"/>
  <c r="L75" i="9"/>
  <c r="K75" i="9"/>
  <c r="J75" i="9"/>
  <c r="H75" i="9"/>
  <c r="G75" i="9"/>
  <c r="I75" i="9" s="1"/>
  <c r="F75" i="9"/>
  <c r="E75" i="9"/>
  <c r="D75" i="9"/>
  <c r="L74" i="9"/>
  <c r="K74" i="9"/>
  <c r="H74" i="9"/>
  <c r="G74" i="9"/>
  <c r="J74" i="9" s="1"/>
  <c r="F74" i="9"/>
  <c r="E74" i="9"/>
  <c r="D74" i="9"/>
  <c r="K73" i="9"/>
  <c r="J73" i="9"/>
  <c r="I73" i="9"/>
  <c r="H73" i="9"/>
  <c r="G73" i="9"/>
  <c r="F73" i="9"/>
  <c r="L73" i="9" s="1"/>
  <c r="E73" i="9"/>
  <c r="D73" i="9"/>
  <c r="K72" i="9"/>
  <c r="G72" i="9"/>
  <c r="F72" i="9"/>
  <c r="E72" i="9"/>
  <c r="D72" i="9"/>
  <c r="K71" i="9"/>
  <c r="L71" i="9" s="1"/>
  <c r="G71" i="9"/>
  <c r="I71" i="9" s="1"/>
  <c r="F71" i="9"/>
  <c r="E71" i="9"/>
  <c r="D71" i="9"/>
  <c r="L70" i="9"/>
  <c r="K70" i="9"/>
  <c r="G70" i="9"/>
  <c r="J70" i="9" s="1"/>
  <c r="F70" i="9"/>
  <c r="E70" i="9"/>
  <c r="D70" i="9"/>
  <c r="K69" i="9"/>
  <c r="J69" i="9"/>
  <c r="I69" i="9"/>
  <c r="H69" i="9"/>
  <c r="G69" i="9"/>
  <c r="F69" i="9"/>
  <c r="L69" i="9" s="1"/>
  <c r="E69" i="9"/>
  <c r="D69" i="9"/>
  <c r="K68" i="9"/>
  <c r="G68" i="9"/>
  <c r="F68" i="9"/>
  <c r="L68" i="9" s="1"/>
  <c r="E68" i="9"/>
  <c r="D68" i="9"/>
  <c r="K67" i="9"/>
  <c r="L67" i="9" s="1"/>
  <c r="J67" i="9"/>
  <c r="G67" i="9"/>
  <c r="I67" i="9" s="1"/>
  <c r="F67" i="9"/>
  <c r="E67" i="9"/>
  <c r="D67" i="9"/>
  <c r="K66" i="9"/>
  <c r="L66" i="9" s="1"/>
  <c r="J66" i="9"/>
  <c r="G66" i="9"/>
  <c r="I66" i="9" s="1"/>
  <c r="F66" i="9"/>
  <c r="E66" i="9"/>
  <c r="D66" i="9"/>
  <c r="K65" i="9"/>
  <c r="G65" i="9"/>
  <c r="J65" i="9" s="1"/>
  <c r="F65" i="9"/>
  <c r="L65" i="9" s="1"/>
  <c r="E65" i="9"/>
  <c r="D65" i="9"/>
  <c r="K64" i="9"/>
  <c r="J64" i="9"/>
  <c r="G64" i="9"/>
  <c r="F64" i="9"/>
  <c r="E64" i="9"/>
  <c r="D64" i="9"/>
  <c r="K63" i="9"/>
  <c r="L63" i="9" s="1"/>
  <c r="H63" i="9"/>
  <c r="G63" i="9"/>
  <c r="I63" i="9" s="1"/>
  <c r="F63" i="9"/>
  <c r="E63" i="9"/>
  <c r="D63" i="9"/>
  <c r="K62" i="9"/>
  <c r="L62" i="9" s="1"/>
  <c r="G62" i="9"/>
  <c r="J62" i="9" s="1"/>
  <c r="F62" i="9"/>
  <c r="E62" i="9"/>
  <c r="D62" i="9"/>
  <c r="K61" i="9"/>
  <c r="J61" i="9"/>
  <c r="I61" i="9"/>
  <c r="G61" i="9"/>
  <c r="H61" i="9" s="1"/>
  <c r="F61" i="9"/>
  <c r="L61" i="9" s="1"/>
  <c r="E61" i="9"/>
  <c r="D61" i="9"/>
  <c r="K60" i="9"/>
  <c r="G60" i="9"/>
  <c r="F60" i="9"/>
  <c r="L60" i="9" s="1"/>
  <c r="E60" i="9"/>
  <c r="D60" i="9"/>
  <c r="L59" i="9"/>
  <c r="K59" i="9"/>
  <c r="G59" i="9"/>
  <c r="I59" i="9" s="1"/>
  <c r="F59" i="9"/>
  <c r="E59" i="9"/>
  <c r="D59" i="9"/>
  <c r="L58" i="9"/>
  <c r="K58" i="9"/>
  <c r="J58" i="9"/>
  <c r="I58" i="9"/>
  <c r="H58" i="9"/>
  <c r="G58" i="9"/>
  <c r="F58" i="9"/>
  <c r="E58" i="9"/>
  <c r="D58" i="9"/>
  <c r="K57" i="9"/>
  <c r="H57" i="9"/>
  <c r="G57" i="9"/>
  <c r="J57" i="9" s="1"/>
  <c r="F57" i="9"/>
  <c r="L57" i="9" s="1"/>
  <c r="E57" i="9"/>
  <c r="D57" i="9"/>
  <c r="K56" i="9"/>
  <c r="J56" i="9"/>
  <c r="G56" i="9"/>
  <c r="F56" i="9"/>
  <c r="L56" i="9" s="1"/>
  <c r="E56" i="9"/>
  <c r="D56" i="9"/>
  <c r="K55" i="9"/>
  <c r="L55" i="9" s="1"/>
  <c r="G55" i="9"/>
  <c r="I55" i="9" s="1"/>
  <c r="F55" i="9"/>
  <c r="E55" i="9"/>
  <c r="D55" i="9"/>
  <c r="K54" i="9"/>
  <c r="L54" i="9" s="1"/>
  <c r="G54" i="9"/>
  <c r="J54" i="9" s="1"/>
  <c r="F54" i="9"/>
  <c r="E54" i="9"/>
  <c r="D54" i="9"/>
  <c r="K53" i="9"/>
  <c r="G53" i="9"/>
  <c r="J53" i="9" s="1"/>
  <c r="F53" i="9"/>
  <c r="L53" i="9" s="1"/>
  <c r="E53" i="9"/>
  <c r="D53" i="9"/>
  <c r="K52" i="9"/>
  <c r="J52" i="9"/>
  <c r="G52" i="9"/>
  <c r="F52" i="9"/>
  <c r="E52" i="9"/>
  <c r="D52" i="9"/>
  <c r="L51" i="9"/>
  <c r="K51" i="9"/>
  <c r="G51" i="9"/>
  <c r="I51" i="9" s="1"/>
  <c r="F51" i="9"/>
  <c r="E51" i="9"/>
  <c r="D51" i="9"/>
  <c r="K50" i="9"/>
  <c r="L50" i="9" s="1"/>
  <c r="J50" i="9"/>
  <c r="I50" i="9"/>
  <c r="H50" i="9"/>
  <c r="G50" i="9"/>
  <c r="F50" i="9"/>
  <c r="E50" i="9"/>
  <c r="D50" i="9"/>
  <c r="K49" i="9"/>
  <c r="J49" i="9"/>
  <c r="G49" i="9"/>
  <c r="I49" i="9" s="1"/>
  <c r="F49" i="9"/>
  <c r="L49" i="9" s="1"/>
  <c r="E49" i="9"/>
  <c r="D49" i="9"/>
  <c r="K48" i="9"/>
  <c r="G48" i="9"/>
  <c r="I48" i="9" s="1"/>
  <c r="F48" i="9"/>
  <c r="L48" i="9" s="1"/>
  <c r="E48" i="9"/>
  <c r="D48" i="9"/>
  <c r="K47" i="9"/>
  <c r="L47" i="9" s="1"/>
  <c r="J47" i="9"/>
  <c r="G47" i="9"/>
  <c r="I47" i="9" s="1"/>
  <c r="F47" i="9"/>
  <c r="E47" i="9"/>
  <c r="D47" i="9"/>
  <c r="K46" i="9"/>
  <c r="L46" i="9" s="1"/>
  <c r="J46" i="9"/>
  <c r="G46" i="9"/>
  <c r="I46" i="9" s="1"/>
  <c r="F46" i="9"/>
  <c r="E46" i="9"/>
  <c r="D46" i="9"/>
  <c r="K45" i="9"/>
  <c r="G45" i="9"/>
  <c r="J45" i="9" s="1"/>
  <c r="F45" i="9"/>
  <c r="L45" i="9" s="1"/>
  <c r="E45" i="9"/>
  <c r="D45" i="9"/>
  <c r="K44" i="9"/>
  <c r="J44" i="9"/>
  <c r="G44" i="9"/>
  <c r="I44" i="9" s="1"/>
  <c r="F44" i="9"/>
  <c r="E44" i="9"/>
  <c r="D44" i="9"/>
  <c r="K43" i="9"/>
  <c r="L43" i="9" s="1"/>
  <c r="J43" i="9"/>
  <c r="H43" i="9"/>
  <c r="G43" i="9"/>
  <c r="I43" i="9" s="1"/>
  <c r="F43" i="9"/>
  <c r="E43" i="9"/>
  <c r="D43" i="9"/>
  <c r="L42" i="9"/>
  <c r="K42" i="9"/>
  <c r="G42" i="9"/>
  <c r="J42" i="9" s="1"/>
  <c r="F42" i="9"/>
  <c r="E42" i="9"/>
  <c r="D42" i="9"/>
  <c r="K41" i="9"/>
  <c r="J41" i="9"/>
  <c r="I41" i="9"/>
  <c r="H41" i="9"/>
  <c r="G41" i="9"/>
  <c r="F41" i="9"/>
  <c r="E41" i="9"/>
  <c r="D41" i="9"/>
  <c r="K40" i="9"/>
  <c r="J40" i="9"/>
  <c r="H40" i="9"/>
  <c r="G40" i="9"/>
  <c r="I40" i="9" s="1"/>
  <c r="F40" i="9"/>
  <c r="L40" i="9" s="1"/>
  <c r="E40" i="9"/>
  <c r="D40" i="9"/>
  <c r="L39" i="9"/>
  <c r="K39" i="9"/>
  <c r="G39" i="9"/>
  <c r="I39" i="9" s="1"/>
  <c r="F39" i="9"/>
  <c r="E39" i="9"/>
  <c r="D39" i="9"/>
  <c r="K38" i="9"/>
  <c r="L38" i="9" s="1"/>
  <c r="J38" i="9"/>
  <c r="I38" i="9"/>
  <c r="H38" i="9"/>
  <c r="G38" i="9"/>
  <c r="F38" i="9"/>
  <c r="E38" i="9"/>
  <c r="D38" i="9"/>
  <c r="K37" i="9"/>
  <c r="L37" i="9" s="1"/>
  <c r="J37" i="9"/>
  <c r="I37" i="9"/>
  <c r="H37" i="9"/>
  <c r="G37" i="9"/>
  <c r="F37" i="9"/>
  <c r="E37" i="9"/>
  <c r="D37" i="9"/>
  <c r="K36" i="9"/>
  <c r="G36" i="9"/>
  <c r="J36" i="9" s="1"/>
  <c r="F36" i="9"/>
  <c r="L36" i="9" s="1"/>
  <c r="E36" i="9"/>
  <c r="D36" i="9"/>
  <c r="L35" i="9"/>
  <c r="K35" i="9"/>
  <c r="G35" i="9"/>
  <c r="I35" i="9" s="1"/>
  <c r="F35" i="9"/>
  <c r="E35" i="9"/>
  <c r="D35" i="9"/>
  <c r="L34" i="9"/>
  <c r="K34" i="9"/>
  <c r="J34" i="9"/>
  <c r="I34" i="9"/>
  <c r="H34" i="9"/>
  <c r="G34" i="9"/>
  <c r="F34" i="9"/>
  <c r="E34" i="9"/>
  <c r="D34" i="9"/>
  <c r="K33" i="9"/>
  <c r="I33" i="9"/>
  <c r="H33" i="9"/>
  <c r="G33" i="9"/>
  <c r="J33" i="9" s="1"/>
  <c r="F33" i="9"/>
  <c r="L33" i="9" s="1"/>
  <c r="E33" i="9"/>
  <c r="D33" i="9"/>
  <c r="K32" i="9"/>
  <c r="G32" i="9"/>
  <c r="J32" i="9" s="1"/>
  <c r="F32" i="9"/>
  <c r="L32" i="9" s="1"/>
  <c r="E32" i="9"/>
  <c r="D32" i="9"/>
  <c r="K31" i="9"/>
  <c r="L31" i="9" s="1"/>
  <c r="J31" i="9"/>
  <c r="G31" i="9"/>
  <c r="I31" i="9" s="1"/>
  <c r="F31" i="9"/>
  <c r="E31" i="9"/>
  <c r="D31" i="9"/>
  <c r="K30" i="9"/>
  <c r="L30" i="9" s="1"/>
  <c r="J30" i="9"/>
  <c r="G30" i="9"/>
  <c r="I30" i="9" s="1"/>
  <c r="F30" i="9"/>
  <c r="E30" i="9"/>
  <c r="D30" i="9"/>
  <c r="K29" i="9"/>
  <c r="G29" i="9"/>
  <c r="J29" i="9" s="1"/>
  <c r="F29" i="9"/>
  <c r="L29" i="9" s="1"/>
  <c r="E29" i="9"/>
  <c r="D29" i="9"/>
  <c r="K28" i="9"/>
  <c r="G28" i="9"/>
  <c r="J28" i="9" s="1"/>
  <c r="F28" i="9"/>
  <c r="E28" i="9"/>
  <c r="D28" i="9"/>
  <c r="L27" i="9"/>
  <c r="K27" i="9"/>
  <c r="J27" i="9"/>
  <c r="H27" i="9"/>
  <c r="G27" i="9"/>
  <c r="I27" i="9" s="1"/>
  <c r="F27" i="9"/>
  <c r="E27" i="9"/>
  <c r="D27" i="9"/>
  <c r="L26" i="9"/>
  <c r="K26" i="9"/>
  <c r="H26" i="9"/>
  <c r="G26" i="9"/>
  <c r="J26" i="9" s="1"/>
  <c r="F26" i="9"/>
  <c r="E26" i="9"/>
  <c r="D26" i="9"/>
  <c r="K25" i="9"/>
  <c r="G25" i="9"/>
  <c r="J25" i="9" s="1"/>
  <c r="F25" i="9"/>
  <c r="L25" i="9" s="1"/>
  <c r="E25" i="9"/>
  <c r="D25" i="9"/>
  <c r="K24" i="9"/>
  <c r="J24" i="9"/>
  <c r="I24" i="9"/>
  <c r="G24" i="9"/>
  <c r="H24" i="9" s="1"/>
  <c r="F24" i="9"/>
  <c r="E24" i="9"/>
  <c r="D24" i="9"/>
  <c r="K23" i="9"/>
  <c r="J23" i="9"/>
  <c r="H23" i="9"/>
  <c r="G23" i="9"/>
  <c r="I23" i="9" s="1"/>
  <c r="F23" i="9"/>
  <c r="L23" i="9" s="1"/>
  <c r="E23" i="9"/>
  <c r="D23" i="9"/>
  <c r="L22" i="9"/>
  <c r="K22" i="9"/>
  <c r="G22" i="9"/>
  <c r="J22" i="9" s="1"/>
  <c r="F22" i="9"/>
  <c r="E22" i="9"/>
  <c r="D22" i="9"/>
  <c r="L21" i="9"/>
  <c r="K21" i="9"/>
  <c r="G21" i="9"/>
  <c r="J21" i="9" s="1"/>
  <c r="F21" i="9"/>
  <c r="E21" i="9"/>
  <c r="D21" i="9"/>
  <c r="K20" i="9"/>
  <c r="J20" i="9"/>
  <c r="I20" i="9"/>
  <c r="H20" i="9"/>
  <c r="G20" i="9"/>
  <c r="F20" i="9"/>
  <c r="E20" i="9"/>
  <c r="D20" i="9"/>
  <c r="J19" i="9"/>
  <c r="I19" i="9"/>
  <c r="H19" i="9"/>
  <c r="F19" i="9"/>
  <c r="L19" i="9" s="1"/>
  <c r="E19" i="9"/>
  <c r="D19" i="9"/>
  <c r="L18" i="9"/>
  <c r="J18" i="9"/>
  <c r="I18" i="9"/>
  <c r="H18" i="9"/>
  <c r="F18" i="9"/>
  <c r="E18" i="9"/>
  <c r="D18" i="9"/>
  <c r="J17" i="9"/>
  <c r="I17" i="9"/>
  <c r="H17" i="9"/>
  <c r="F17" i="9"/>
  <c r="L17" i="9" s="1"/>
  <c r="E17" i="9"/>
  <c r="D17" i="9"/>
  <c r="L16" i="9"/>
  <c r="J16" i="9"/>
  <c r="I16" i="9"/>
  <c r="H16" i="9"/>
  <c r="F16" i="9"/>
  <c r="E16" i="9"/>
  <c r="D16" i="9"/>
  <c r="L15" i="9"/>
  <c r="J15" i="9"/>
  <c r="I15" i="9"/>
  <c r="H15" i="9"/>
  <c r="F15" i="9"/>
  <c r="E15" i="9"/>
  <c r="D15" i="9"/>
  <c r="L14" i="9"/>
  <c r="J14" i="9"/>
  <c r="I14" i="9"/>
  <c r="H14" i="9"/>
  <c r="F14" i="9"/>
  <c r="E14" i="9"/>
  <c r="D14" i="9"/>
  <c r="L13" i="9"/>
  <c r="J13" i="9"/>
  <c r="I13" i="9"/>
  <c r="H13" i="9"/>
  <c r="F13" i="9"/>
  <c r="E13" i="9"/>
  <c r="D13" i="9"/>
  <c r="J12" i="9"/>
  <c r="I12" i="9"/>
  <c r="H12" i="9"/>
  <c r="F12" i="9"/>
  <c r="L12" i="9" s="1"/>
  <c r="E12" i="9"/>
  <c r="D12" i="9"/>
  <c r="L11" i="9"/>
  <c r="J11" i="9"/>
  <c r="I11" i="9"/>
  <c r="H11" i="9"/>
  <c r="F11" i="9"/>
  <c r="E11" i="9"/>
  <c r="D11" i="9"/>
  <c r="J10" i="9"/>
  <c r="I10" i="9"/>
  <c r="H10" i="9"/>
  <c r="F10" i="9"/>
  <c r="L10" i="9" s="1"/>
  <c r="E10" i="9"/>
  <c r="D10" i="9"/>
  <c r="L9" i="9"/>
  <c r="J9" i="9"/>
  <c r="I9" i="9"/>
  <c r="H9" i="9"/>
  <c r="F9" i="9"/>
  <c r="E9" i="9"/>
  <c r="D9" i="9"/>
  <c r="L8" i="9"/>
  <c r="J8" i="9"/>
  <c r="I8" i="9"/>
  <c r="H8" i="9"/>
  <c r="F8" i="9"/>
  <c r="E8" i="9"/>
  <c r="D8" i="9"/>
  <c r="J7" i="9"/>
  <c r="I7" i="9"/>
  <c r="H7" i="9"/>
  <c r="F7" i="9"/>
  <c r="L7" i="9" s="1"/>
  <c r="E7" i="9"/>
  <c r="D7" i="9"/>
  <c r="L6" i="9"/>
  <c r="J6" i="9"/>
  <c r="I6" i="9"/>
  <c r="H6" i="9"/>
  <c r="F6" i="9"/>
  <c r="E6" i="9"/>
  <c r="D6" i="9"/>
  <c r="J5" i="9"/>
  <c r="I5" i="9"/>
  <c r="H5" i="9"/>
  <c r="F5" i="9"/>
  <c r="L5" i="9" s="1"/>
  <c r="E5" i="9"/>
  <c r="D5" i="9"/>
  <c r="L4" i="9"/>
  <c r="J4" i="9"/>
  <c r="I4" i="9"/>
  <c r="H4" i="9"/>
  <c r="F4" i="9"/>
  <c r="E4" i="9"/>
  <c r="D4" i="9"/>
  <c r="J3" i="9"/>
  <c r="I3" i="9"/>
  <c r="H3" i="9"/>
  <c r="F3" i="9"/>
  <c r="L3" i="9" s="1"/>
  <c r="E3" i="9"/>
  <c r="D3" i="9"/>
  <c r="J2" i="9"/>
  <c r="I2" i="9"/>
  <c r="H2" i="9"/>
  <c r="F2" i="9"/>
  <c r="L2" i="9" s="1"/>
  <c r="E2" i="9"/>
  <c r="D2" i="9"/>
  <c r="O6"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20"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20" i="5"/>
  <c r="L72" i="9" l="1"/>
  <c r="J165" i="9"/>
  <c r="I165" i="9"/>
  <c r="J182" i="9"/>
  <c r="I182" i="9"/>
  <c r="J278" i="9"/>
  <c r="I278" i="9"/>
  <c r="H278" i="9"/>
  <c r="I289" i="9"/>
  <c r="J289" i="9"/>
  <c r="I502" i="9"/>
  <c r="J502" i="9"/>
  <c r="I708" i="9"/>
  <c r="J708" i="9"/>
  <c r="H708" i="9"/>
  <c r="I710" i="9"/>
  <c r="J710" i="9"/>
  <c r="H710" i="9"/>
  <c r="I714" i="9"/>
  <c r="J714" i="9"/>
  <c r="H714" i="9"/>
  <c r="L52" i="9"/>
  <c r="I72" i="9"/>
  <c r="H72" i="9"/>
  <c r="I115" i="9"/>
  <c r="H115" i="9"/>
  <c r="I148" i="9"/>
  <c r="J148" i="9"/>
  <c r="J175" i="9"/>
  <c r="I175" i="9"/>
  <c r="H175" i="9"/>
  <c r="J263" i="9"/>
  <c r="I263" i="9"/>
  <c r="H263" i="9"/>
  <c r="J314" i="9"/>
  <c r="I314" i="9"/>
  <c r="H314" i="9"/>
  <c r="J464" i="9"/>
  <c r="I464" i="9"/>
  <c r="H30" i="9"/>
  <c r="H46" i="9"/>
  <c r="H49" i="9"/>
  <c r="I52" i="9"/>
  <c r="H52" i="9"/>
  <c r="H55" i="9"/>
  <c r="H66" i="9"/>
  <c r="J72" i="9"/>
  <c r="I83" i="9"/>
  <c r="H83" i="9"/>
  <c r="I91" i="9"/>
  <c r="H91" i="9"/>
  <c r="I99" i="9"/>
  <c r="H99" i="9"/>
  <c r="I107" i="9"/>
  <c r="H107" i="9"/>
  <c r="J115" i="9"/>
  <c r="H148" i="9"/>
  <c r="J300" i="9"/>
  <c r="I300" i="9"/>
  <c r="H300" i="9"/>
  <c r="J312" i="9"/>
  <c r="I312" i="9"/>
  <c r="H312" i="9"/>
  <c r="H325" i="9"/>
  <c r="I380" i="9"/>
  <c r="J380" i="9"/>
  <c r="H380" i="9"/>
  <c r="H464" i="9"/>
  <c r="J55" i="9"/>
  <c r="I80" i="9"/>
  <c r="H80" i="9"/>
  <c r="I88" i="9"/>
  <c r="H88" i="9"/>
  <c r="I96" i="9"/>
  <c r="H96" i="9"/>
  <c r="I104" i="9"/>
  <c r="H104" i="9"/>
  <c r="H179" i="9"/>
  <c r="J189" i="9"/>
  <c r="I189" i="9"/>
  <c r="J204" i="9"/>
  <c r="J206" i="9"/>
  <c r="I206" i="9"/>
  <c r="H252" i="9"/>
  <c r="J254" i="9"/>
  <c r="I254" i="9"/>
  <c r="H254" i="9"/>
  <c r="H302" i="9"/>
  <c r="J325" i="9"/>
  <c r="I396" i="9"/>
  <c r="J396" i="9"/>
  <c r="J701" i="9"/>
  <c r="I701" i="9"/>
  <c r="I60" i="9"/>
  <c r="H60" i="9"/>
  <c r="I127" i="9"/>
  <c r="H127" i="9"/>
  <c r="I172" i="9"/>
  <c r="J172" i="9"/>
  <c r="J199" i="9"/>
  <c r="I199" i="9"/>
  <c r="H199" i="9"/>
  <c r="J252" i="9"/>
  <c r="I309" i="9"/>
  <c r="J309" i="9"/>
  <c r="H309" i="9"/>
  <c r="J461" i="9"/>
  <c r="I461" i="9"/>
  <c r="H461" i="9"/>
  <c r="J641" i="9"/>
  <c r="I641" i="9"/>
  <c r="H641" i="9"/>
  <c r="I26" i="9"/>
  <c r="H29" i="9"/>
  <c r="H36" i="9"/>
  <c r="H54" i="9"/>
  <c r="I57" i="9"/>
  <c r="J60" i="9"/>
  <c r="J63" i="9"/>
  <c r="I74" i="9"/>
  <c r="I85" i="9"/>
  <c r="I93" i="9"/>
  <c r="I101" i="9"/>
  <c r="I109" i="9"/>
  <c r="H114" i="9"/>
  <c r="J127" i="9"/>
  <c r="I137" i="9"/>
  <c r="I142" i="9"/>
  <c r="J152" i="9"/>
  <c r="I159" i="9"/>
  <c r="I169" i="9"/>
  <c r="H172" i="9"/>
  <c r="I186" i="9"/>
  <c r="H221" i="9"/>
  <c r="H228" i="9"/>
  <c r="H237" i="9"/>
  <c r="J239" i="9"/>
  <c r="I239" i="9"/>
  <c r="H239" i="9"/>
  <c r="H243" i="9"/>
  <c r="H258" i="9"/>
  <c r="J284" i="9"/>
  <c r="I284" i="9"/>
  <c r="H284" i="9"/>
  <c r="J320" i="9"/>
  <c r="I320" i="9"/>
  <c r="H320" i="9"/>
  <c r="H322" i="9"/>
  <c r="I361" i="9"/>
  <c r="H361" i="9"/>
  <c r="H387" i="9"/>
  <c r="I622" i="9"/>
  <c r="H622" i="9"/>
  <c r="J622" i="9"/>
  <c r="I639" i="9"/>
  <c r="J639" i="9"/>
  <c r="I665" i="9"/>
  <c r="H22" i="9"/>
  <c r="I29" i="9"/>
  <c r="I36" i="9"/>
  <c r="H42" i="9"/>
  <c r="H45" i="9"/>
  <c r="I54" i="9"/>
  <c r="H65" i="9"/>
  <c r="I68" i="9"/>
  <c r="H68" i="9"/>
  <c r="H71" i="9"/>
  <c r="H82" i="9"/>
  <c r="H90" i="9"/>
  <c r="H98" i="9"/>
  <c r="H106" i="9"/>
  <c r="I114" i="9"/>
  <c r="I119" i="9"/>
  <c r="H119" i="9"/>
  <c r="H129" i="9"/>
  <c r="H134" i="9"/>
  <c r="H203" i="9"/>
  <c r="J213" i="9"/>
  <c r="I213" i="9"/>
  <c r="I221" i="9"/>
  <c r="J228" i="9"/>
  <c r="J230" i="9"/>
  <c r="I230" i="9"/>
  <c r="J237" i="9"/>
  <c r="I243" i="9"/>
  <c r="I258" i="9"/>
  <c r="H273" i="9"/>
  <c r="J275" i="9"/>
  <c r="I275" i="9"/>
  <c r="H275" i="9"/>
  <c r="H297" i="9"/>
  <c r="I322" i="9"/>
  <c r="J342" i="9"/>
  <c r="I342" i="9"/>
  <c r="J361" i="9"/>
  <c r="J387" i="9"/>
  <c r="I426" i="9"/>
  <c r="J426" i="9"/>
  <c r="I582" i="9"/>
  <c r="H582" i="9"/>
  <c r="I584" i="9"/>
  <c r="J584" i="9"/>
  <c r="H584" i="9"/>
  <c r="I592" i="9"/>
  <c r="J592" i="9"/>
  <c r="I594" i="9"/>
  <c r="J594" i="9"/>
  <c r="H594" i="9"/>
  <c r="I620" i="9"/>
  <c r="J620" i="9"/>
  <c r="H639" i="9"/>
  <c r="I22" i="9"/>
  <c r="H25" i="9"/>
  <c r="L28" i="9"/>
  <c r="H32" i="9"/>
  <c r="H39" i="9"/>
  <c r="I42" i="9"/>
  <c r="I45" i="9"/>
  <c r="H48" i="9"/>
  <c r="H51" i="9"/>
  <c r="H62" i="9"/>
  <c r="I65" i="9"/>
  <c r="J68" i="9"/>
  <c r="J71" i="9"/>
  <c r="L76" i="9"/>
  <c r="I82" i="9"/>
  <c r="I90" i="9"/>
  <c r="I98" i="9"/>
  <c r="I106" i="9"/>
  <c r="J119" i="9"/>
  <c r="I129" i="9"/>
  <c r="I134" i="9"/>
  <c r="H166" i="9"/>
  <c r="H176" i="9"/>
  <c r="H183" i="9"/>
  <c r="H193" i="9"/>
  <c r="I196" i="9"/>
  <c r="J196" i="9"/>
  <c r="I203" i="9"/>
  <c r="H210" i="9"/>
  <c r="H213" i="9"/>
  <c r="J223" i="9"/>
  <c r="I223" i="9"/>
  <c r="H223" i="9"/>
  <c r="H230" i="9"/>
  <c r="L234" i="9"/>
  <c r="L249" i="9"/>
  <c r="H264" i="9"/>
  <c r="J266" i="9"/>
  <c r="I266" i="9"/>
  <c r="H266" i="9"/>
  <c r="L270" i="9"/>
  <c r="J273" i="9"/>
  <c r="I281" i="9"/>
  <c r="J281" i="9"/>
  <c r="H281" i="9"/>
  <c r="J297" i="9"/>
  <c r="H342" i="9"/>
  <c r="H363" i="9"/>
  <c r="H372" i="9"/>
  <c r="H426" i="9"/>
  <c r="J582" i="9"/>
  <c r="H592" i="9"/>
  <c r="H620" i="9"/>
  <c r="I25" i="9"/>
  <c r="I32" i="9"/>
  <c r="J39" i="9"/>
  <c r="L41" i="9"/>
  <c r="J48" i="9"/>
  <c r="J51" i="9"/>
  <c r="I62" i="9"/>
  <c r="I76" i="9"/>
  <c r="H76" i="9"/>
  <c r="I87" i="9"/>
  <c r="H87" i="9"/>
  <c r="I95" i="9"/>
  <c r="H95" i="9"/>
  <c r="I103" i="9"/>
  <c r="H103" i="9"/>
  <c r="I111" i="9"/>
  <c r="H111" i="9"/>
  <c r="I166" i="9"/>
  <c r="J176" i="9"/>
  <c r="I183" i="9"/>
  <c r="I193" i="9"/>
  <c r="L200" i="9"/>
  <c r="I210" i="9"/>
  <c r="J264" i="9"/>
  <c r="L330" i="9"/>
  <c r="J340" i="9"/>
  <c r="I340" i="9"/>
  <c r="H340" i="9"/>
  <c r="J363" i="9"/>
  <c r="I372" i="9"/>
  <c r="J423" i="9"/>
  <c r="I423" i="9"/>
  <c r="J549" i="9"/>
  <c r="I549" i="9"/>
  <c r="I618" i="9"/>
  <c r="J618" i="9"/>
  <c r="H618" i="9"/>
  <c r="H21" i="9"/>
  <c r="L24" i="9"/>
  <c r="H28" i="9"/>
  <c r="H35" i="9"/>
  <c r="L44" i="9"/>
  <c r="H53" i="9"/>
  <c r="I56" i="9"/>
  <c r="H56" i="9"/>
  <c r="H59" i="9"/>
  <c r="H70" i="9"/>
  <c r="J76" i="9"/>
  <c r="I84" i="9"/>
  <c r="H84" i="9"/>
  <c r="J87" i="9"/>
  <c r="I92" i="9"/>
  <c r="H92" i="9"/>
  <c r="J95" i="9"/>
  <c r="I100" i="9"/>
  <c r="H100" i="9"/>
  <c r="J103" i="9"/>
  <c r="I108" i="9"/>
  <c r="H108" i="9"/>
  <c r="J111" i="9"/>
  <c r="H141" i="9"/>
  <c r="J158" i="9"/>
  <c r="I158" i="9"/>
  <c r="H227" i="9"/>
  <c r="H234" i="9"/>
  <c r="H249" i="9"/>
  <c r="J251" i="9"/>
  <c r="I251" i="9"/>
  <c r="H251" i="9"/>
  <c r="H255" i="9"/>
  <c r="H270" i="9"/>
  <c r="J294" i="9"/>
  <c r="I294" i="9"/>
  <c r="I337" i="9"/>
  <c r="J337" i="9"/>
  <c r="L418" i="9"/>
  <c r="I574" i="9"/>
  <c r="J574" i="9"/>
  <c r="H574" i="9"/>
  <c r="I21" i="9"/>
  <c r="I28" i="9"/>
  <c r="J35" i="9"/>
  <c r="I53" i="9"/>
  <c r="J59" i="9"/>
  <c r="L64" i="9"/>
  <c r="I70" i="9"/>
  <c r="I141" i="9"/>
  <c r="J151" i="9"/>
  <c r="I151" i="9"/>
  <c r="H151" i="9"/>
  <c r="H200" i="9"/>
  <c r="I220" i="9"/>
  <c r="J220" i="9"/>
  <c r="I227" i="9"/>
  <c r="J249" i="9"/>
  <c r="H294" i="9"/>
  <c r="H337" i="9"/>
  <c r="H360" i="9"/>
  <c r="I404" i="9"/>
  <c r="J404" i="9"/>
  <c r="J467" i="9"/>
  <c r="I467" i="9"/>
  <c r="J489" i="9"/>
  <c r="I489" i="9"/>
  <c r="H489" i="9"/>
  <c r="L20" i="9"/>
  <c r="H31" i="9"/>
  <c r="H44" i="9"/>
  <c r="H47" i="9"/>
  <c r="I64" i="9"/>
  <c r="H64" i="9"/>
  <c r="H67" i="9"/>
  <c r="I123" i="9"/>
  <c r="H123" i="9"/>
  <c r="L224" i="9"/>
  <c r="J242" i="9"/>
  <c r="I242" i="9"/>
  <c r="H242" i="9"/>
  <c r="L246" i="9"/>
  <c r="L261" i="9"/>
  <c r="J292" i="9"/>
  <c r="I292" i="9"/>
  <c r="H292" i="9"/>
  <c r="J308" i="9"/>
  <c r="I308" i="9"/>
  <c r="H308" i="9"/>
  <c r="J328" i="9"/>
  <c r="I328" i="9"/>
  <c r="H328" i="9"/>
  <c r="J348" i="9"/>
  <c r="I348" i="9"/>
  <c r="H348" i="9"/>
  <c r="I546" i="9"/>
  <c r="J546" i="9"/>
  <c r="J553" i="9"/>
  <c r="I553" i="9"/>
  <c r="H553" i="9"/>
  <c r="J332" i="9"/>
  <c r="I332" i="9"/>
  <c r="H332" i="9"/>
  <c r="J420" i="9"/>
  <c r="I420" i="9"/>
  <c r="H420" i="9"/>
  <c r="H112" i="9"/>
  <c r="H116" i="9"/>
  <c r="H120" i="9"/>
  <c r="H124" i="9"/>
  <c r="H128" i="9"/>
  <c r="H132" i="9"/>
  <c r="H136" i="9"/>
  <c r="H140" i="9"/>
  <c r="H144" i="9"/>
  <c r="H154" i="9"/>
  <c r="L157" i="9"/>
  <c r="H161" i="9"/>
  <c r="H168" i="9"/>
  <c r="H178" i="9"/>
  <c r="L181" i="9"/>
  <c r="H185" i="9"/>
  <c r="H192" i="9"/>
  <c r="H202" i="9"/>
  <c r="L205" i="9"/>
  <c r="H209" i="9"/>
  <c r="H216" i="9"/>
  <c r="H226" i="9"/>
  <c r="L229" i="9"/>
  <c r="H233" i="9"/>
  <c r="H236" i="9"/>
  <c r="H245" i="9"/>
  <c r="H248" i="9"/>
  <c r="H257" i="9"/>
  <c r="H260" i="9"/>
  <c r="H269" i="9"/>
  <c r="H272" i="9"/>
  <c r="H286" i="9"/>
  <c r="J304" i="9"/>
  <c r="I304" i="9"/>
  <c r="H304" i="9"/>
  <c r="L326" i="9"/>
  <c r="H329" i="9"/>
  <c r="H334" i="9"/>
  <c r="I362" i="9"/>
  <c r="J362" i="9"/>
  <c r="H362" i="9"/>
  <c r="J413" i="9"/>
  <c r="I413" i="9"/>
  <c r="H445" i="9"/>
  <c r="J445" i="9"/>
  <c r="J457" i="9"/>
  <c r="I457" i="9"/>
  <c r="H457" i="9"/>
  <c r="J492" i="9"/>
  <c r="I492" i="9"/>
  <c r="H492" i="9"/>
  <c r="J543" i="9"/>
  <c r="I543" i="9"/>
  <c r="H543" i="9"/>
  <c r="J144" i="9"/>
  <c r="J168" i="9"/>
  <c r="J192" i="9"/>
  <c r="J216" i="9"/>
  <c r="J233" i="9"/>
  <c r="J236" i="9"/>
  <c r="L238" i="9"/>
  <c r="J245" i="9"/>
  <c r="J248" i="9"/>
  <c r="L250" i="9"/>
  <c r="J257" i="9"/>
  <c r="J260" i="9"/>
  <c r="L262" i="9"/>
  <c r="J269" i="9"/>
  <c r="L274" i="9"/>
  <c r="L298" i="9"/>
  <c r="J324" i="9"/>
  <c r="I324" i="9"/>
  <c r="H324" i="9"/>
  <c r="J329" i="9"/>
  <c r="L346" i="9"/>
  <c r="H349" i="9"/>
  <c r="H413" i="9"/>
  <c r="I442" i="9"/>
  <c r="J442" i="9"/>
  <c r="I445" i="9"/>
  <c r="J601" i="9"/>
  <c r="I601" i="9"/>
  <c r="H601" i="9"/>
  <c r="L153" i="9"/>
  <c r="L177" i="9"/>
  <c r="L201" i="9"/>
  <c r="L225" i="9"/>
  <c r="L241" i="9"/>
  <c r="L253" i="9"/>
  <c r="L265" i="9"/>
  <c r="L277" i="9"/>
  <c r="J296" i="9"/>
  <c r="I296" i="9"/>
  <c r="H296" i="9"/>
  <c r="L318" i="9"/>
  <c r="J344" i="9"/>
  <c r="I344" i="9"/>
  <c r="H344" i="9"/>
  <c r="L366" i="9"/>
  <c r="I410" i="9"/>
  <c r="J410" i="9"/>
  <c r="J417" i="9"/>
  <c r="I417" i="9"/>
  <c r="H417" i="9"/>
  <c r="J569" i="9"/>
  <c r="I569" i="9"/>
  <c r="H131" i="9"/>
  <c r="H135" i="9"/>
  <c r="H139" i="9"/>
  <c r="H143" i="9"/>
  <c r="I150" i="9"/>
  <c r="I157" i="9"/>
  <c r="J164" i="9"/>
  <c r="H167" i="9"/>
  <c r="I174" i="9"/>
  <c r="I181" i="9"/>
  <c r="J188" i="9"/>
  <c r="H191" i="9"/>
  <c r="I198" i="9"/>
  <c r="I205" i="9"/>
  <c r="J212" i="9"/>
  <c r="H215" i="9"/>
  <c r="I222" i="9"/>
  <c r="I229" i="9"/>
  <c r="H235" i="9"/>
  <c r="H238" i="9"/>
  <c r="H247" i="9"/>
  <c r="H250" i="9"/>
  <c r="H259" i="9"/>
  <c r="H262" i="9"/>
  <c r="H271" i="9"/>
  <c r="H274" i="9"/>
  <c r="J280" i="9"/>
  <c r="I280" i="9"/>
  <c r="L290" i="9"/>
  <c r="H293" i="9"/>
  <c r="H298" i="9"/>
  <c r="J316" i="9"/>
  <c r="I316" i="9"/>
  <c r="H316" i="9"/>
  <c r="J321" i="9"/>
  <c r="I326" i="9"/>
  <c r="L338" i="9"/>
  <c r="H341" i="9"/>
  <c r="H346" i="9"/>
  <c r="I369" i="9"/>
  <c r="I393" i="9"/>
  <c r="J393" i="9"/>
  <c r="I402" i="9"/>
  <c r="H402" i="9"/>
  <c r="H410" i="9"/>
  <c r="H429" i="9"/>
  <c r="I432" i="9"/>
  <c r="J439" i="9"/>
  <c r="I439" i="9"/>
  <c r="I530" i="9"/>
  <c r="J530" i="9"/>
  <c r="H530" i="9"/>
  <c r="H565" i="9"/>
  <c r="J565" i="9"/>
  <c r="I565" i="9"/>
  <c r="H569" i="9"/>
  <c r="J599" i="9"/>
  <c r="L149" i="9"/>
  <c r="H160" i="9"/>
  <c r="L173" i="9"/>
  <c r="H184" i="9"/>
  <c r="L197" i="9"/>
  <c r="H208" i="9"/>
  <c r="L221" i="9"/>
  <c r="H232" i="9"/>
  <c r="H241" i="9"/>
  <c r="H244" i="9"/>
  <c r="H253" i="9"/>
  <c r="H256" i="9"/>
  <c r="H265" i="9"/>
  <c r="H268" i="9"/>
  <c r="H277" i="9"/>
  <c r="H280" i="9"/>
  <c r="L282" i="9"/>
  <c r="J288" i="9"/>
  <c r="I288" i="9"/>
  <c r="H288" i="9"/>
  <c r="J293" i="9"/>
  <c r="L310" i="9"/>
  <c r="H313" i="9"/>
  <c r="J336" i="9"/>
  <c r="I336" i="9"/>
  <c r="H336" i="9"/>
  <c r="J341" i="9"/>
  <c r="H356" i="9"/>
  <c r="H378" i="9"/>
  <c r="H393" i="9"/>
  <c r="L399" i="9"/>
  <c r="J402" i="9"/>
  <c r="I429" i="9"/>
  <c r="H439" i="9"/>
  <c r="J377" i="9"/>
  <c r="I377" i="9"/>
  <c r="L395" i="9"/>
  <c r="I476" i="9"/>
  <c r="J476" i="9"/>
  <c r="H476" i="9"/>
  <c r="J495" i="9"/>
  <c r="I495" i="9"/>
  <c r="H495" i="9"/>
  <c r="I660" i="9"/>
  <c r="J660" i="9"/>
  <c r="H660" i="9"/>
  <c r="I699" i="9"/>
  <c r="J699" i="9"/>
  <c r="H699" i="9"/>
  <c r="I374" i="9"/>
  <c r="J374" i="9"/>
  <c r="J571" i="9"/>
  <c r="I571" i="9"/>
  <c r="H571" i="9"/>
  <c r="I613" i="9"/>
  <c r="H613" i="9"/>
  <c r="I615" i="9"/>
  <c r="J615" i="9"/>
  <c r="H615" i="9"/>
  <c r="I630" i="9"/>
  <c r="H630" i="9"/>
  <c r="I695" i="9"/>
  <c r="J695" i="9"/>
  <c r="H695" i="9"/>
  <c r="I352" i="9"/>
  <c r="I359" i="9"/>
  <c r="I365" i="9"/>
  <c r="I368" i="9"/>
  <c r="H371" i="9"/>
  <c r="H374" i="9"/>
  <c r="L379" i="9"/>
  <c r="H392" i="9"/>
  <c r="H395" i="9"/>
  <c r="H398" i="9"/>
  <c r="I401" i="9"/>
  <c r="L419" i="9"/>
  <c r="I454" i="9"/>
  <c r="J454" i="9"/>
  <c r="J493" i="9"/>
  <c r="H499" i="9"/>
  <c r="H521" i="9"/>
  <c r="I562" i="9"/>
  <c r="J562" i="9"/>
  <c r="H562" i="9"/>
  <c r="H577" i="9"/>
  <c r="J589" i="9"/>
  <c r="I589" i="9"/>
  <c r="H604" i="9"/>
  <c r="J613" i="9"/>
  <c r="J630" i="9"/>
  <c r="I634" i="9"/>
  <c r="J634" i="9"/>
  <c r="H634" i="9"/>
  <c r="L351" i="9"/>
  <c r="H355" i="9"/>
  <c r="I371" i="9"/>
  <c r="H382" i="9"/>
  <c r="I392" i="9"/>
  <c r="I395" i="9"/>
  <c r="J398" i="9"/>
  <c r="H454" i="9"/>
  <c r="I499" i="9"/>
  <c r="J511" i="9"/>
  <c r="I511" i="9"/>
  <c r="H511" i="9"/>
  <c r="I521" i="9"/>
  <c r="H531" i="9"/>
  <c r="J533" i="9"/>
  <c r="I533" i="9"/>
  <c r="H533" i="9"/>
  <c r="H566" i="9"/>
  <c r="I577" i="9"/>
  <c r="H587" i="9"/>
  <c r="H589" i="9"/>
  <c r="J604" i="9"/>
  <c r="J382" i="9"/>
  <c r="I416" i="9"/>
  <c r="H416" i="9"/>
  <c r="L427" i="9"/>
  <c r="L458" i="9"/>
  <c r="J473" i="9"/>
  <c r="I473" i="9"/>
  <c r="H473" i="9"/>
  <c r="H483" i="9"/>
  <c r="H508" i="9"/>
  <c r="J531" i="9"/>
  <c r="H540" i="9"/>
  <c r="J566" i="9"/>
  <c r="J587" i="9"/>
  <c r="I606" i="9"/>
  <c r="H606" i="9"/>
  <c r="J606" i="9"/>
  <c r="H625" i="9"/>
  <c r="J460" i="9"/>
  <c r="I460" i="9"/>
  <c r="H460" i="9"/>
  <c r="I490" i="9"/>
  <c r="J490" i="9"/>
  <c r="J552" i="9"/>
  <c r="I552" i="9"/>
  <c r="I627" i="9"/>
  <c r="J627" i="9"/>
  <c r="H627" i="9"/>
  <c r="I674" i="9"/>
  <c r="J674" i="9"/>
  <c r="H674" i="9"/>
  <c r="I678" i="9"/>
  <c r="H678" i="9"/>
  <c r="I370" i="9"/>
  <c r="J370" i="9"/>
  <c r="I373" i="9"/>
  <c r="L375" i="9"/>
  <c r="I394" i="9"/>
  <c r="J394" i="9"/>
  <c r="I405" i="9"/>
  <c r="I435" i="9"/>
  <c r="J435" i="9"/>
  <c r="H435" i="9"/>
  <c r="J451" i="9"/>
  <c r="I451" i="9"/>
  <c r="H458" i="9"/>
  <c r="I470" i="9"/>
  <c r="J470" i="9"/>
  <c r="H470" i="9"/>
  <c r="H490" i="9"/>
  <c r="H552" i="9"/>
  <c r="J678" i="9"/>
  <c r="H680" i="9"/>
  <c r="I682" i="9"/>
  <c r="H682" i="9"/>
  <c r="L422" i="9"/>
  <c r="I608" i="9"/>
  <c r="J608" i="9"/>
  <c r="H608" i="9"/>
  <c r="I667" i="9"/>
  <c r="H667" i="9"/>
  <c r="H498" i="9"/>
  <c r="H501" i="9"/>
  <c r="H504" i="9"/>
  <c r="I514" i="9"/>
  <c r="J514" i="9"/>
  <c r="H536" i="9"/>
  <c r="L551" i="9"/>
  <c r="H555" i="9"/>
  <c r="L567" i="9"/>
  <c r="H579" i="9"/>
  <c r="L581" i="9"/>
  <c r="H596" i="9"/>
  <c r="I636" i="9"/>
  <c r="J636" i="9"/>
  <c r="H636" i="9"/>
  <c r="L645" i="9"/>
  <c r="J667" i="9"/>
  <c r="J669" i="9"/>
  <c r="I669" i="9"/>
  <c r="H669" i="9"/>
  <c r="L475" i="9"/>
  <c r="L491" i="9"/>
  <c r="J555" i="9"/>
  <c r="J579" i="9"/>
  <c r="J596" i="9"/>
  <c r="I603" i="9"/>
  <c r="H603" i="9"/>
  <c r="I662" i="9"/>
  <c r="H662" i="9"/>
  <c r="J662" i="9"/>
  <c r="J677" i="9"/>
  <c r="H677" i="9"/>
  <c r="I719" i="9"/>
  <c r="J719" i="9"/>
  <c r="H450" i="9"/>
  <c r="H453" i="9"/>
  <c r="H456" i="9"/>
  <c r="L459" i="9"/>
  <c r="I466" i="9"/>
  <c r="J466" i="9"/>
  <c r="H488" i="9"/>
  <c r="L494" i="9"/>
  <c r="L503" i="9"/>
  <c r="H507" i="9"/>
  <c r="L519" i="9"/>
  <c r="H529" i="9"/>
  <c r="H532" i="9"/>
  <c r="H542" i="9"/>
  <c r="H545" i="9"/>
  <c r="H548" i="9"/>
  <c r="H561" i="9"/>
  <c r="H564" i="9"/>
  <c r="H567" i="9"/>
  <c r="H576" i="9"/>
  <c r="H581" i="9"/>
  <c r="J593" i="9"/>
  <c r="I593" i="9"/>
  <c r="I598" i="9"/>
  <c r="H598" i="9"/>
  <c r="J598" i="9"/>
  <c r="J603" i="9"/>
  <c r="H619" i="9"/>
  <c r="L640" i="9"/>
  <c r="H645" i="9"/>
  <c r="J657" i="9"/>
  <c r="I657" i="9"/>
  <c r="I664" i="9"/>
  <c r="J664" i="9"/>
  <c r="I677" i="9"/>
  <c r="H688" i="9"/>
  <c r="I727" i="9"/>
  <c r="J727" i="9"/>
  <c r="H727" i="9"/>
  <c r="L443" i="9"/>
  <c r="I488" i="9"/>
  <c r="J507" i="9"/>
  <c r="I529" i="9"/>
  <c r="I532" i="9"/>
  <c r="J542" i="9"/>
  <c r="I561" i="9"/>
  <c r="I564" i="9"/>
  <c r="I567" i="9"/>
  <c r="J576" i="9"/>
  <c r="I581" i="9"/>
  <c r="L583" i="9"/>
  <c r="I588" i="9"/>
  <c r="J588" i="9"/>
  <c r="L607" i="9"/>
  <c r="L609" i="9"/>
  <c r="I614" i="9"/>
  <c r="H614" i="9"/>
  <c r="J619" i="9"/>
  <c r="I631" i="9"/>
  <c r="J631" i="9"/>
  <c r="H631" i="9"/>
  <c r="I645" i="9"/>
  <c r="L647" i="9"/>
  <c r="I652" i="9"/>
  <c r="J652" i="9"/>
  <c r="H657" i="9"/>
  <c r="J688" i="9"/>
  <c r="I692" i="9"/>
  <c r="H692" i="9"/>
  <c r="J692" i="9"/>
  <c r="L411" i="9"/>
  <c r="I415" i="9"/>
  <c r="I418" i="9"/>
  <c r="J418" i="9"/>
  <c r="J434" i="9"/>
  <c r="I437" i="9"/>
  <c r="H440" i="9"/>
  <c r="L446" i="9"/>
  <c r="L455" i="9"/>
  <c r="H459" i="9"/>
  <c r="J469" i="9"/>
  <c r="L471" i="9"/>
  <c r="J478" i="9"/>
  <c r="H481" i="9"/>
  <c r="H484" i="9"/>
  <c r="H494" i="9"/>
  <c r="H497" i="9"/>
  <c r="H500" i="9"/>
  <c r="H513" i="9"/>
  <c r="H516" i="9"/>
  <c r="H519" i="9"/>
  <c r="H535" i="9"/>
  <c r="L547" i="9"/>
  <c r="H554" i="9"/>
  <c r="H557" i="9"/>
  <c r="L563" i="9"/>
  <c r="J570" i="9"/>
  <c r="I573" i="9"/>
  <c r="H578" i="9"/>
  <c r="I583" i="9"/>
  <c r="J583" i="9"/>
  <c r="L585" i="9"/>
  <c r="H588" i="9"/>
  <c r="H600" i="9"/>
  <c r="J612" i="9"/>
  <c r="J614" i="9"/>
  <c r="H621" i="9"/>
  <c r="L623" i="9"/>
  <c r="J626" i="9"/>
  <c r="L628" i="9"/>
  <c r="L637" i="9"/>
  <c r="H640" i="9"/>
  <c r="H642" i="9"/>
  <c r="I647" i="9"/>
  <c r="J647" i="9"/>
  <c r="H652" i="9"/>
  <c r="I659" i="9"/>
  <c r="J659" i="9"/>
  <c r="L661" i="9"/>
  <c r="H683" i="9"/>
  <c r="L685" i="9"/>
  <c r="H690" i="9"/>
  <c r="J459" i="9"/>
  <c r="J494" i="9"/>
  <c r="I497" i="9"/>
  <c r="J500" i="9"/>
  <c r="L531" i="9"/>
  <c r="I538" i="9"/>
  <c r="J538" i="9"/>
  <c r="J554" i="9"/>
  <c r="L566" i="9"/>
  <c r="L575" i="9"/>
  <c r="J578" i="9"/>
  <c r="L580" i="9"/>
  <c r="I590" i="9"/>
  <c r="H590" i="9"/>
  <c r="L597" i="9"/>
  <c r="J600" i="9"/>
  <c r="I621" i="9"/>
  <c r="J640" i="9"/>
  <c r="J642" i="9"/>
  <c r="I654" i="9"/>
  <c r="H654" i="9"/>
  <c r="I670" i="9"/>
  <c r="H670" i="9"/>
  <c r="I672" i="9"/>
  <c r="H672" i="9"/>
  <c r="J683" i="9"/>
  <c r="J690" i="9"/>
  <c r="L708" i="9"/>
  <c r="L664" i="9"/>
  <c r="L669" i="9"/>
  <c r="I703" i="9"/>
  <c r="J703" i="9"/>
  <c r="I694" i="9"/>
  <c r="H694" i="9"/>
  <c r="I716" i="9"/>
  <c r="J716" i="9"/>
  <c r="H716" i="9"/>
  <c r="J694" i="9"/>
  <c r="I718" i="9"/>
  <c r="J718" i="9"/>
  <c r="H718" i="9"/>
  <c r="L735" i="9"/>
  <c r="H737" i="9"/>
  <c r="L633" i="9"/>
  <c r="I646" i="9"/>
  <c r="H646" i="9"/>
  <c r="L671" i="9"/>
  <c r="L676" i="9"/>
  <c r="H679" i="9"/>
  <c r="L681" i="9"/>
  <c r="H696" i="9"/>
  <c r="J735" i="9"/>
  <c r="I735" i="9"/>
  <c r="H735" i="9"/>
  <c r="I737" i="9"/>
  <c r="L600" i="9"/>
  <c r="L605" i="9"/>
  <c r="L648" i="9"/>
  <c r="L653" i="9"/>
  <c r="J679" i="9"/>
  <c r="L693" i="9"/>
  <c r="I711" i="9"/>
  <c r="J711" i="9"/>
  <c r="H722" i="9"/>
  <c r="I724" i="9"/>
  <c r="J724" i="9"/>
  <c r="H724" i="9"/>
  <c r="L615" i="9"/>
  <c r="L620" i="9"/>
  <c r="L625" i="9"/>
  <c r="I638" i="9"/>
  <c r="H638" i="9"/>
  <c r="L663" i="9"/>
  <c r="L668" i="9"/>
  <c r="L673" i="9"/>
  <c r="I686" i="9"/>
  <c r="H686" i="9"/>
  <c r="H691" i="9"/>
  <c r="J698" i="9"/>
  <c r="I700" i="9"/>
  <c r="J700" i="9"/>
  <c r="H700" i="9"/>
  <c r="H711" i="9"/>
  <c r="J722" i="9"/>
  <c r="J671" i="9"/>
  <c r="J676" i="9"/>
  <c r="I681" i="9"/>
  <c r="J686" i="9"/>
  <c r="L688" i="9"/>
  <c r="J691" i="9"/>
  <c r="I702" i="9"/>
  <c r="J702" i="9"/>
  <c r="H702" i="9"/>
  <c r="I732" i="9"/>
  <c r="J732" i="9"/>
  <c r="L739" i="9"/>
  <c r="H697" i="9"/>
  <c r="H705" i="9"/>
  <c r="H713" i="9"/>
  <c r="H721" i="9"/>
  <c r="H729" i="9"/>
  <c r="J739" i="9"/>
  <c r="I739" i="9"/>
  <c r="H739" i="9"/>
  <c r="L579" i="9"/>
  <c r="L587" i="9"/>
  <c r="L595" i="9"/>
  <c r="L603" i="9"/>
  <c r="L611" i="9"/>
  <c r="L619" i="9"/>
  <c r="L627" i="9"/>
  <c r="L635" i="9"/>
  <c r="L643" i="9"/>
  <c r="L651" i="9"/>
  <c r="L667" i="9"/>
  <c r="L675" i="9"/>
  <c r="L683" i="9"/>
  <c r="L691" i="9"/>
  <c r="L699" i="9"/>
  <c r="L707" i="9"/>
  <c r="L715" i="9"/>
  <c r="L723" i="9"/>
  <c r="H726" i="9"/>
  <c r="L731" i="9"/>
  <c r="H736" i="9"/>
  <c r="I741" i="9"/>
  <c r="L704" i="9"/>
  <c r="L712" i="9"/>
  <c r="L720" i="9"/>
  <c r="J726" i="9"/>
  <c r="I731" i="9"/>
  <c r="H731" i="9"/>
  <c r="L733" i="9"/>
  <c r="J736" i="9"/>
  <c r="L709" i="9"/>
  <c r="L717" i="9"/>
  <c r="H723" i="9"/>
  <c r="L725" i="9"/>
  <c r="J731" i="9"/>
  <c r="H743" i="9"/>
  <c r="I743" i="9"/>
  <c r="L4" i="5"/>
  <c r="L6" i="5"/>
  <c r="L8" i="5"/>
  <c r="L9" i="5"/>
  <c r="L10" i="5"/>
  <c r="L16" i="5"/>
  <c r="L18" i="5"/>
  <c r="J3" i="5"/>
  <c r="J4" i="5"/>
  <c r="J5" i="5"/>
  <c r="J6" i="5"/>
  <c r="J7" i="5"/>
  <c r="J8" i="5"/>
  <c r="J9" i="5"/>
  <c r="J10" i="5"/>
  <c r="J11" i="5"/>
  <c r="J12" i="5"/>
  <c r="J13" i="5"/>
  <c r="J14" i="5"/>
  <c r="J15" i="5"/>
  <c r="J16" i="5"/>
  <c r="J17" i="5"/>
  <c r="J18" i="5"/>
  <c r="J19" i="5"/>
  <c r="J2" i="5"/>
  <c r="I3" i="5"/>
  <c r="I4" i="5"/>
  <c r="I5" i="5"/>
  <c r="I6" i="5"/>
  <c r="I7" i="5"/>
  <c r="I8" i="5"/>
  <c r="I9" i="5"/>
  <c r="I10" i="5"/>
  <c r="I11" i="5"/>
  <c r="I12" i="5"/>
  <c r="I13" i="5"/>
  <c r="I14" i="5"/>
  <c r="I15" i="5"/>
  <c r="I16" i="5"/>
  <c r="I17" i="5"/>
  <c r="I18" i="5"/>
  <c r="I19" i="5"/>
  <c r="I2" i="5"/>
  <c r="H3" i="5"/>
  <c r="H4" i="5"/>
  <c r="H5" i="5"/>
  <c r="H6" i="5"/>
  <c r="H7" i="5"/>
  <c r="H8" i="5"/>
  <c r="H9" i="5"/>
  <c r="H10" i="5"/>
  <c r="H11" i="5"/>
  <c r="H12" i="5"/>
  <c r="H13" i="5"/>
  <c r="H14" i="5"/>
  <c r="H15" i="5"/>
  <c r="H16" i="5"/>
  <c r="H17" i="5"/>
  <c r="H18" i="5"/>
  <c r="H19" i="5"/>
  <c r="H2" i="5"/>
  <c r="F3" i="5"/>
  <c r="L3" i="5" s="1"/>
  <c r="F4" i="5"/>
  <c r="F5" i="5"/>
  <c r="L5" i="5" s="1"/>
  <c r="F6" i="5"/>
  <c r="F7" i="5"/>
  <c r="L7" i="5" s="1"/>
  <c r="F8" i="5"/>
  <c r="F9" i="5"/>
  <c r="F10" i="5"/>
  <c r="F11" i="5"/>
  <c r="L11" i="5" s="1"/>
  <c r="F12" i="5"/>
  <c r="L12" i="5" s="1"/>
  <c r="F13" i="5"/>
  <c r="L13" i="5" s="1"/>
  <c r="F14" i="5"/>
  <c r="L14" i="5" s="1"/>
  <c r="F15" i="5"/>
  <c r="L15" i="5" s="1"/>
  <c r="F16" i="5"/>
  <c r="F17" i="5"/>
  <c r="L17" i="5" s="1"/>
  <c r="F18" i="5"/>
  <c r="F19" i="5"/>
  <c r="L19" i="5" s="1"/>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2" i="5"/>
  <c r="L2" i="5"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2" i="5"/>
</calcChain>
</file>

<file path=xl/sharedStrings.xml><?xml version="1.0" encoding="utf-8"?>
<sst xmlns="http://schemas.openxmlformats.org/spreadsheetml/2006/main" count="3297" uniqueCount="112">
  <si>
    <t>Order ID</t>
  </si>
  <si>
    <t>Order Date</t>
  </si>
  <si>
    <t>Product ID</t>
  </si>
  <si>
    <t>Employee ID</t>
  </si>
  <si>
    <t>Units Sold</t>
  </si>
  <si>
    <t>P04</t>
  </si>
  <si>
    <t>E06</t>
  </si>
  <si>
    <t>E03</t>
  </si>
  <si>
    <t>P09</t>
  </si>
  <si>
    <t>E04</t>
  </si>
  <si>
    <t>P07</t>
  </si>
  <si>
    <t>P02</t>
  </si>
  <si>
    <t>P06</t>
  </si>
  <si>
    <t>E01</t>
  </si>
  <si>
    <t>P08</t>
  </si>
  <si>
    <t>E07</t>
  </si>
  <si>
    <t>E02</t>
  </si>
  <si>
    <t>E08</t>
  </si>
  <si>
    <t>P03</t>
  </si>
  <si>
    <t>E05</t>
  </si>
  <si>
    <t>P05</t>
  </si>
  <si>
    <t>P01</t>
  </si>
  <si>
    <t>Product Name</t>
  </si>
  <si>
    <t>Category</t>
  </si>
  <si>
    <t>Unit Price (₹)</t>
  </si>
  <si>
    <t>Wireless Mouse</t>
  </si>
  <si>
    <t>Electronics</t>
  </si>
  <si>
    <t>Bluetooth Speaker</t>
  </si>
  <si>
    <t>LED Monitor 24"</t>
  </si>
  <si>
    <t>Ergo Office Chair</t>
  </si>
  <si>
    <t>Office Supplies</t>
  </si>
  <si>
    <t>Standing Desk</t>
  </si>
  <si>
    <t>Bookshelf Unit</t>
  </si>
  <si>
    <t>Furniture</t>
  </si>
  <si>
    <t>Filing Cabinet</t>
  </si>
  <si>
    <t>Laptop Backpack</t>
  </si>
  <si>
    <t>Accessories</t>
  </si>
  <si>
    <t>USB-C Hub</t>
  </si>
  <si>
    <t>Salesperson</t>
  </si>
  <si>
    <t>Region</t>
  </si>
  <si>
    <t>State/City</t>
  </si>
  <si>
    <t>Aarav Sharma</t>
  </si>
  <si>
    <t>North</t>
  </si>
  <si>
    <t>Lucknow</t>
  </si>
  <si>
    <t>Ishita Verma</t>
  </si>
  <si>
    <t>Chandigarh</t>
  </si>
  <si>
    <t>Rohan Mehta</t>
  </si>
  <si>
    <t>South</t>
  </si>
  <si>
    <t>Bengaluru</t>
  </si>
  <si>
    <t>Priya Nair</t>
  </si>
  <si>
    <t>Karan Malhotra</t>
  </si>
  <si>
    <t>East</t>
  </si>
  <si>
    <t>Kolkata</t>
  </si>
  <si>
    <t>Sneha Roy</t>
  </si>
  <si>
    <t>Aditya Kapoor</t>
  </si>
  <si>
    <t>West</t>
  </si>
  <si>
    <t>Mumbai</t>
  </si>
  <si>
    <t>Neha Joshi</t>
  </si>
  <si>
    <t>Ahmedabad</t>
  </si>
  <si>
    <t>Month</t>
  </si>
  <si>
    <t>Revenue Target (₹)</t>
  </si>
  <si>
    <t>Revenue (₹)</t>
  </si>
  <si>
    <t>Sales Dashboard — Normalized Sample Data (for VLOOKUP/XLOOKUP/INDEX-MATCH practice)</t>
  </si>
  <si>
    <t>Purpose</t>
  </si>
  <si>
    <t>This workbook splits the data across separate sheets, the way real MIS/ERP exports</t>
  </si>
  <si>
    <t>usually look, so you can practise joining them with VLOOKUP, XLOOKUP or INDEX-MATCH.</t>
  </si>
  <si>
    <t>Sheets</t>
  </si>
  <si>
    <t>• Sales_Transactions  — the FACT table. One row per order: Order ID, Date, Product ID,</t>
  </si>
  <si>
    <t xml:space="preserve">                        Employee ID, Units Sold. Deliberately has NO product name,</t>
  </si>
  <si>
    <t xml:space="preserve">                        price, salesperson name or region — you'll pull those in.</t>
  </si>
  <si>
    <t>• Product_Master      — lookup table: Product ID -&gt; Product Name, Category, Unit Price.</t>
  </si>
  <si>
    <t>• Salesperson_Master  — lookup table: Employee ID -&gt; Salesperson, Region, State/City.</t>
  </si>
  <si>
    <t>• Monthly_Targets     — Region-wise revenue target per month (for later variance work).</t>
  </si>
  <si>
    <t>• Merged_Sales_Data   — empty scaffold with the final column headers already laid out.</t>
  </si>
  <si>
    <t xml:space="preserve">                        This is where the joined, dashboard-ready table will go.</t>
  </si>
  <si>
    <t>Coverage</t>
  </si>
  <si>
    <t>• Sales_Transactions: 742 rows, Jan 2023 - Dec 2024</t>
  </si>
  <si>
    <t>• Product_Master: 9 products across 4 categories</t>
  </si>
  <si>
    <t>• Salesperson_Master: 8 employees across 4 regions</t>
  </si>
  <si>
    <t>Keys to join on</t>
  </si>
  <si>
    <t>• Sales_Transactions.Product ID    &lt;-&gt;  Product_Master.Product ID</t>
  </si>
  <si>
    <t>• Sales_Transactions.Employee ID   &lt;-&gt;  Salesperson_Master.Employee ID</t>
  </si>
  <si>
    <t>Note: All names, IDs and figures are fictional, generated for practice.</t>
  </si>
  <si>
    <t>Grand Total</t>
  </si>
  <si>
    <t>Sum of Revenue (₹)</t>
  </si>
  <si>
    <t>Total</t>
  </si>
  <si>
    <t>(blank)</t>
  </si>
  <si>
    <t>P01 Total</t>
  </si>
  <si>
    <t>P02 Total</t>
  </si>
  <si>
    <t>P03 Total</t>
  </si>
  <si>
    <t>P04 Total</t>
  </si>
  <si>
    <t>P05 Total</t>
  </si>
  <si>
    <t>P06 Total</t>
  </si>
  <si>
    <t>P07 Total</t>
  </si>
  <si>
    <t>P08 Total</t>
  </si>
  <si>
    <t>P09 Total</t>
  </si>
  <si>
    <t>Sum of Units Sold</t>
  </si>
  <si>
    <t>Values</t>
  </si>
  <si>
    <t>Average of Unit Price (₹)</t>
  </si>
  <si>
    <t>Months (Order Date)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</si>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</sst>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mmm\-yyyy"/>
  </numFmts>
  <fonts count="11" x14ac:knownFonts="1">
    <font>
      <sz val="11"/>
      <color theme="1"/>
      <name val="Calibri"/>
      <family val="2"/>
      <scheme val="minor"/>
    </font>
    <font>
      <b/>
      <sz val="11"/>
      <color rgb="FFFFFFFF"/>
      <name val="Arial"/>
    </font>
    <font>
      <b/>
      <sz val="10"/>
      <color rgb="FF1F4E78"/>
      <name val="Arial"/>
    </font>
    <font>
      <sz val="10"/>
      <name val="Arial"/>
    </font>
    <font>
      <b/>
      <sz val="14"/>
      <color rgb="FF1F4E78"/>
      <name val="Arial"/>
    </font>
    <font>
      <b/>
      <sz val="11"/>
      <color rgb="FF1F4E78"/>
      <name val="Arial"/>
    </font>
    <font>
      <i/>
      <sz val="10"/>
      <color rgb="FF808080"/>
      <name val="Arial"/>
    </font>
    <font>
      <b/>
      <sz val="11"/>
      <color theme="0"/>
      <name val="Calibri"/>
      <family val="2"/>
      <scheme val="minor"/>
    </font>
    <font>
      <sz val="11"/>
      <color theme="0"/>
      <name val="Calibri"/>
      <family val="2"/>
      <scheme val="minor"/>
    </font>
    <font>
      <sz val="11"/>
      <color theme="1" tint="0.34998626667073579"/>
      <name val="Calibri"/>
      <family val="2"/>
      <scheme val="minor"/>
    </font>
    <font>
      <b/>
      <sz val="11"/>
      <color theme="1" tint="0.34998626667073579"/>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theme="1" tint="0.249977111117893"/>
        <bgColor indexed="64"/>
      </patternFill>
    </fill>
    <fill>
      <patternFill patternType="solid">
        <fgColor theme="1" tint="0.249977111117893"/>
        <bgColor theme="4" tint="0.79998168889431442"/>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thin">
        <color theme="4" tint="0.39997558519241921"/>
      </bottom>
      <diagonal/>
    </border>
  </borders>
  <cellStyleXfs count="1">
    <xf numFmtId="0" fontId="0" fillId="0" borderId="0"/>
  </cellStyleXfs>
  <cellXfs count="25">
    <xf numFmtId="0" fontId="0" fillId="0" borderId="0" xfId="0"/>
    <xf numFmtId="164" fontId="3" fillId="0" borderId="1" xfId="0" applyNumberFormat="1" applyFont="1" applyBorder="1"/>
    <xf numFmtId="0" fontId="3" fillId="0" borderId="1" xfId="0" applyFont="1" applyBorder="1"/>
    <xf numFmtId="0" fontId="4" fillId="0" borderId="0" xfId="0" applyFont="1"/>
    <xf numFmtId="0" fontId="3" fillId="0" borderId="0" xfId="0" applyFont="1"/>
    <xf numFmtId="0" fontId="5" fillId="0" borderId="0" xfId="0" applyFont="1"/>
    <xf numFmtId="0" fontId="6" fillId="0" borderId="0" xfId="0" applyFont="1"/>
    <xf numFmtId="0" fontId="2" fillId="0" borderId="2" xfId="0" applyFont="1" applyBorder="1"/>
    <xf numFmtId="0" fontId="3"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3" fillId="0" borderId="8" xfId="0" applyNumberFormat="1" applyFont="1" applyBorder="1"/>
    <xf numFmtId="0" fontId="3" fillId="0" borderId="8" xfId="0" applyFont="1" applyBorder="1"/>
    <xf numFmtId="0" fontId="3" fillId="0" borderId="9" xfId="0" applyFont="1" applyBorder="1"/>
    <xf numFmtId="3" fontId="3" fillId="0" borderId="3" xfId="0" applyNumberFormat="1" applyFont="1" applyBorder="1"/>
    <xf numFmtId="3" fontId="3" fillId="0" borderId="9" xfId="0" applyNumberFormat="1" applyFont="1" applyBorder="1"/>
    <xf numFmtId="165" fontId="3" fillId="0" borderId="2" xfId="0" applyNumberFormat="1" applyFont="1" applyBorder="1"/>
    <xf numFmtId="165" fontId="3" fillId="0" borderId="7" xfId="0" applyNumberFormat="1" applyFont="1" applyBorder="1"/>
    <xf numFmtId="0" fontId="0" fillId="0" borderId="0" xfId="0" pivotButton="1"/>
    <xf numFmtId="0" fontId="9" fillId="3" borderId="0" xfId="0" applyFont="1" applyFill="1"/>
    <xf numFmtId="0" fontId="10" fillId="4" borderId="10" xfId="0" applyFont="1" applyFill="1" applyBorder="1"/>
    <xf numFmtId="0" fontId="7" fillId="4" borderId="10" xfId="0" applyFont="1" applyFill="1" applyBorder="1"/>
    <xf numFmtId="0" fontId="8" fillId="3" borderId="0" xfId="0" applyFont="1" applyFill="1"/>
  </cellXfs>
  <cellStyles count="1">
    <cellStyle name="Normal" xfId="0" builtinId="0"/>
  </cellStyles>
  <dxfs count="44">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dd\-mmm\-yyyy"/>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0"/>
        <color rgb="FF1F4E78"/>
        <name val="Arial"/>
        <scheme val="none"/>
      </font>
      <border diagonalUp="0" diagonalDown="0">
        <left/>
        <right style="thin">
          <color rgb="FFD9D9D9"/>
        </right>
        <top style="thin">
          <color rgb="FFD9D9D9"/>
        </top>
        <bottom style="thin">
          <color rgb="FFD9D9D9"/>
        </bottom>
        <vertical/>
        <horizontal/>
      </border>
    </dxf>
    <dxf>
      <border outline="0">
        <left style="thin">
          <color rgb="FFD9D9D9"/>
        </left>
        <top style="thin">
          <color rgb="FFD9D9D9"/>
        </top>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dd\-mmm\-yyyy"/>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0"/>
        <color rgb="FF1F4E78"/>
        <name val="Arial"/>
        <scheme val="none"/>
      </font>
      <border diagonalUp="0" diagonalDown="0">
        <left/>
        <right style="thin">
          <color rgb="FFD9D9D9"/>
        </right>
        <top style="thin">
          <color rgb="FFD9D9D9"/>
        </top>
        <bottom style="thin">
          <color rgb="FFD9D9D9"/>
        </bottom>
        <vertical/>
        <horizontal/>
      </border>
    </dxf>
    <dxf>
      <border outline="0">
        <left style="thin">
          <color rgb="FFD9D9D9"/>
        </left>
        <top style="thin">
          <color rgb="FFD9D9D9"/>
        </top>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numFmt numFmtId="3" formatCode="#,##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mmm\-yyyy"/>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0"/>
        <color rgb="FF1F4E78"/>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numFmt numFmtId="3" formatCode="#,##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0"/>
        <color rgb="FF1F4E78"/>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dd\-mmm\-yyyy"/>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10"/>
        <color rgb="FF1F4E78"/>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Performance Dashboard.xlsx]Summary!Revenue By Category</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Summary!$B$1:$B$2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396-49B5-AF00-F7D7DD8F509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396-49B5-AF00-F7D7DD8F509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396-49B5-AF00-F7D7DD8F509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396-49B5-AF00-F7D7DD8F509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Summary!$A$3:$A$7</c:f>
              <c:strCache>
                <c:ptCount val="4"/>
                <c:pt idx="0">
                  <c:v>Accessories</c:v>
                </c:pt>
                <c:pt idx="1">
                  <c:v>Electronics</c:v>
                </c:pt>
                <c:pt idx="2">
                  <c:v>Furniture</c:v>
                </c:pt>
                <c:pt idx="3">
                  <c:v>Office Supplies</c:v>
                </c:pt>
              </c:strCache>
            </c:strRef>
          </c:cat>
          <c:val>
            <c:numRef>
              <c:f>Summary!$B$3:$B$7</c:f>
              <c:numCache>
                <c:formatCode>General</c:formatCode>
                <c:ptCount val="4"/>
                <c:pt idx="0">
                  <c:v>15190</c:v>
                </c:pt>
                <c:pt idx="1">
                  <c:v>43120</c:v>
                </c:pt>
                <c:pt idx="2">
                  <c:v>87300</c:v>
                </c:pt>
                <c:pt idx="3">
                  <c:v>158790</c:v>
                </c:pt>
              </c:numCache>
            </c:numRef>
          </c:val>
          <c:extLst>
            <c:ext xmlns:c16="http://schemas.microsoft.com/office/drawing/2014/chart" uri="{C3380CC4-5D6E-409C-BE32-E72D297353CC}">
              <c16:uniqueId val="{00000000-5259-45BB-BCD1-536B59D2A293}"/>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Performance Dashboard.xlsx]Summary!Revenue By Region</c:name>
    <c:fmtId val="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80927384077"/>
          <c:y val="0.26328484981044037"/>
          <c:w val="0.73578937007874012"/>
          <c:h val="0.53774387576552929"/>
        </c:manualLayout>
      </c:layout>
      <c:barChart>
        <c:barDir val="col"/>
        <c:grouping val="clustered"/>
        <c:varyColors val="0"/>
        <c:ser>
          <c:idx val="0"/>
          <c:order val="0"/>
          <c:tx>
            <c:strRef>
              <c:f>Summary!$B$11:$B$12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Summary!$A$13:$A$18</c:f>
              <c:strCache>
                <c:ptCount val="5"/>
                <c:pt idx="0">
                  <c:v>East</c:v>
                </c:pt>
                <c:pt idx="1">
                  <c:v>North</c:v>
                </c:pt>
                <c:pt idx="2">
                  <c:v>South</c:v>
                </c:pt>
                <c:pt idx="3">
                  <c:v>West</c:v>
                </c:pt>
                <c:pt idx="4">
                  <c:v>(blank)</c:v>
                </c:pt>
              </c:strCache>
            </c:strRef>
          </c:cat>
          <c:val>
            <c:numRef>
              <c:f>Summary!$B$13:$B$18</c:f>
              <c:numCache>
                <c:formatCode>General</c:formatCode>
                <c:ptCount val="5"/>
                <c:pt idx="0">
                  <c:v>130070</c:v>
                </c:pt>
                <c:pt idx="1">
                  <c:v>48870</c:v>
                </c:pt>
                <c:pt idx="2">
                  <c:v>40210</c:v>
                </c:pt>
                <c:pt idx="3">
                  <c:v>85250</c:v>
                </c:pt>
              </c:numCache>
            </c:numRef>
          </c:val>
          <c:extLst>
            <c:ext xmlns:c16="http://schemas.microsoft.com/office/drawing/2014/chart" uri="{C3380CC4-5D6E-409C-BE32-E72D297353CC}">
              <c16:uniqueId val="{00000000-DF31-4AE6-B58A-64B957C73D66}"/>
            </c:ext>
          </c:extLst>
        </c:ser>
        <c:dLbls>
          <c:showLegendKey val="0"/>
          <c:showVal val="0"/>
          <c:showCatName val="0"/>
          <c:showSerName val="0"/>
          <c:showPercent val="0"/>
          <c:showBubbleSize val="0"/>
        </c:dLbls>
        <c:gapWidth val="100"/>
        <c:overlap val="-24"/>
        <c:axId val="1390192368"/>
        <c:axId val="398449136"/>
      </c:barChart>
      <c:catAx>
        <c:axId val="1390192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8449136"/>
        <c:crosses val="autoZero"/>
        <c:auto val="1"/>
        <c:lblAlgn val="ctr"/>
        <c:lblOffset val="100"/>
        <c:noMultiLvlLbl val="0"/>
      </c:catAx>
      <c:valAx>
        <c:axId val="39844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1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Performance Dashboard.xlsx]Summary!PivotTable3</c:name>
    <c:fmtId val="2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Summary!$C$22:$C$23</c:f>
              <c:strCache>
                <c:ptCount val="1"/>
                <c:pt idx="0">
                  <c:v>Sum of Units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Summary!$A$24:$B$42</c:f>
              <c:multiLvlStrCache>
                <c:ptCount val="9"/>
                <c:lvl>
                  <c:pt idx="0">
                    <c:v>Wireless Mouse</c:v>
                  </c:pt>
                  <c:pt idx="1">
                    <c:v>Bluetooth Speaker</c:v>
                  </c:pt>
                  <c:pt idx="2">
                    <c:v>LED Monitor 24"</c:v>
                  </c:pt>
                  <c:pt idx="3">
                    <c:v>Ergo Office Chair</c:v>
                  </c:pt>
                  <c:pt idx="4">
                    <c:v>Standing Desk</c:v>
                  </c:pt>
                  <c:pt idx="5">
                    <c:v>Bookshelf Unit</c:v>
                  </c:pt>
                  <c:pt idx="6">
                    <c:v>Filing Cabinet</c:v>
                  </c:pt>
                  <c:pt idx="7">
                    <c:v>Laptop Backpack</c:v>
                  </c:pt>
                  <c:pt idx="8">
                    <c:v>USB-C Hub</c:v>
                  </c:pt>
                </c:lvl>
                <c:lvl>
                  <c:pt idx="0">
                    <c:v>P01</c:v>
                  </c:pt>
                  <c:pt idx="1">
                    <c:v>P02</c:v>
                  </c:pt>
                  <c:pt idx="2">
                    <c:v>P03</c:v>
                  </c:pt>
                  <c:pt idx="3">
                    <c:v>P04</c:v>
                  </c:pt>
                  <c:pt idx="4">
                    <c:v>P05</c:v>
                  </c:pt>
                  <c:pt idx="5">
                    <c:v>P06</c:v>
                  </c:pt>
                  <c:pt idx="6">
                    <c:v>P07</c:v>
                  </c:pt>
                  <c:pt idx="7">
                    <c:v>P08</c:v>
                  </c:pt>
                  <c:pt idx="8">
                    <c:v>P09</c:v>
                  </c:pt>
                </c:lvl>
              </c:multiLvlStrCache>
            </c:multiLvlStrRef>
          </c:cat>
          <c:val>
            <c:numRef>
              <c:f>Summary!$C$24:$C$42</c:f>
              <c:numCache>
                <c:formatCode>General</c:formatCode>
                <c:ptCount val="9"/>
                <c:pt idx="1">
                  <c:v>14</c:v>
                </c:pt>
                <c:pt idx="2">
                  <c:v>3</c:v>
                </c:pt>
                <c:pt idx="3">
                  <c:v>17</c:v>
                </c:pt>
                <c:pt idx="4">
                  <c:v>4</c:v>
                </c:pt>
                <c:pt idx="5">
                  <c:v>14</c:v>
                </c:pt>
                <c:pt idx="6">
                  <c:v>8</c:v>
                </c:pt>
                <c:pt idx="7">
                  <c:v>1</c:v>
                </c:pt>
                <c:pt idx="8">
                  <c:v>16</c:v>
                </c:pt>
              </c:numCache>
            </c:numRef>
          </c:val>
          <c:extLst>
            <c:ext xmlns:c16="http://schemas.microsoft.com/office/drawing/2014/chart" uri="{C3380CC4-5D6E-409C-BE32-E72D297353CC}">
              <c16:uniqueId val="{00000000-8A87-4D8C-9C73-6263A677F608}"/>
            </c:ext>
          </c:extLst>
        </c:ser>
        <c:ser>
          <c:idx val="1"/>
          <c:order val="1"/>
          <c:tx>
            <c:strRef>
              <c:f>Summary!$D$22:$D$23</c:f>
              <c:strCache>
                <c:ptCount val="1"/>
                <c:pt idx="0">
                  <c:v>Sum of Revenue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Summary!$A$24:$B$42</c:f>
              <c:multiLvlStrCache>
                <c:ptCount val="9"/>
                <c:lvl>
                  <c:pt idx="0">
                    <c:v>Wireless Mouse</c:v>
                  </c:pt>
                  <c:pt idx="1">
                    <c:v>Bluetooth Speaker</c:v>
                  </c:pt>
                  <c:pt idx="2">
                    <c:v>LED Monitor 24"</c:v>
                  </c:pt>
                  <c:pt idx="3">
                    <c:v>Ergo Office Chair</c:v>
                  </c:pt>
                  <c:pt idx="4">
                    <c:v>Standing Desk</c:v>
                  </c:pt>
                  <c:pt idx="5">
                    <c:v>Bookshelf Unit</c:v>
                  </c:pt>
                  <c:pt idx="6">
                    <c:v>Filing Cabinet</c:v>
                  </c:pt>
                  <c:pt idx="7">
                    <c:v>Laptop Backpack</c:v>
                  </c:pt>
                  <c:pt idx="8">
                    <c:v>USB-C Hub</c:v>
                  </c:pt>
                </c:lvl>
                <c:lvl>
                  <c:pt idx="0">
                    <c:v>P01</c:v>
                  </c:pt>
                  <c:pt idx="1">
                    <c:v>P02</c:v>
                  </c:pt>
                  <c:pt idx="2">
                    <c:v>P03</c:v>
                  </c:pt>
                  <c:pt idx="3">
                    <c:v>P04</c:v>
                  </c:pt>
                  <c:pt idx="4">
                    <c:v>P05</c:v>
                  </c:pt>
                  <c:pt idx="5">
                    <c:v>P06</c:v>
                  </c:pt>
                  <c:pt idx="6">
                    <c:v>P07</c:v>
                  </c:pt>
                  <c:pt idx="7">
                    <c:v>P08</c:v>
                  </c:pt>
                  <c:pt idx="8">
                    <c:v>P09</c:v>
                  </c:pt>
                </c:lvl>
              </c:multiLvlStrCache>
            </c:multiLvlStrRef>
          </c:cat>
          <c:val>
            <c:numRef>
              <c:f>Summary!$D$24:$D$42</c:f>
              <c:numCache>
                <c:formatCode>General</c:formatCode>
                <c:ptCount val="9"/>
                <c:pt idx="1">
                  <c:v>20020</c:v>
                </c:pt>
                <c:pt idx="2">
                  <c:v>23100</c:v>
                </c:pt>
                <c:pt idx="3">
                  <c:v>114750</c:v>
                </c:pt>
                <c:pt idx="4">
                  <c:v>44040</c:v>
                </c:pt>
                <c:pt idx="5">
                  <c:v>54740</c:v>
                </c:pt>
                <c:pt idx="6">
                  <c:v>32560</c:v>
                </c:pt>
                <c:pt idx="7">
                  <c:v>1110</c:v>
                </c:pt>
                <c:pt idx="8">
                  <c:v>14080</c:v>
                </c:pt>
              </c:numCache>
            </c:numRef>
          </c:val>
          <c:extLst>
            <c:ext xmlns:c16="http://schemas.microsoft.com/office/drawing/2014/chart" uri="{C3380CC4-5D6E-409C-BE32-E72D297353CC}">
              <c16:uniqueId val="{00000001-8A87-4D8C-9C73-6263A677F608}"/>
            </c:ext>
          </c:extLst>
        </c:ser>
        <c:dLbls>
          <c:showLegendKey val="0"/>
          <c:showVal val="0"/>
          <c:showCatName val="0"/>
          <c:showSerName val="0"/>
          <c:showPercent val="0"/>
          <c:showBubbleSize val="0"/>
        </c:dLbls>
        <c:gapWidth val="150"/>
        <c:axId val="1390228560"/>
        <c:axId val="398412656"/>
      </c:barChart>
      <c:lineChart>
        <c:grouping val="standard"/>
        <c:varyColors val="0"/>
        <c:ser>
          <c:idx val="2"/>
          <c:order val="2"/>
          <c:tx>
            <c:strRef>
              <c:f>Summary!$E$22:$E$23</c:f>
              <c:strCache>
                <c:ptCount val="1"/>
                <c:pt idx="0">
                  <c:v>Average of Unit Price (₹)</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Summary!$A$24:$B$42</c:f>
              <c:multiLvlStrCache>
                <c:ptCount val="9"/>
                <c:lvl>
                  <c:pt idx="0">
                    <c:v>Wireless Mouse</c:v>
                  </c:pt>
                  <c:pt idx="1">
                    <c:v>Bluetooth Speaker</c:v>
                  </c:pt>
                  <c:pt idx="2">
                    <c:v>LED Monitor 24"</c:v>
                  </c:pt>
                  <c:pt idx="3">
                    <c:v>Ergo Office Chair</c:v>
                  </c:pt>
                  <c:pt idx="4">
                    <c:v>Standing Desk</c:v>
                  </c:pt>
                  <c:pt idx="5">
                    <c:v>Bookshelf Unit</c:v>
                  </c:pt>
                  <c:pt idx="6">
                    <c:v>Filing Cabinet</c:v>
                  </c:pt>
                  <c:pt idx="7">
                    <c:v>Laptop Backpack</c:v>
                  </c:pt>
                  <c:pt idx="8">
                    <c:v>USB-C Hub</c:v>
                  </c:pt>
                </c:lvl>
                <c:lvl>
                  <c:pt idx="0">
                    <c:v>P01</c:v>
                  </c:pt>
                  <c:pt idx="1">
                    <c:v>P02</c:v>
                  </c:pt>
                  <c:pt idx="2">
                    <c:v>P03</c:v>
                  </c:pt>
                  <c:pt idx="3">
                    <c:v>P04</c:v>
                  </c:pt>
                  <c:pt idx="4">
                    <c:v>P05</c:v>
                  </c:pt>
                  <c:pt idx="5">
                    <c:v>P06</c:v>
                  </c:pt>
                  <c:pt idx="6">
                    <c:v>P07</c:v>
                  </c:pt>
                  <c:pt idx="7">
                    <c:v>P08</c:v>
                  </c:pt>
                  <c:pt idx="8">
                    <c:v>P09</c:v>
                  </c:pt>
                </c:lvl>
              </c:multiLvlStrCache>
            </c:multiLvlStrRef>
          </c:cat>
          <c:val>
            <c:numRef>
              <c:f>Summary!$E$24:$E$42</c:f>
              <c:numCache>
                <c:formatCode>General</c:formatCode>
                <c:ptCount val="9"/>
                <c:pt idx="0">
                  <c:v>780</c:v>
                </c:pt>
                <c:pt idx="1">
                  <c:v>1430</c:v>
                </c:pt>
                <c:pt idx="2">
                  <c:v>7700</c:v>
                </c:pt>
                <c:pt idx="3">
                  <c:v>6750</c:v>
                </c:pt>
                <c:pt idx="4">
                  <c:v>11010</c:v>
                </c:pt>
                <c:pt idx="5">
                  <c:v>3910</c:v>
                </c:pt>
                <c:pt idx="6">
                  <c:v>4070</c:v>
                </c:pt>
                <c:pt idx="7">
                  <c:v>1110</c:v>
                </c:pt>
                <c:pt idx="8">
                  <c:v>880</c:v>
                </c:pt>
              </c:numCache>
            </c:numRef>
          </c:val>
          <c:smooth val="0"/>
          <c:extLst>
            <c:ext xmlns:c16="http://schemas.microsoft.com/office/drawing/2014/chart" uri="{C3380CC4-5D6E-409C-BE32-E72D297353CC}">
              <c16:uniqueId val="{00000002-8A87-4D8C-9C73-6263A677F608}"/>
            </c:ext>
          </c:extLst>
        </c:ser>
        <c:dLbls>
          <c:showLegendKey val="0"/>
          <c:showVal val="0"/>
          <c:showCatName val="0"/>
          <c:showSerName val="0"/>
          <c:showPercent val="0"/>
          <c:showBubbleSize val="0"/>
        </c:dLbls>
        <c:marker val="1"/>
        <c:smooth val="0"/>
        <c:axId val="1390227632"/>
        <c:axId val="398425616"/>
      </c:lineChart>
      <c:catAx>
        <c:axId val="1390228560"/>
        <c:scaling>
          <c:orientation val="minMax"/>
        </c:scaling>
        <c:delete val="1"/>
        <c:axPos val="b"/>
        <c:numFmt formatCode="General" sourceLinked="1"/>
        <c:majorTickMark val="out"/>
        <c:minorTickMark val="none"/>
        <c:tickLblPos val="nextTo"/>
        <c:crossAx val="398412656"/>
        <c:crosses val="autoZero"/>
        <c:auto val="1"/>
        <c:lblAlgn val="ctr"/>
        <c:lblOffset val="100"/>
        <c:noMultiLvlLbl val="0"/>
      </c:catAx>
      <c:valAx>
        <c:axId val="398412656"/>
        <c:scaling>
          <c:orientation val="minMax"/>
        </c:scaling>
        <c:delete val="1"/>
        <c:axPos val="l"/>
        <c:numFmt formatCode="General" sourceLinked="1"/>
        <c:majorTickMark val="out"/>
        <c:minorTickMark val="none"/>
        <c:tickLblPos val="nextTo"/>
        <c:crossAx val="1390228560"/>
        <c:crosses val="autoZero"/>
        <c:crossBetween val="between"/>
      </c:valAx>
      <c:valAx>
        <c:axId val="398425616"/>
        <c:scaling>
          <c:orientation val="minMax"/>
        </c:scaling>
        <c:delete val="1"/>
        <c:axPos val="r"/>
        <c:numFmt formatCode="General" sourceLinked="1"/>
        <c:majorTickMark val="out"/>
        <c:minorTickMark val="none"/>
        <c:tickLblPos val="nextTo"/>
        <c:crossAx val="1390227632"/>
        <c:crosses val="max"/>
        <c:crossBetween val="between"/>
      </c:valAx>
      <c:catAx>
        <c:axId val="1390227632"/>
        <c:scaling>
          <c:orientation val="minMax"/>
        </c:scaling>
        <c:delete val="1"/>
        <c:axPos val="t"/>
        <c:numFmt formatCode="General" sourceLinked="1"/>
        <c:majorTickMark val="out"/>
        <c:minorTickMark val="none"/>
        <c:tickLblPos val="nextTo"/>
        <c:crossAx val="398425616"/>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Performance Dashboard.xlsx]Summary!Revenue By Category</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r>
              <a:rPr lang="en-US" baseline="0"/>
              <a:t> Wise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Summary!$B$1:$B$2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F42-4AFC-AFC2-9422EB865F4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F42-4AFC-AFC2-9422EB865F4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F42-4AFC-AFC2-9422EB865F4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F42-4AFC-AFC2-9422EB865F4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Summary!$A$3:$A$7</c:f>
              <c:strCache>
                <c:ptCount val="4"/>
                <c:pt idx="0">
                  <c:v>Accessories</c:v>
                </c:pt>
                <c:pt idx="1">
                  <c:v>Electronics</c:v>
                </c:pt>
                <c:pt idx="2">
                  <c:v>Furniture</c:v>
                </c:pt>
                <c:pt idx="3">
                  <c:v>Office Supplies</c:v>
                </c:pt>
              </c:strCache>
            </c:strRef>
          </c:cat>
          <c:val>
            <c:numRef>
              <c:f>Summary!$B$3:$B$7</c:f>
              <c:numCache>
                <c:formatCode>General</c:formatCode>
                <c:ptCount val="4"/>
                <c:pt idx="0">
                  <c:v>15190</c:v>
                </c:pt>
                <c:pt idx="1">
                  <c:v>43120</c:v>
                </c:pt>
                <c:pt idx="2">
                  <c:v>87300</c:v>
                </c:pt>
                <c:pt idx="3">
                  <c:v>158790</c:v>
                </c:pt>
              </c:numCache>
            </c:numRef>
          </c:val>
          <c:extLst>
            <c:ext xmlns:c16="http://schemas.microsoft.com/office/drawing/2014/chart" uri="{C3380CC4-5D6E-409C-BE32-E72D297353CC}">
              <c16:uniqueId val="{00000008-8F42-4AFC-AFC2-9422EB865F4E}"/>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Performance Dashboard.xlsx]Summary!Revenue By Region</c:name>
    <c:fmtId val="1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80927384077"/>
          <c:y val="0.26328484981044037"/>
          <c:w val="0.73578937007874012"/>
          <c:h val="0.53774387576552929"/>
        </c:manualLayout>
      </c:layout>
      <c:barChart>
        <c:barDir val="col"/>
        <c:grouping val="clustered"/>
        <c:varyColors val="0"/>
        <c:ser>
          <c:idx val="0"/>
          <c:order val="0"/>
          <c:tx>
            <c:strRef>
              <c:f>Summary!$B$11:$B$12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Summary!$A$13:$A$18</c:f>
              <c:strCache>
                <c:ptCount val="5"/>
                <c:pt idx="0">
                  <c:v>East</c:v>
                </c:pt>
                <c:pt idx="1">
                  <c:v>North</c:v>
                </c:pt>
                <c:pt idx="2">
                  <c:v>South</c:v>
                </c:pt>
                <c:pt idx="3">
                  <c:v>West</c:v>
                </c:pt>
                <c:pt idx="4">
                  <c:v>(blank)</c:v>
                </c:pt>
              </c:strCache>
            </c:strRef>
          </c:cat>
          <c:val>
            <c:numRef>
              <c:f>Summary!$B$13:$B$18</c:f>
              <c:numCache>
                <c:formatCode>General</c:formatCode>
                <c:ptCount val="5"/>
                <c:pt idx="0">
                  <c:v>130070</c:v>
                </c:pt>
                <c:pt idx="1">
                  <c:v>48870</c:v>
                </c:pt>
                <c:pt idx="2">
                  <c:v>40210</c:v>
                </c:pt>
                <c:pt idx="3">
                  <c:v>85250</c:v>
                </c:pt>
              </c:numCache>
            </c:numRef>
          </c:val>
          <c:extLst>
            <c:ext xmlns:c16="http://schemas.microsoft.com/office/drawing/2014/chart" uri="{C3380CC4-5D6E-409C-BE32-E72D297353CC}">
              <c16:uniqueId val="{00000000-EC8D-4D8B-AEFF-7A3054E75EA6}"/>
            </c:ext>
          </c:extLst>
        </c:ser>
        <c:dLbls>
          <c:showLegendKey val="0"/>
          <c:showVal val="0"/>
          <c:showCatName val="0"/>
          <c:showSerName val="0"/>
          <c:showPercent val="0"/>
          <c:showBubbleSize val="0"/>
        </c:dLbls>
        <c:gapWidth val="100"/>
        <c:overlap val="-24"/>
        <c:axId val="1390192368"/>
        <c:axId val="398449136"/>
      </c:barChart>
      <c:catAx>
        <c:axId val="1390192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8449136"/>
        <c:crosses val="autoZero"/>
        <c:auto val="1"/>
        <c:lblAlgn val="ctr"/>
        <c:lblOffset val="100"/>
        <c:noMultiLvlLbl val="0"/>
      </c:catAx>
      <c:valAx>
        <c:axId val="398449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1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Performance Dashboard.xlsx]Summary!PivotTable3</c:name>
    <c:fmtId val="3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3786818314377369"/>
          <c:w val="0.93888888888888888"/>
          <c:h val="0.54183471857684451"/>
        </c:manualLayout>
      </c:layout>
      <c:barChart>
        <c:barDir val="col"/>
        <c:grouping val="clustered"/>
        <c:varyColors val="0"/>
        <c:ser>
          <c:idx val="0"/>
          <c:order val="0"/>
          <c:tx>
            <c:strRef>
              <c:f>Summary!$C$22:$C$23</c:f>
              <c:strCache>
                <c:ptCount val="1"/>
                <c:pt idx="0">
                  <c:v>Sum of Units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Summary!$A$24:$B$42</c:f>
              <c:multiLvlStrCache>
                <c:ptCount val="9"/>
                <c:lvl>
                  <c:pt idx="0">
                    <c:v>Wireless Mouse</c:v>
                  </c:pt>
                  <c:pt idx="1">
                    <c:v>Bluetooth Speaker</c:v>
                  </c:pt>
                  <c:pt idx="2">
                    <c:v>LED Monitor 24"</c:v>
                  </c:pt>
                  <c:pt idx="3">
                    <c:v>Ergo Office Chair</c:v>
                  </c:pt>
                  <c:pt idx="4">
                    <c:v>Standing Desk</c:v>
                  </c:pt>
                  <c:pt idx="5">
                    <c:v>Bookshelf Unit</c:v>
                  </c:pt>
                  <c:pt idx="6">
                    <c:v>Filing Cabinet</c:v>
                  </c:pt>
                  <c:pt idx="7">
                    <c:v>Laptop Backpack</c:v>
                  </c:pt>
                  <c:pt idx="8">
                    <c:v>USB-C Hub</c:v>
                  </c:pt>
                </c:lvl>
                <c:lvl>
                  <c:pt idx="0">
                    <c:v>P01</c:v>
                  </c:pt>
                  <c:pt idx="1">
                    <c:v>P02</c:v>
                  </c:pt>
                  <c:pt idx="2">
                    <c:v>P03</c:v>
                  </c:pt>
                  <c:pt idx="3">
                    <c:v>P04</c:v>
                  </c:pt>
                  <c:pt idx="4">
                    <c:v>P05</c:v>
                  </c:pt>
                  <c:pt idx="5">
                    <c:v>P06</c:v>
                  </c:pt>
                  <c:pt idx="6">
                    <c:v>P07</c:v>
                  </c:pt>
                  <c:pt idx="7">
                    <c:v>P08</c:v>
                  </c:pt>
                  <c:pt idx="8">
                    <c:v>P09</c:v>
                  </c:pt>
                </c:lvl>
              </c:multiLvlStrCache>
            </c:multiLvlStrRef>
          </c:cat>
          <c:val>
            <c:numRef>
              <c:f>Summary!$C$24:$C$42</c:f>
              <c:numCache>
                <c:formatCode>General</c:formatCode>
                <c:ptCount val="9"/>
                <c:pt idx="1">
                  <c:v>14</c:v>
                </c:pt>
                <c:pt idx="2">
                  <c:v>3</c:v>
                </c:pt>
                <c:pt idx="3">
                  <c:v>17</c:v>
                </c:pt>
                <c:pt idx="4">
                  <c:v>4</c:v>
                </c:pt>
                <c:pt idx="5">
                  <c:v>14</c:v>
                </c:pt>
                <c:pt idx="6">
                  <c:v>8</c:v>
                </c:pt>
                <c:pt idx="7">
                  <c:v>1</c:v>
                </c:pt>
                <c:pt idx="8">
                  <c:v>16</c:v>
                </c:pt>
              </c:numCache>
            </c:numRef>
          </c:val>
          <c:extLst>
            <c:ext xmlns:c16="http://schemas.microsoft.com/office/drawing/2014/chart" uri="{C3380CC4-5D6E-409C-BE32-E72D297353CC}">
              <c16:uniqueId val="{00000000-B76E-4B73-B899-54AEF2B18124}"/>
            </c:ext>
          </c:extLst>
        </c:ser>
        <c:ser>
          <c:idx val="1"/>
          <c:order val="1"/>
          <c:tx>
            <c:strRef>
              <c:f>Summary!$D$22:$D$23</c:f>
              <c:strCache>
                <c:ptCount val="1"/>
                <c:pt idx="0">
                  <c:v>Sum of Revenue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Summary!$A$24:$B$42</c:f>
              <c:multiLvlStrCache>
                <c:ptCount val="9"/>
                <c:lvl>
                  <c:pt idx="0">
                    <c:v>Wireless Mouse</c:v>
                  </c:pt>
                  <c:pt idx="1">
                    <c:v>Bluetooth Speaker</c:v>
                  </c:pt>
                  <c:pt idx="2">
                    <c:v>LED Monitor 24"</c:v>
                  </c:pt>
                  <c:pt idx="3">
                    <c:v>Ergo Office Chair</c:v>
                  </c:pt>
                  <c:pt idx="4">
                    <c:v>Standing Desk</c:v>
                  </c:pt>
                  <c:pt idx="5">
                    <c:v>Bookshelf Unit</c:v>
                  </c:pt>
                  <c:pt idx="6">
                    <c:v>Filing Cabinet</c:v>
                  </c:pt>
                  <c:pt idx="7">
                    <c:v>Laptop Backpack</c:v>
                  </c:pt>
                  <c:pt idx="8">
                    <c:v>USB-C Hub</c:v>
                  </c:pt>
                </c:lvl>
                <c:lvl>
                  <c:pt idx="0">
                    <c:v>P01</c:v>
                  </c:pt>
                  <c:pt idx="1">
                    <c:v>P02</c:v>
                  </c:pt>
                  <c:pt idx="2">
                    <c:v>P03</c:v>
                  </c:pt>
                  <c:pt idx="3">
                    <c:v>P04</c:v>
                  </c:pt>
                  <c:pt idx="4">
                    <c:v>P05</c:v>
                  </c:pt>
                  <c:pt idx="5">
                    <c:v>P06</c:v>
                  </c:pt>
                  <c:pt idx="6">
                    <c:v>P07</c:v>
                  </c:pt>
                  <c:pt idx="7">
                    <c:v>P08</c:v>
                  </c:pt>
                  <c:pt idx="8">
                    <c:v>P09</c:v>
                  </c:pt>
                </c:lvl>
              </c:multiLvlStrCache>
            </c:multiLvlStrRef>
          </c:cat>
          <c:val>
            <c:numRef>
              <c:f>Summary!$D$24:$D$42</c:f>
              <c:numCache>
                <c:formatCode>General</c:formatCode>
                <c:ptCount val="9"/>
                <c:pt idx="1">
                  <c:v>20020</c:v>
                </c:pt>
                <c:pt idx="2">
                  <c:v>23100</c:v>
                </c:pt>
                <c:pt idx="3">
                  <c:v>114750</c:v>
                </c:pt>
                <c:pt idx="4">
                  <c:v>44040</c:v>
                </c:pt>
                <c:pt idx="5">
                  <c:v>54740</c:v>
                </c:pt>
                <c:pt idx="6">
                  <c:v>32560</c:v>
                </c:pt>
                <c:pt idx="7">
                  <c:v>1110</c:v>
                </c:pt>
                <c:pt idx="8">
                  <c:v>14080</c:v>
                </c:pt>
              </c:numCache>
            </c:numRef>
          </c:val>
          <c:extLst>
            <c:ext xmlns:c16="http://schemas.microsoft.com/office/drawing/2014/chart" uri="{C3380CC4-5D6E-409C-BE32-E72D297353CC}">
              <c16:uniqueId val="{00000001-B76E-4B73-B899-54AEF2B18124}"/>
            </c:ext>
          </c:extLst>
        </c:ser>
        <c:dLbls>
          <c:showLegendKey val="0"/>
          <c:showVal val="0"/>
          <c:showCatName val="0"/>
          <c:showSerName val="0"/>
          <c:showPercent val="0"/>
          <c:showBubbleSize val="0"/>
        </c:dLbls>
        <c:gapWidth val="150"/>
        <c:axId val="1390228560"/>
        <c:axId val="398412656"/>
      </c:barChart>
      <c:lineChart>
        <c:grouping val="standard"/>
        <c:varyColors val="0"/>
        <c:ser>
          <c:idx val="2"/>
          <c:order val="2"/>
          <c:tx>
            <c:strRef>
              <c:f>Summary!$E$22:$E$23</c:f>
              <c:strCache>
                <c:ptCount val="1"/>
                <c:pt idx="0">
                  <c:v>Average of Unit Price (₹)</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Summary!$A$24:$B$42</c:f>
              <c:multiLvlStrCache>
                <c:ptCount val="9"/>
                <c:lvl>
                  <c:pt idx="0">
                    <c:v>Wireless Mouse</c:v>
                  </c:pt>
                  <c:pt idx="1">
                    <c:v>Bluetooth Speaker</c:v>
                  </c:pt>
                  <c:pt idx="2">
                    <c:v>LED Monitor 24"</c:v>
                  </c:pt>
                  <c:pt idx="3">
                    <c:v>Ergo Office Chair</c:v>
                  </c:pt>
                  <c:pt idx="4">
                    <c:v>Standing Desk</c:v>
                  </c:pt>
                  <c:pt idx="5">
                    <c:v>Bookshelf Unit</c:v>
                  </c:pt>
                  <c:pt idx="6">
                    <c:v>Filing Cabinet</c:v>
                  </c:pt>
                  <c:pt idx="7">
                    <c:v>Laptop Backpack</c:v>
                  </c:pt>
                  <c:pt idx="8">
                    <c:v>USB-C Hub</c:v>
                  </c:pt>
                </c:lvl>
                <c:lvl>
                  <c:pt idx="0">
                    <c:v>P01</c:v>
                  </c:pt>
                  <c:pt idx="1">
                    <c:v>P02</c:v>
                  </c:pt>
                  <c:pt idx="2">
                    <c:v>P03</c:v>
                  </c:pt>
                  <c:pt idx="3">
                    <c:v>P04</c:v>
                  </c:pt>
                  <c:pt idx="4">
                    <c:v>P05</c:v>
                  </c:pt>
                  <c:pt idx="5">
                    <c:v>P06</c:v>
                  </c:pt>
                  <c:pt idx="6">
                    <c:v>P07</c:v>
                  </c:pt>
                  <c:pt idx="7">
                    <c:v>P08</c:v>
                  </c:pt>
                  <c:pt idx="8">
                    <c:v>P09</c:v>
                  </c:pt>
                </c:lvl>
              </c:multiLvlStrCache>
            </c:multiLvlStrRef>
          </c:cat>
          <c:val>
            <c:numRef>
              <c:f>Summary!$E$24:$E$42</c:f>
              <c:numCache>
                <c:formatCode>General</c:formatCode>
                <c:ptCount val="9"/>
                <c:pt idx="0">
                  <c:v>780</c:v>
                </c:pt>
                <c:pt idx="1">
                  <c:v>1430</c:v>
                </c:pt>
                <c:pt idx="2">
                  <c:v>7700</c:v>
                </c:pt>
                <c:pt idx="3">
                  <c:v>6750</c:v>
                </c:pt>
                <c:pt idx="4">
                  <c:v>11010</c:v>
                </c:pt>
                <c:pt idx="5">
                  <c:v>3910</c:v>
                </c:pt>
                <c:pt idx="6">
                  <c:v>4070</c:v>
                </c:pt>
                <c:pt idx="7">
                  <c:v>1110</c:v>
                </c:pt>
                <c:pt idx="8">
                  <c:v>880</c:v>
                </c:pt>
              </c:numCache>
            </c:numRef>
          </c:val>
          <c:smooth val="0"/>
          <c:extLst>
            <c:ext xmlns:c16="http://schemas.microsoft.com/office/drawing/2014/chart" uri="{C3380CC4-5D6E-409C-BE32-E72D297353CC}">
              <c16:uniqueId val="{00000002-B76E-4B73-B899-54AEF2B18124}"/>
            </c:ext>
          </c:extLst>
        </c:ser>
        <c:dLbls>
          <c:showLegendKey val="0"/>
          <c:showVal val="0"/>
          <c:showCatName val="0"/>
          <c:showSerName val="0"/>
          <c:showPercent val="0"/>
          <c:showBubbleSize val="0"/>
        </c:dLbls>
        <c:marker val="1"/>
        <c:smooth val="0"/>
        <c:axId val="1390227632"/>
        <c:axId val="398425616"/>
      </c:lineChart>
      <c:catAx>
        <c:axId val="1390228560"/>
        <c:scaling>
          <c:orientation val="minMax"/>
        </c:scaling>
        <c:delete val="1"/>
        <c:axPos val="b"/>
        <c:numFmt formatCode="General" sourceLinked="1"/>
        <c:majorTickMark val="out"/>
        <c:minorTickMark val="none"/>
        <c:tickLblPos val="nextTo"/>
        <c:crossAx val="398412656"/>
        <c:crosses val="autoZero"/>
        <c:auto val="1"/>
        <c:lblAlgn val="ctr"/>
        <c:lblOffset val="100"/>
        <c:noMultiLvlLbl val="0"/>
      </c:catAx>
      <c:valAx>
        <c:axId val="398412656"/>
        <c:scaling>
          <c:orientation val="minMax"/>
        </c:scaling>
        <c:delete val="1"/>
        <c:axPos val="l"/>
        <c:numFmt formatCode="General" sourceLinked="1"/>
        <c:majorTickMark val="out"/>
        <c:minorTickMark val="none"/>
        <c:tickLblPos val="nextTo"/>
        <c:crossAx val="1390228560"/>
        <c:crosses val="autoZero"/>
        <c:crossBetween val="between"/>
      </c:valAx>
      <c:valAx>
        <c:axId val="398425616"/>
        <c:scaling>
          <c:orientation val="minMax"/>
        </c:scaling>
        <c:delete val="1"/>
        <c:axPos val="r"/>
        <c:numFmt formatCode="General" sourceLinked="1"/>
        <c:majorTickMark val="out"/>
        <c:minorTickMark val="none"/>
        <c:tickLblPos val="nextTo"/>
        <c:crossAx val="1390227632"/>
        <c:crosses val="max"/>
        <c:crossBetween val="between"/>
      </c:valAx>
      <c:catAx>
        <c:axId val="1390227632"/>
        <c:scaling>
          <c:orientation val="minMax"/>
        </c:scaling>
        <c:delete val="1"/>
        <c:axPos val="t"/>
        <c:numFmt formatCode="General" sourceLinked="1"/>
        <c:majorTickMark val="out"/>
        <c:minorTickMark val="none"/>
        <c:tickLblPos val="nextTo"/>
        <c:crossAx val="398425616"/>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692150</xdr:colOff>
      <xdr:row>0</xdr:row>
      <xdr:rowOff>76200</xdr:rowOff>
    </xdr:from>
    <xdr:to>
      <xdr:col>4</xdr:col>
      <xdr:colOff>1422400</xdr:colOff>
      <xdr:row>10</xdr:row>
      <xdr:rowOff>101600</xdr:rowOff>
    </xdr:to>
    <xdr:graphicFrame macro="">
      <xdr:nvGraphicFramePr>
        <xdr:cNvPr id="2" name="Chart 1">
          <a:extLst>
            <a:ext uri="{FF2B5EF4-FFF2-40B4-BE49-F238E27FC236}">
              <a16:creationId xmlns:a16="http://schemas.microsoft.com/office/drawing/2014/main" id="{8C9810FE-0DDB-BE46-FAB3-F2F892721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463550</xdr:colOff>
      <xdr:row>9</xdr:row>
      <xdr:rowOff>146050</xdr:rowOff>
    </xdr:from>
    <xdr:to>
      <xdr:col>12</xdr:col>
      <xdr:colOff>88900</xdr:colOff>
      <xdr:row>21</xdr:row>
      <xdr:rowOff>0</xdr:rowOff>
    </xdr:to>
    <xdr:graphicFrame macro="">
      <xdr:nvGraphicFramePr>
        <xdr:cNvPr id="3" name="Chart 2">
          <a:extLst>
            <a:ext uri="{FF2B5EF4-FFF2-40B4-BE49-F238E27FC236}">
              <a16:creationId xmlns:a16="http://schemas.microsoft.com/office/drawing/2014/main" id="{A860ECA0-E2D8-1AB3-7675-9913C6E55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336550</xdr:colOff>
      <xdr:row>22</xdr:row>
      <xdr:rowOff>69850</xdr:rowOff>
    </xdr:from>
    <xdr:to>
      <xdr:col>13</xdr:col>
      <xdr:colOff>31750</xdr:colOff>
      <xdr:row>37</xdr:row>
      <xdr:rowOff>50800</xdr:rowOff>
    </xdr:to>
    <xdr:graphicFrame macro="">
      <xdr:nvGraphicFramePr>
        <xdr:cNvPr id="4" name="Chart 3">
          <a:extLst>
            <a:ext uri="{FF2B5EF4-FFF2-40B4-BE49-F238E27FC236}">
              <a16:creationId xmlns:a16="http://schemas.microsoft.com/office/drawing/2014/main" id="{143DB6D0-0E62-18B9-126C-CC5DC40CF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69850</xdr:colOff>
      <xdr:row>0</xdr:row>
      <xdr:rowOff>25400</xdr:rowOff>
    </xdr:from>
    <xdr:to>
      <xdr:col>15</xdr:col>
      <xdr:colOff>146050</xdr:colOff>
      <xdr:row>3</xdr:row>
      <xdr:rowOff>0</xdr:rowOff>
    </xdr:to>
    <xdr:sp macro="" textlink="">
      <xdr:nvSpPr>
        <xdr:cNvPr id="2" name="Rectangle 1">
          <a:extLst>
            <a:ext uri="{FF2B5EF4-FFF2-40B4-BE49-F238E27FC236}">
              <a16:creationId xmlns:a16="http://schemas.microsoft.com/office/drawing/2014/main" id="{D613CF1B-E7E4-899C-4722-939FEE90EDC8}"/>
            </a:ext>
          </a:extLst>
        </xdr:cNvPr>
        <xdr:cNvSpPr/>
      </xdr:nvSpPr>
      <xdr:spPr>
        <a:xfrm>
          <a:off x="69850" y="25400"/>
          <a:ext cx="9220200" cy="527050"/>
        </a:xfrm>
        <a:prstGeom prst="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bg1"/>
              </a:solidFill>
            </a:rPr>
            <a:t>Sales and Revenue Performance </a:t>
          </a:r>
        </a:p>
        <a:p>
          <a:pPr algn="ctr"/>
          <a:endParaRPr lang="en-IN" sz="2000">
            <a:solidFill>
              <a:schemeClr val="bg1"/>
            </a:solidFill>
          </a:endParaRPr>
        </a:p>
      </xdr:txBody>
    </xdr:sp>
    <xdr:clientData/>
  </xdr:twoCellAnchor>
  <xdr:twoCellAnchor>
    <xdr:from>
      <xdr:col>0</xdr:col>
      <xdr:colOff>69850</xdr:colOff>
      <xdr:row>3</xdr:row>
      <xdr:rowOff>88900</xdr:rowOff>
    </xdr:from>
    <xdr:to>
      <xdr:col>2</xdr:col>
      <xdr:colOff>406400</xdr:colOff>
      <xdr:row>5</xdr:row>
      <xdr:rowOff>158750</xdr:rowOff>
    </xdr:to>
    <xdr:sp macro="" textlink="">
      <xdr:nvSpPr>
        <xdr:cNvPr id="3" name="Rectangle 2">
          <a:extLst>
            <a:ext uri="{FF2B5EF4-FFF2-40B4-BE49-F238E27FC236}">
              <a16:creationId xmlns:a16="http://schemas.microsoft.com/office/drawing/2014/main" id="{531BCD3D-CC45-0E4C-65F8-1BBE84A7EB0D}"/>
            </a:ext>
          </a:extLst>
        </xdr:cNvPr>
        <xdr:cNvSpPr/>
      </xdr:nvSpPr>
      <xdr:spPr>
        <a:xfrm>
          <a:off x="69850" y="641350"/>
          <a:ext cx="1555750" cy="438150"/>
        </a:xfrm>
        <a:prstGeom prst="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Revenue($)</a:t>
          </a:r>
        </a:p>
        <a:p>
          <a:pPr algn="ctr"/>
          <a:r>
            <a:rPr lang="en-IN" sz="1100"/>
            <a:t>12810120</a:t>
          </a:r>
        </a:p>
      </xdr:txBody>
    </xdr:sp>
    <xdr:clientData/>
  </xdr:twoCellAnchor>
  <xdr:twoCellAnchor>
    <xdr:from>
      <xdr:col>4</xdr:col>
      <xdr:colOff>241300</xdr:colOff>
      <xdr:row>3</xdr:row>
      <xdr:rowOff>88900</xdr:rowOff>
    </xdr:from>
    <xdr:to>
      <xdr:col>6</xdr:col>
      <xdr:colOff>577850</xdr:colOff>
      <xdr:row>5</xdr:row>
      <xdr:rowOff>158750</xdr:rowOff>
    </xdr:to>
    <xdr:sp macro="" textlink="">
      <xdr:nvSpPr>
        <xdr:cNvPr id="4" name="Rectangle 3">
          <a:extLst>
            <a:ext uri="{FF2B5EF4-FFF2-40B4-BE49-F238E27FC236}">
              <a16:creationId xmlns:a16="http://schemas.microsoft.com/office/drawing/2014/main" id="{088F07CB-9378-4B41-8B4E-83A05986FA41}"/>
            </a:ext>
          </a:extLst>
        </xdr:cNvPr>
        <xdr:cNvSpPr/>
      </xdr:nvSpPr>
      <xdr:spPr>
        <a:xfrm>
          <a:off x="2679700" y="641350"/>
          <a:ext cx="1555750" cy="438150"/>
        </a:xfrm>
        <a:prstGeom prst="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Units Sold</a:t>
          </a:r>
        </a:p>
        <a:p>
          <a:pPr algn="ctr"/>
          <a:r>
            <a:rPr lang="en-IN" sz="1100"/>
            <a:t>2908</a:t>
          </a:r>
        </a:p>
      </xdr:txBody>
    </xdr:sp>
    <xdr:clientData/>
  </xdr:twoCellAnchor>
  <xdr:twoCellAnchor>
    <xdr:from>
      <xdr:col>8</xdr:col>
      <xdr:colOff>412750</xdr:colOff>
      <xdr:row>3</xdr:row>
      <xdr:rowOff>88900</xdr:rowOff>
    </xdr:from>
    <xdr:to>
      <xdr:col>11</xdr:col>
      <xdr:colOff>139700</xdr:colOff>
      <xdr:row>5</xdr:row>
      <xdr:rowOff>158750</xdr:rowOff>
    </xdr:to>
    <xdr:sp macro="" textlink="">
      <xdr:nvSpPr>
        <xdr:cNvPr id="5" name="Rectangle 4">
          <a:extLst>
            <a:ext uri="{FF2B5EF4-FFF2-40B4-BE49-F238E27FC236}">
              <a16:creationId xmlns:a16="http://schemas.microsoft.com/office/drawing/2014/main" id="{106D7272-58A4-4BC9-8130-73F72E31008E}"/>
            </a:ext>
          </a:extLst>
        </xdr:cNvPr>
        <xdr:cNvSpPr/>
      </xdr:nvSpPr>
      <xdr:spPr>
        <a:xfrm>
          <a:off x="5289550" y="641350"/>
          <a:ext cx="1555750" cy="438150"/>
        </a:xfrm>
        <a:prstGeom prst="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Orders</a:t>
          </a:r>
        </a:p>
        <a:p>
          <a:pPr algn="ctr"/>
          <a:r>
            <a:rPr lang="en-IN" sz="1100"/>
            <a:t>1017653</a:t>
          </a:r>
        </a:p>
      </xdr:txBody>
    </xdr:sp>
    <xdr:clientData/>
  </xdr:twoCellAnchor>
  <xdr:twoCellAnchor>
    <xdr:from>
      <xdr:col>12</xdr:col>
      <xdr:colOff>419100</xdr:colOff>
      <xdr:row>3</xdr:row>
      <xdr:rowOff>82550</xdr:rowOff>
    </xdr:from>
    <xdr:to>
      <xdr:col>15</xdr:col>
      <xdr:colOff>146050</xdr:colOff>
      <xdr:row>5</xdr:row>
      <xdr:rowOff>152400</xdr:rowOff>
    </xdr:to>
    <xdr:sp macro="" textlink="">
      <xdr:nvSpPr>
        <xdr:cNvPr id="6" name="Rectangle 5">
          <a:extLst>
            <a:ext uri="{FF2B5EF4-FFF2-40B4-BE49-F238E27FC236}">
              <a16:creationId xmlns:a16="http://schemas.microsoft.com/office/drawing/2014/main" id="{A34B22EC-CD02-461F-A700-4C21EA982C5E}"/>
            </a:ext>
          </a:extLst>
        </xdr:cNvPr>
        <xdr:cNvSpPr/>
      </xdr:nvSpPr>
      <xdr:spPr>
        <a:xfrm>
          <a:off x="7734300" y="635000"/>
          <a:ext cx="1555750" cy="438150"/>
        </a:xfrm>
        <a:prstGeom prst="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Average Order</a:t>
          </a:r>
          <a:r>
            <a:rPr lang="en-IN" sz="1100" baseline="0"/>
            <a:t> value</a:t>
          </a:r>
        </a:p>
        <a:p>
          <a:pPr algn="ctr"/>
          <a:r>
            <a:rPr lang="en-IN" sz="1100" baseline="0"/>
            <a:t>12.59</a:t>
          </a:r>
          <a:endParaRPr lang="en-IN" sz="1100"/>
        </a:p>
      </xdr:txBody>
    </xdr:sp>
    <xdr:clientData/>
  </xdr:twoCellAnchor>
  <xdr:twoCellAnchor>
    <xdr:from>
      <xdr:col>0</xdr:col>
      <xdr:colOff>63500</xdr:colOff>
      <xdr:row>10</xdr:row>
      <xdr:rowOff>19050</xdr:rowOff>
    </xdr:from>
    <xdr:to>
      <xdr:col>6</xdr:col>
      <xdr:colOff>571500</xdr:colOff>
      <xdr:row>22</xdr:row>
      <xdr:rowOff>133350</xdr:rowOff>
    </xdr:to>
    <xdr:graphicFrame macro="">
      <xdr:nvGraphicFramePr>
        <xdr:cNvPr id="7" name="Chart 6">
          <a:extLst>
            <a:ext uri="{FF2B5EF4-FFF2-40B4-BE49-F238E27FC236}">
              <a16:creationId xmlns:a16="http://schemas.microsoft.com/office/drawing/2014/main" id="{6C228B79-0CFF-45A5-BFCD-CC1F94E36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10</xdr:row>
      <xdr:rowOff>0</xdr:rowOff>
    </xdr:from>
    <xdr:to>
      <xdr:col>15</xdr:col>
      <xdr:colOff>133350</xdr:colOff>
      <xdr:row>22</xdr:row>
      <xdr:rowOff>114300</xdr:rowOff>
    </xdr:to>
    <xdr:graphicFrame macro="">
      <xdr:nvGraphicFramePr>
        <xdr:cNvPr id="8" name="Chart 7">
          <a:extLst>
            <a:ext uri="{FF2B5EF4-FFF2-40B4-BE49-F238E27FC236}">
              <a16:creationId xmlns:a16="http://schemas.microsoft.com/office/drawing/2014/main" id="{03001E3E-62BA-4E93-AC4D-44AF7CF65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69850</xdr:colOff>
      <xdr:row>23</xdr:row>
      <xdr:rowOff>12700</xdr:rowOff>
    </xdr:from>
    <xdr:to>
      <xdr:col>7</xdr:col>
      <xdr:colOff>374650</xdr:colOff>
      <xdr:row>37</xdr:row>
      <xdr:rowOff>177800</xdr:rowOff>
    </xdr:to>
    <xdr:graphicFrame macro="">
      <xdr:nvGraphicFramePr>
        <xdr:cNvPr id="9" name="Chart 8">
          <a:extLst>
            <a:ext uri="{FF2B5EF4-FFF2-40B4-BE49-F238E27FC236}">
              <a16:creationId xmlns:a16="http://schemas.microsoft.com/office/drawing/2014/main" id="{0B611FFE-7EF2-4C04-8E69-C061926C8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69850</xdr:colOff>
      <xdr:row>6</xdr:row>
      <xdr:rowOff>31750</xdr:rowOff>
    </xdr:from>
    <xdr:to>
      <xdr:col>15</xdr:col>
      <xdr:colOff>152400</xdr:colOff>
      <xdr:row>9</xdr:row>
      <xdr:rowOff>114300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E86FE219-0629-4258-B646-31F8C283D5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850" y="1136650"/>
              <a:ext cx="10223500" cy="63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ushik Bhakat" refreshedDate="46286.546455787036" createdVersion="8" refreshedVersion="8" minRefreshableVersion="3" recordCount="742" xr:uid="{8E5BFAD7-AC99-466D-819C-A546534F1DEE}">
  <cacheSource type="worksheet">
    <worksheetSource name="Sales"/>
  </cacheSource>
  <cacheFields count="13">
    <cacheField name="Order ID" numFmtId="0">
      <sharedItems containsSemiMixedTypes="0" containsString="0" containsNumber="1" containsInteger="1" minValue="1001" maxValue="1742"/>
    </cacheField>
    <cacheField name="Order Date" numFmtId="164">
      <sharedItems containsSemiMixedTypes="0" containsNonDate="0" containsDate="1" containsString="0" minDate="2023-01-02T00:00:00" maxDate="2025-01-01T00:00:00" count="462">
        <d v="2023-01-02T00:00:00"/>
        <d v="2023-01-04T00:00:00"/>
        <d v="2023-01-08T00:00:00"/>
        <d v="2023-01-09T00:00:00"/>
        <d v="2023-01-10T00:00:00"/>
        <d v="2023-01-12T00:00:00"/>
        <d v="2023-01-13T00:00:00"/>
        <d v="2023-01-16T00:00:00"/>
        <d v="2023-01-18T00:00:00"/>
        <d v="2023-01-22T00:00:00"/>
        <d v="2023-01-24T00:00:00"/>
        <d v="2023-01-25T00:00:00"/>
        <d v="2023-01-27T00:00:00"/>
        <d v="2023-01-28T00:00:00"/>
        <d v="2023-01-29T00:00:00"/>
        <d v="2023-01-30T00:00:00"/>
        <d v="2023-02-01T00:00:00"/>
        <d v="2023-02-02T00:00:00"/>
        <d v="2023-02-03T00:00:00"/>
        <d v="2023-02-04T00:00:00"/>
        <d v="2023-02-08T00:00:00"/>
        <d v="2023-02-14T00:00:00"/>
        <d v="2023-02-15T00:00:00"/>
        <d v="2023-02-16T00:00:00"/>
        <d v="2023-02-17T00:00:00"/>
        <d v="2023-02-18T00:00:00"/>
        <d v="2023-02-21T00:00:00"/>
        <d v="2023-02-22T00:00:00"/>
        <d v="2023-02-24T00:00:00"/>
        <d v="2023-02-25T00:00:00"/>
        <d v="2023-02-28T00:00:00"/>
        <d v="2023-03-02T00:00:00"/>
        <d v="2023-03-03T00:00:00"/>
        <d v="2023-03-04T00:00:00"/>
        <d v="2023-03-05T00:00:00"/>
        <d v="2023-03-06T00:00:00"/>
        <d v="2023-03-07T00:00:00"/>
        <d v="2023-03-09T00:00:00"/>
        <d v="2023-03-10T00:00:00"/>
        <d v="2023-03-13T00:00:00"/>
        <d v="2023-03-14T00:00:00"/>
        <d v="2023-03-15T00:00:00"/>
        <d v="2023-03-18T00:00:00"/>
        <d v="2023-03-21T00:00:00"/>
        <d v="2023-03-23T00:00:00"/>
        <d v="2023-03-24T00:00:00"/>
        <d v="2023-03-26T00:00:00"/>
        <d v="2023-03-28T00:00:00"/>
        <d v="2023-03-30T00:00:00"/>
        <d v="2023-03-31T00:00:00"/>
        <d v="2023-04-01T00:00:00"/>
        <d v="2023-04-05T00:00:00"/>
        <d v="2023-04-07T00:00:00"/>
        <d v="2023-04-09T00:00:00"/>
        <d v="2023-04-10T00:00:00"/>
        <d v="2023-04-11T00:00:00"/>
        <d v="2023-04-12T00:00:00"/>
        <d v="2023-04-14T00:00:00"/>
        <d v="2023-04-18T00:00:00"/>
        <d v="2023-04-20T00:00:00"/>
        <d v="2023-04-21T00:00:00"/>
        <d v="2023-04-22T00:00:00"/>
        <d v="2023-04-23T00:00:00"/>
        <d v="2023-04-24T00:00:00"/>
        <d v="2023-04-25T00:00:00"/>
        <d v="2023-04-26T00:00:00"/>
        <d v="2023-04-27T00:00:00"/>
        <d v="2023-04-28T00:00:00"/>
        <d v="2023-04-29T00:00:00"/>
        <d v="2023-04-30T00:00:00"/>
        <d v="2023-05-01T00:00:00"/>
        <d v="2023-05-03T00:00:00"/>
        <d v="2023-05-06T00:00:00"/>
        <d v="2023-05-07T00:00:00"/>
        <d v="2023-05-08T00:00:00"/>
        <d v="2023-05-09T00:00:00"/>
        <d v="2023-05-10T00:00:00"/>
        <d v="2023-05-14T00:00:00"/>
        <d v="2023-05-15T00:00:00"/>
        <d v="2023-05-18T00:00:00"/>
        <d v="2023-05-20T00:00:00"/>
        <d v="2023-05-21T00:00:00"/>
        <d v="2023-05-22T00:00:00"/>
        <d v="2023-05-23T00:00:00"/>
        <d v="2023-05-24T00:00:00"/>
        <d v="2023-05-28T00:00:00"/>
        <d v="2023-05-31T00:00:00"/>
        <d v="2023-06-01T00:00:00"/>
        <d v="2023-06-02T00:00:00"/>
        <d v="2023-06-03T00:00:00"/>
        <d v="2023-06-05T00:00:00"/>
        <d v="2023-06-08T00:00:00"/>
        <d v="2023-06-09T00:00:00"/>
        <d v="2023-06-11T00:00:00"/>
        <d v="2023-06-13T00:00:00"/>
        <d v="2023-06-14T00:00:00"/>
        <d v="2023-06-15T00:00:00"/>
        <d v="2023-06-16T00:00:00"/>
        <d v="2023-06-17T00:00:00"/>
        <d v="2023-06-20T00:00:00"/>
        <d v="2023-06-22T00:00:00"/>
        <d v="2023-06-23T00:00:00"/>
        <d v="2023-06-26T00:00:00"/>
        <d v="2023-06-27T00:00:00"/>
        <d v="2023-06-28T00:00:00"/>
        <d v="2023-06-29T00:00:00"/>
        <d v="2023-07-02T00:00:00"/>
        <d v="2023-07-03T00:00:00"/>
        <d v="2023-07-04T00:00:00"/>
        <d v="2023-07-07T00:00:00"/>
        <d v="2023-07-08T00:00:00"/>
        <d v="2023-07-09T00:00:00"/>
        <d v="2023-07-13T00:00:00"/>
        <d v="2023-07-14T00:00:00"/>
        <d v="2023-07-16T00:00:00"/>
        <d v="2023-07-17T00:00:00"/>
        <d v="2023-07-18T00:00:00"/>
        <d v="2023-07-19T00:00:00"/>
        <d v="2023-07-20T00:00:00"/>
        <d v="2023-07-21T00:00:00"/>
        <d v="2023-07-22T00:00:00"/>
        <d v="2023-07-23T00:00:00"/>
        <d v="2023-07-24T00:00:00"/>
        <d v="2023-07-25T00:00:00"/>
        <d v="2023-07-27T00:00:00"/>
        <d v="2023-07-28T00:00:00"/>
        <d v="2023-07-31T00:00:00"/>
        <d v="2023-08-03T00:00:00"/>
        <d v="2023-08-04T00:00:00"/>
        <d v="2023-08-07T00:00:00"/>
        <d v="2023-08-09T00:00:00"/>
        <d v="2023-08-10T00:00:00"/>
        <d v="2023-08-11T00:00:00"/>
        <d v="2023-08-13T00:00:00"/>
        <d v="2023-08-16T00:00:00"/>
        <d v="2023-08-17T00:00:00"/>
        <d v="2023-08-19T00:00:00"/>
        <d v="2023-08-20T00:00:00"/>
        <d v="2023-08-23T00:00:00"/>
        <d v="2023-08-24T00:00:00"/>
        <d v="2023-08-25T00:00:00"/>
        <d v="2023-08-26T00:00:00"/>
        <d v="2023-08-28T00:00:00"/>
        <d v="2023-08-31T00:00:00"/>
        <d v="2023-09-02T00:00:00"/>
        <d v="2023-09-03T00:00:00"/>
        <d v="2023-09-04T00:00:00"/>
        <d v="2023-09-06T00:00:00"/>
        <d v="2023-09-07T00:00:00"/>
        <d v="2023-09-08T00:00:00"/>
        <d v="2023-09-09T00:00:00"/>
        <d v="2023-09-11T00:00:00"/>
        <d v="2023-09-13T00:00:00"/>
        <d v="2023-09-14T00:00:00"/>
        <d v="2023-09-16T00:00:00"/>
        <d v="2023-09-18T00:00:00"/>
        <d v="2023-09-19T00:00:00"/>
        <d v="2023-09-20T00:00:00"/>
        <d v="2023-09-21T00:00:00"/>
        <d v="2023-09-23T00:00:00"/>
        <d v="2023-09-25T00:00:00"/>
        <d v="2023-09-27T00:00:00"/>
        <d v="2023-10-01T00:00:00"/>
        <d v="2023-10-03T00:00:00"/>
        <d v="2023-10-04T00:00:00"/>
        <d v="2023-10-05T00:00:00"/>
        <d v="2023-10-06T00:00:00"/>
        <d v="2023-10-07T00:00:00"/>
        <d v="2023-10-09T00:00:00"/>
        <d v="2023-10-10T00:00:00"/>
        <d v="2023-10-11T00:00:00"/>
        <d v="2023-10-12T00:00:00"/>
        <d v="2023-10-13T00:00:00"/>
        <d v="2023-10-14T00:00:00"/>
        <d v="2023-10-15T00:00:00"/>
        <d v="2023-10-17T00:00:00"/>
        <d v="2023-10-18T00:00:00"/>
        <d v="2023-10-20T00:00:00"/>
        <d v="2023-10-22T00:00:00"/>
        <d v="2023-10-23T00:00:00"/>
        <d v="2023-10-25T00:00:00"/>
        <d v="2023-10-26T00:00:00"/>
        <d v="2023-10-27T00:00:00"/>
        <d v="2023-10-28T00:00:00"/>
        <d v="2023-10-30T00:00:00"/>
        <d v="2023-10-31T00:00:00"/>
        <d v="2023-11-01T00:00:00"/>
        <d v="2023-11-02T00:00:00"/>
        <d v="2023-11-03T00:00:00"/>
        <d v="2023-11-04T00:00:00"/>
        <d v="2023-11-05T00:00:00"/>
        <d v="2023-11-06T00:00:00"/>
        <d v="2023-11-07T00:00:00"/>
        <d v="2023-11-09T00:00:00"/>
        <d v="2023-11-12T00:00:00"/>
        <d v="2023-11-13T00:00:00"/>
        <d v="2023-11-14T00:00:00"/>
        <d v="2023-11-15T00:00:00"/>
        <d v="2023-11-19T00:00:00"/>
        <d v="2023-11-21T00:00:00"/>
        <d v="2023-11-22T00:00:00"/>
        <d v="2023-11-24T00:00:00"/>
        <d v="2023-11-25T00:00:00"/>
        <d v="2023-11-26T00:00:00"/>
        <d v="2023-11-28T00:00:00"/>
        <d v="2023-11-29T00:00:00"/>
        <d v="2023-11-30T00:00:00"/>
        <d v="2023-12-04T00:00:00"/>
        <d v="2023-12-05T00:00:00"/>
        <d v="2023-12-06T00:00:00"/>
        <d v="2023-12-08T00:00:00"/>
        <d v="2023-12-09T00:00:00"/>
        <d v="2023-12-11T00:00:00"/>
        <d v="2023-12-12T00:00:00"/>
        <d v="2023-12-15T00:00:00"/>
        <d v="2023-12-17T00:00:00"/>
        <d v="2023-12-20T00:00:00"/>
        <d v="2023-12-22T00:00:00"/>
        <d v="2023-12-24T00:00:00"/>
        <d v="2023-12-25T00:00:00"/>
        <d v="2023-12-27T00:00:00"/>
        <d v="2023-12-28T00:00:00"/>
        <d v="2023-12-29T00:00:00"/>
        <d v="2023-12-31T00:00:00"/>
        <d v="2024-01-02T00:00:00"/>
        <d v="2024-01-03T00:00:00"/>
        <d v="2024-01-05T00:00:00"/>
        <d v="2024-01-06T00:00:00"/>
        <d v="2024-01-07T00:00:00"/>
        <d v="2024-01-09T00:00:00"/>
        <d v="2024-01-10T00:00:00"/>
        <d v="2024-01-11T00:00:00"/>
        <d v="2024-01-12T00:00:00"/>
        <d v="2024-01-14T00:00:00"/>
        <d v="2024-01-16T00:00:00"/>
        <d v="2024-01-19T00:00:00"/>
        <d v="2024-01-20T00:00:00"/>
        <d v="2024-01-22T00:00:00"/>
        <d v="2024-01-24T00:00:00"/>
        <d v="2024-01-25T00:00:00"/>
        <d v="2024-01-28T00:00:00"/>
        <d v="2024-02-02T00:00:00"/>
        <d v="2024-02-03T00:00:00"/>
        <d v="2024-02-04T00:00:00"/>
        <d v="2024-02-05T00:00:00"/>
        <d v="2024-02-06T00:00:00"/>
        <d v="2024-02-07T00:00:00"/>
        <d v="2024-02-11T00:00:00"/>
        <d v="2024-02-13T00:00:00"/>
        <d v="2024-02-14T00:00:00"/>
        <d v="2024-02-15T00:00:00"/>
        <d v="2024-02-16T00:00:00"/>
        <d v="2024-02-19T00:00:00"/>
        <d v="2024-02-20T00:00:00"/>
        <d v="2024-02-21T00:00:00"/>
        <d v="2024-02-23T00:00:00"/>
        <d v="2024-02-24T00:00:00"/>
        <d v="2024-02-25T00:00:00"/>
        <d v="2024-02-27T00:00:00"/>
        <d v="2024-02-28T00:00:00"/>
        <d v="2024-03-03T00:00:00"/>
        <d v="2024-03-04T00:00:00"/>
        <d v="2024-03-05T00:00:00"/>
        <d v="2024-03-06T00:00:00"/>
        <d v="2024-03-07T00:00:00"/>
        <d v="2024-03-12T00:00:00"/>
        <d v="2024-03-13T00:00:00"/>
        <d v="2024-03-14T00:00:00"/>
        <d v="2024-03-16T00:00:00"/>
        <d v="2024-03-18T00:00:00"/>
        <d v="2024-03-19T00:00:00"/>
        <d v="2024-03-20T00:00:00"/>
        <d v="2024-03-21T00:00:00"/>
        <d v="2024-03-23T00:00:00"/>
        <d v="2024-03-24T00:00:00"/>
        <d v="2024-03-25T00:00:00"/>
        <d v="2024-03-29T00:00:00"/>
        <d v="2024-03-30T00:00:00"/>
        <d v="2024-03-31T00:00:00"/>
        <d v="2024-04-02T00:00:00"/>
        <d v="2024-04-03T00:00:00"/>
        <d v="2024-04-04T00:00:00"/>
        <d v="2024-04-05T00:00:00"/>
        <d v="2024-04-06T00:00:00"/>
        <d v="2024-04-07T00:00:00"/>
        <d v="2024-04-08T00:00:00"/>
        <d v="2024-04-09T00:00:00"/>
        <d v="2024-04-10T00:00:00"/>
        <d v="2024-04-11T00:00:00"/>
        <d v="2024-04-12T00:00:00"/>
        <d v="2024-04-14T00:00:00"/>
        <d v="2024-04-15T00:00:00"/>
        <d v="2024-04-19T00:00:00"/>
        <d v="2024-04-20T00:00:00"/>
        <d v="2024-04-21T00:00:00"/>
        <d v="2024-04-22T00:00:00"/>
        <d v="2024-04-23T00:00:00"/>
        <d v="2024-04-24T00:00:00"/>
        <d v="2024-04-25T00:00:00"/>
        <d v="2024-04-27T00:00:00"/>
        <d v="2024-04-28T00:00:00"/>
        <d v="2024-04-30T00:00:00"/>
        <d v="2024-05-03T00:00:00"/>
        <d v="2024-05-05T00:00:00"/>
        <d v="2024-05-08T00:00:00"/>
        <d v="2024-05-09T00:00:00"/>
        <d v="2024-05-10T00:00:00"/>
        <d v="2024-05-11T00:00:00"/>
        <d v="2024-05-12T00:00:00"/>
        <d v="2024-05-13T00:00:00"/>
        <d v="2024-05-14T00:00:00"/>
        <d v="2024-05-15T00:00:00"/>
        <d v="2024-05-18T00:00:00"/>
        <d v="2024-05-22T00:00:00"/>
        <d v="2024-05-23T00:00:00"/>
        <d v="2024-05-24T00:00:00"/>
        <d v="2024-05-25T00:00:00"/>
        <d v="2024-05-26T00:00:00"/>
        <d v="2024-05-28T00:00:00"/>
        <d v="2024-05-29T00:00:00"/>
        <d v="2024-05-31T00:00:00"/>
        <d v="2024-06-01T00:00:00"/>
        <d v="2024-06-03T00:00:00"/>
        <d v="2024-06-04T00:00:00"/>
        <d v="2024-06-05T00:00:00"/>
        <d v="2024-06-06T00:00:00"/>
        <d v="2024-06-07T00:00:00"/>
        <d v="2024-06-08T00:00:00"/>
        <d v="2024-06-10T00:00:00"/>
        <d v="2024-06-11T00:00:00"/>
        <d v="2024-06-12T00:00:00"/>
        <d v="2024-06-13T00:00:00"/>
        <d v="2024-06-14T00:00:00"/>
        <d v="2024-06-15T00:00:00"/>
        <d v="2024-06-16T00:00:00"/>
        <d v="2024-06-17T00:00:00"/>
        <d v="2024-06-20T00:00:00"/>
        <d v="2024-06-21T00:00:00"/>
        <d v="2024-06-24T00:00:00"/>
        <d v="2024-06-25T00:00:00"/>
        <d v="2024-06-27T00:00:00"/>
        <d v="2024-06-29T00:00:00"/>
        <d v="2024-07-01T00:00:00"/>
        <d v="2024-07-02T00:00:00"/>
        <d v="2024-07-04T00:00:00"/>
        <d v="2024-07-05T00:00:00"/>
        <d v="2024-07-08T00:00:00"/>
        <d v="2024-07-10T00:00:00"/>
        <d v="2024-07-11T00:00:00"/>
        <d v="2024-07-15T00:00:00"/>
        <d v="2024-07-16T00:00:00"/>
        <d v="2024-07-17T00:00:00"/>
        <d v="2024-07-18T00:00:00"/>
        <d v="2024-07-20T00:00:00"/>
        <d v="2024-07-22T00:00:00"/>
        <d v="2024-07-24T00:00:00"/>
        <d v="2024-07-26T00:00:00"/>
        <d v="2024-07-27T00:00:00"/>
        <d v="2024-07-31T00:00:00"/>
        <d v="2024-08-02T00:00:00"/>
        <d v="2024-08-04T00:00:00"/>
        <d v="2024-08-05T00:00:00"/>
        <d v="2024-08-06T00:00:00"/>
        <d v="2024-08-07T00:00:00"/>
        <d v="2024-08-09T00:00:00"/>
        <d v="2024-08-10T00:00:00"/>
        <d v="2024-08-11T00:00:00"/>
        <d v="2024-08-15T00:00:00"/>
        <d v="2024-08-16T00:00:00"/>
        <d v="2024-08-18T00:00:00"/>
        <d v="2024-08-19T00:00:00"/>
        <d v="2024-08-21T00:00:00"/>
        <d v="2024-08-25T00:00:00"/>
        <d v="2024-08-26T00:00:00"/>
        <d v="2024-08-30T00:00:00"/>
        <d v="2024-08-31T00:00:00"/>
        <d v="2024-09-02T00:00:00"/>
        <d v="2024-09-04T00:00:00"/>
        <d v="2024-09-06T00:00:00"/>
        <d v="2024-09-07T00:00:00"/>
        <d v="2024-09-10T00:00:00"/>
        <d v="2024-09-11T00:00:00"/>
        <d v="2024-09-12T00:00:00"/>
        <d v="2024-09-13T00:00:00"/>
        <d v="2024-09-15T00:00:00"/>
        <d v="2024-09-16T00:00:00"/>
        <d v="2024-09-17T00:00:00"/>
        <d v="2024-09-19T00:00:00"/>
        <d v="2024-09-20T00:00:00"/>
        <d v="2024-09-21T00:00:00"/>
        <d v="2024-09-22T00:00:00"/>
        <d v="2024-09-23T00:00:00"/>
        <d v="2024-09-25T00:00:00"/>
        <d v="2024-09-28T00:00:00"/>
        <d v="2024-09-30T00:00:00"/>
        <d v="2024-10-03T00:00:00"/>
        <d v="2024-10-07T00:00:00"/>
        <d v="2024-10-09T00:00:00"/>
        <d v="2024-10-10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8T00:00:00"/>
        <d v="2024-11-09T00:00:00"/>
        <d v="2024-11-10T00:00:00"/>
        <d v="2024-11-12T00:00:00"/>
        <d v="2024-11-13T00:00:00"/>
        <d v="2024-11-14T00:00:00"/>
        <d v="2024-11-16T00:00:00"/>
        <d v="2024-11-17T00:00:00"/>
        <d v="2024-11-19T00:00:00"/>
        <d v="2024-11-20T00:00:00"/>
        <d v="2024-11-21T00:00:00"/>
        <d v="2024-11-22T00:00:00"/>
        <d v="2024-11-23T00:00:00"/>
        <d v="2024-11-24T00:00:00"/>
        <d v="2024-11-25T00:00:00"/>
        <d v="2024-11-26T00:00:00"/>
        <d v="2024-11-27T00:00:00"/>
        <d v="2024-11-29T00:00:00"/>
        <d v="2024-11-30T00:00:00"/>
        <d v="2024-12-04T00:00:00"/>
        <d v="2024-12-05T00:00:00"/>
        <d v="2024-12-06T00:00:00"/>
        <d v="2024-12-10T00:00:00"/>
        <d v="2024-12-11T00:00:00"/>
        <d v="2024-12-12T00:00:00"/>
        <d v="2024-12-13T00:00:00"/>
        <d v="2024-12-14T00:00:00"/>
        <d v="2024-12-15T00:00:00"/>
        <d v="2024-12-16T00:00:00"/>
        <d v="2024-12-17T00:00:00"/>
        <d v="2024-12-20T00:00:00"/>
        <d v="2024-12-21T00:00:00"/>
        <d v="2024-12-22T00:00:00"/>
        <d v="2024-12-24T00:00:00"/>
        <d v="2024-12-26T00:00:00"/>
        <d v="2024-12-27T00:00:00"/>
        <d v="2024-12-28T00:00:00"/>
        <d v="2024-12-31T00:00:00"/>
      </sharedItems>
      <fieldGroup par="12"/>
    </cacheField>
    <cacheField name="Product ID" numFmtId="0">
      <sharedItems count="9">
        <s v="P04"/>
        <s v="P09"/>
        <s v="P07"/>
        <s v="P02"/>
        <s v="P06"/>
        <s v="P08"/>
        <s v="P03"/>
        <s v="P05"/>
        <s v="P01"/>
      </sharedItems>
    </cacheField>
    <cacheField name="Product Name" numFmtId="0">
      <sharedItems count="9">
        <s v="Ergo Office Chair"/>
        <s v="USB-C Hub"/>
        <s v="Filing Cabinet"/>
        <s v="Bluetooth Speaker"/>
        <s v="Bookshelf Unit"/>
        <s v="Laptop Backpack"/>
        <s v="LED Monitor 24&quot;"/>
        <s v="Standing Desk"/>
        <s v="Wireless Mouse"/>
      </sharedItems>
    </cacheField>
    <cacheField name="Category" numFmtId="0">
      <sharedItems count="4">
        <s v="Office Supplies"/>
        <s v="Accessories"/>
        <s v="Furniture"/>
        <s v="Electronics"/>
      </sharedItems>
    </cacheField>
    <cacheField name="Unit Price (₹)" numFmtId="0">
      <sharedItems containsSemiMixedTypes="0" containsString="0" containsNumber="1" containsInteger="1" minValue="780" maxValue="11010"/>
    </cacheField>
    <cacheField name="Employee ID" numFmtId="0">
      <sharedItems containsBlank="1"/>
    </cacheField>
    <cacheField name="Salesperson" numFmtId="0">
      <sharedItems containsBlank="1"/>
    </cacheField>
    <cacheField name="Region" numFmtId="0">
      <sharedItems containsBlank="1" count="5">
        <s v="West"/>
        <s v="East"/>
        <s v="South"/>
        <s v="North"/>
        <m/>
      </sharedItems>
    </cacheField>
    <cacheField name="State/City" numFmtId="0">
      <sharedItems containsBlank="1"/>
    </cacheField>
    <cacheField name="Units Sold" numFmtId="0">
      <sharedItems containsString="0" containsBlank="1" containsNumber="1" containsInteger="1" minValue="1" maxValue="10"/>
    </cacheField>
    <cacheField name="Revenue (₹)" numFmtId="0">
      <sharedItems containsString="0" containsBlank="1" containsNumber="1" containsInteger="1" minValue="1110" maxValue="54000"/>
    </cacheField>
    <cacheField name="Months (Order Date)" numFmtId="0" databaseField="0">
      <fieldGroup base="1">
        <rangePr groupBy="months" startDate="2023-01-02T00:00:00" endDate="2025-01-01T00:00:00"/>
        <groupItems count="14">
          <s v="&lt;02-01-2023"/>
          <s v="Jan"/>
          <s v="Feb"/>
          <s v="Mar"/>
          <s v="Apr"/>
          <s v="May"/>
          <s v="Jun"/>
          <s v="Jul"/>
          <s v="Aug"/>
          <s v="Sep"/>
          <s v="Oct"/>
          <s v="Nov"/>
          <s v="Dec"/>
          <s v="&gt;0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ushik Bhakat" refreshedDate="46288.494420370371" createdVersion="8" refreshedVersion="8" minRefreshableVersion="3" recordCount="742" xr:uid="{172B176B-B807-4B6F-975E-138E3B46CDA3}">
  <cacheSource type="worksheet">
    <worksheetSource name="MyTable"/>
  </cacheSource>
  <cacheFields count="13">
    <cacheField name="Order ID" numFmtId="0">
      <sharedItems containsSemiMixedTypes="0" containsString="0" containsNumber="1" containsInteger="1" minValue="1001" maxValue="1742"/>
    </cacheField>
    <cacheField name="Order Date" numFmtId="164">
      <sharedItems containsSemiMixedTypes="0" containsNonDate="0" containsDate="1" containsString="0" minDate="2023-01-02T00:00:00" maxDate="2025-01-01T00:00:00" count="462">
        <d v="2023-01-02T00:00:00"/>
        <d v="2023-01-04T00:00:00"/>
        <d v="2023-01-08T00:00:00"/>
        <d v="2023-01-09T00:00:00"/>
        <d v="2023-01-10T00:00:00"/>
        <d v="2023-01-12T00:00:00"/>
        <d v="2023-01-13T00:00:00"/>
        <d v="2023-01-16T00:00:00"/>
        <d v="2023-01-18T00:00:00"/>
        <d v="2023-01-22T00:00:00"/>
        <d v="2023-01-24T00:00:00"/>
        <d v="2023-01-25T00:00:00"/>
        <d v="2023-01-27T00:00:00"/>
        <d v="2023-01-28T00:00:00"/>
        <d v="2023-01-29T00:00:00"/>
        <d v="2023-01-30T00:00:00"/>
        <d v="2023-02-01T00:00:00"/>
        <d v="2023-02-02T00:00:00"/>
        <d v="2023-02-03T00:00:00"/>
        <d v="2023-02-04T00:00:00"/>
        <d v="2023-02-08T00:00:00"/>
        <d v="2023-02-14T00:00:00"/>
        <d v="2023-02-15T00:00:00"/>
        <d v="2023-02-16T00:00:00"/>
        <d v="2023-02-17T00:00:00"/>
        <d v="2023-02-18T00:00:00"/>
        <d v="2023-02-21T00:00:00"/>
        <d v="2023-02-22T00:00:00"/>
        <d v="2023-02-24T00:00:00"/>
        <d v="2023-02-25T00:00:00"/>
        <d v="2023-02-28T00:00:00"/>
        <d v="2023-03-02T00:00:00"/>
        <d v="2023-03-03T00:00:00"/>
        <d v="2023-03-04T00:00:00"/>
        <d v="2023-03-05T00:00:00"/>
        <d v="2023-03-06T00:00:00"/>
        <d v="2023-03-07T00:00:00"/>
        <d v="2023-03-09T00:00:00"/>
        <d v="2023-03-10T00:00:00"/>
        <d v="2023-03-13T00:00:00"/>
        <d v="2023-03-14T00:00:00"/>
        <d v="2023-03-15T00:00:00"/>
        <d v="2023-03-18T00:00:00"/>
        <d v="2023-03-21T00:00:00"/>
        <d v="2023-03-23T00:00:00"/>
        <d v="2023-03-24T00:00:00"/>
        <d v="2023-03-26T00:00:00"/>
        <d v="2023-03-28T00:00:00"/>
        <d v="2023-03-30T00:00:00"/>
        <d v="2023-03-31T00:00:00"/>
        <d v="2023-04-01T00:00:00"/>
        <d v="2023-04-05T00:00:00"/>
        <d v="2023-04-07T00:00:00"/>
        <d v="2023-04-09T00:00:00"/>
        <d v="2023-04-10T00:00:00"/>
        <d v="2023-04-11T00:00:00"/>
        <d v="2023-04-12T00:00:00"/>
        <d v="2023-04-14T00:00:00"/>
        <d v="2023-04-18T00:00:00"/>
        <d v="2023-04-20T00:00:00"/>
        <d v="2023-04-21T00:00:00"/>
        <d v="2023-04-22T00:00:00"/>
        <d v="2023-04-23T00:00:00"/>
        <d v="2023-04-24T00:00:00"/>
        <d v="2023-04-25T00:00:00"/>
        <d v="2023-04-26T00:00:00"/>
        <d v="2023-04-27T00:00:00"/>
        <d v="2023-04-28T00:00:00"/>
        <d v="2023-04-29T00:00:00"/>
        <d v="2023-04-30T00:00:00"/>
        <d v="2023-05-01T00:00:00"/>
        <d v="2023-05-03T00:00:00"/>
        <d v="2023-05-06T00:00:00"/>
        <d v="2023-05-07T00:00:00"/>
        <d v="2023-05-08T00:00:00"/>
        <d v="2023-05-09T00:00:00"/>
        <d v="2023-05-10T00:00:00"/>
        <d v="2023-05-14T00:00:00"/>
        <d v="2023-05-15T00:00:00"/>
        <d v="2023-05-18T00:00:00"/>
        <d v="2023-05-20T00:00:00"/>
        <d v="2023-05-21T00:00:00"/>
        <d v="2023-05-22T00:00:00"/>
        <d v="2023-05-23T00:00:00"/>
        <d v="2023-05-24T00:00:00"/>
        <d v="2023-05-28T00:00:00"/>
        <d v="2023-05-31T00:00:00"/>
        <d v="2023-06-01T00:00:00"/>
        <d v="2023-06-02T00:00:00"/>
        <d v="2023-06-03T00:00:00"/>
        <d v="2023-06-05T00:00:00"/>
        <d v="2023-06-08T00:00:00"/>
        <d v="2023-06-09T00:00:00"/>
        <d v="2023-06-11T00:00:00"/>
        <d v="2023-06-13T00:00:00"/>
        <d v="2023-06-14T00:00:00"/>
        <d v="2023-06-15T00:00:00"/>
        <d v="2023-06-16T00:00:00"/>
        <d v="2023-06-17T00:00:00"/>
        <d v="2023-06-20T00:00:00"/>
        <d v="2023-06-22T00:00:00"/>
        <d v="2023-06-23T00:00:00"/>
        <d v="2023-06-26T00:00:00"/>
        <d v="2023-06-27T00:00:00"/>
        <d v="2023-06-28T00:00:00"/>
        <d v="2023-06-29T00:00:00"/>
        <d v="2023-07-02T00:00:00"/>
        <d v="2023-07-03T00:00:00"/>
        <d v="2023-07-04T00:00:00"/>
        <d v="2023-07-07T00:00:00"/>
        <d v="2023-07-08T00:00:00"/>
        <d v="2023-07-09T00:00:00"/>
        <d v="2023-07-13T00:00:00"/>
        <d v="2023-07-14T00:00:00"/>
        <d v="2023-07-16T00:00:00"/>
        <d v="2023-07-17T00:00:00"/>
        <d v="2023-07-18T00:00:00"/>
        <d v="2023-07-19T00:00:00"/>
        <d v="2023-07-20T00:00:00"/>
        <d v="2023-07-21T00:00:00"/>
        <d v="2023-07-22T00:00:00"/>
        <d v="2023-07-23T00:00:00"/>
        <d v="2023-07-24T00:00:00"/>
        <d v="2023-07-25T00:00:00"/>
        <d v="2023-07-27T00:00:00"/>
        <d v="2023-07-28T00:00:00"/>
        <d v="2023-07-31T00:00:00"/>
        <d v="2023-08-03T00:00:00"/>
        <d v="2023-08-04T00:00:00"/>
        <d v="2023-08-07T00:00:00"/>
        <d v="2023-08-09T00:00:00"/>
        <d v="2023-08-10T00:00:00"/>
        <d v="2023-08-11T00:00:00"/>
        <d v="2023-08-13T00:00:00"/>
        <d v="2023-08-16T00:00:00"/>
        <d v="2023-08-17T00:00:00"/>
        <d v="2023-08-19T00:00:00"/>
        <d v="2023-08-20T00:00:00"/>
        <d v="2023-08-23T00:00:00"/>
        <d v="2023-08-24T00:00:00"/>
        <d v="2023-08-25T00:00:00"/>
        <d v="2023-08-26T00:00:00"/>
        <d v="2023-08-28T00:00:00"/>
        <d v="2023-08-31T00:00:00"/>
        <d v="2023-09-02T00:00:00"/>
        <d v="2023-09-03T00:00:00"/>
        <d v="2023-09-04T00:00:00"/>
        <d v="2023-09-06T00:00:00"/>
        <d v="2023-09-07T00:00:00"/>
        <d v="2023-09-08T00:00:00"/>
        <d v="2023-09-09T00:00:00"/>
        <d v="2023-09-11T00:00:00"/>
        <d v="2023-09-13T00:00:00"/>
        <d v="2023-09-14T00:00:00"/>
        <d v="2023-09-16T00:00:00"/>
        <d v="2023-09-18T00:00:00"/>
        <d v="2023-09-19T00:00:00"/>
        <d v="2023-09-20T00:00:00"/>
        <d v="2023-09-21T00:00:00"/>
        <d v="2023-09-23T00:00:00"/>
        <d v="2023-09-25T00:00:00"/>
        <d v="2023-09-27T00:00:00"/>
        <d v="2023-10-01T00:00:00"/>
        <d v="2023-10-03T00:00:00"/>
        <d v="2023-10-04T00:00:00"/>
        <d v="2023-10-05T00:00:00"/>
        <d v="2023-10-06T00:00:00"/>
        <d v="2023-10-07T00:00:00"/>
        <d v="2023-10-09T00:00:00"/>
        <d v="2023-10-10T00:00:00"/>
        <d v="2023-10-11T00:00:00"/>
        <d v="2023-10-12T00:00:00"/>
        <d v="2023-10-13T00:00:00"/>
        <d v="2023-10-14T00:00:00"/>
        <d v="2023-10-15T00:00:00"/>
        <d v="2023-10-17T00:00:00"/>
        <d v="2023-10-18T00:00:00"/>
        <d v="2023-10-20T00:00:00"/>
        <d v="2023-10-22T00:00:00"/>
        <d v="2023-10-23T00:00:00"/>
        <d v="2023-10-25T00:00:00"/>
        <d v="2023-10-26T00:00:00"/>
        <d v="2023-10-27T00:00:00"/>
        <d v="2023-10-28T00:00:00"/>
        <d v="2023-10-30T00:00:00"/>
        <d v="2023-10-31T00:00:00"/>
        <d v="2023-11-01T00:00:00"/>
        <d v="2023-11-02T00:00:00"/>
        <d v="2023-11-03T00:00:00"/>
        <d v="2023-11-04T00:00:00"/>
        <d v="2023-11-05T00:00:00"/>
        <d v="2023-11-06T00:00:00"/>
        <d v="2023-11-07T00:00:00"/>
        <d v="2023-11-09T00:00:00"/>
        <d v="2023-11-12T00:00:00"/>
        <d v="2023-11-13T00:00:00"/>
        <d v="2023-11-14T00:00:00"/>
        <d v="2023-11-15T00:00:00"/>
        <d v="2023-11-19T00:00:00"/>
        <d v="2023-11-21T00:00:00"/>
        <d v="2023-11-22T00:00:00"/>
        <d v="2023-11-24T00:00:00"/>
        <d v="2023-11-25T00:00:00"/>
        <d v="2023-11-26T00:00:00"/>
        <d v="2023-11-28T00:00:00"/>
        <d v="2023-11-29T00:00:00"/>
        <d v="2023-11-30T00:00:00"/>
        <d v="2023-12-04T00:00:00"/>
        <d v="2023-12-05T00:00:00"/>
        <d v="2023-12-06T00:00:00"/>
        <d v="2023-12-08T00:00:00"/>
        <d v="2023-12-09T00:00:00"/>
        <d v="2023-12-11T00:00:00"/>
        <d v="2023-12-12T00:00:00"/>
        <d v="2023-12-15T00:00:00"/>
        <d v="2023-12-17T00:00:00"/>
        <d v="2023-12-20T00:00:00"/>
        <d v="2023-12-22T00:00:00"/>
        <d v="2023-12-24T00:00:00"/>
        <d v="2023-12-25T00:00:00"/>
        <d v="2023-12-27T00:00:00"/>
        <d v="2023-12-28T00:00:00"/>
        <d v="2023-12-29T00:00:00"/>
        <d v="2023-12-31T00:00:00"/>
        <d v="2024-01-02T00:00:00"/>
        <d v="2024-01-03T00:00:00"/>
        <d v="2024-01-05T00:00:00"/>
        <d v="2024-01-06T00:00:00"/>
        <d v="2024-01-07T00:00:00"/>
        <d v="2024-01-09T00:00:00"/>
        <d v="2024-01-10T00:00:00"/>
        <d v="2024-01-11T00:00:00"/>
        <d v="2024-01-12T00:00:00"/>
        <d v="2024-01-14T00:00:00"/>
        <d v="2024-01-16T00:00:00"/>
        <d v="2024-01-19T00:00:00"/>
        <d v="2024-01-20T00:00:00"/>
        <d v="2024-01-22T00:00:00"/>
        <d v="2024-01-24T00:00:00"/>
        <d v="2024-01-25T00:00:00"/>
        <d v="2024-01-28T00:00:00"/>
        <d v="2024-02-02T00:00:00"/>
        <d v="2024-02-03T00:00:00"/>
        <d v="2024-02-04T00:00:00"/>
        <d v="2024-02-05T00:00:00"/>
        <d v="2024-02-06T00:00:00"/>
        <d v="2024-02-07T00:00:00"/>
        <d v="2024-02-11T00:00:00"/>
        <d v="2024-02-13T00:00:00"/>
        <d v="2024-02-14T00:00:00"/>
        <d v="2024-02-15T00:00:00"/>
        <d v="2024-02-16T00:00:00"/>
        <d v="2024-02-19T00:00:00"/>
        <d v="2024-02-20T00:00:00"/>
        <d v="2024-02-21T00:00:00"/>
        <d v="2024-02-23T00:00:00"/>
        <d v="2024-02-24T00:00:00"/>
        <d v="2024-02-25T00:00:00"/>
        <d v="2024-02-27T00:00:00"/>
        <d v="2024-02-28T00:00:00"/>
        <d v="2024-03-03T00:00:00"/>
        <d v="2024-03-04T00:00:00"/>
        <d v="2024-03-05T00:00:00"/>
        <d v="2024-03-06T00:00:00"/>
        <d v="2024-03-07T00:00:00"/>
        <d v="2024-03-12T00:00:00"/>
        <d v="2024-03-13T00:00:00"/>
        <d v="2024-03-14T00:00:00"/>
        <d v="2024-03-16T00:00:00"/>
        <d v="2024-03-18T00:00:00"/>
        <d v="2024-03-19T00:00:00"/>
        <d v="2024-03-20T00:00:00"/>
        <d v="2024-03-21T00:00:00"/>
        <d v="2024-03-23T00:00:00"/>
        <d v="2024-03-24T00:00:00"/>
        <d v="2024-03-25T00:00:00"/>
        <d v="2024-03-29T00:00:00"/>
        <d v="2024-03-30T00:00:00"/>
        <d v="2024-03-31T00:00:00"/>
        <d v="2024-04-02T00:00:00"/>
        <d v="2024-04-03T00:00:00"/>
        <d v="2024-04-04T00:00:00"/>
        <d v="2024-04-05T00:00:00"/>
        <d v="2024-04-06T00:00:00"/>
        <d v="2024-04-07T00:00:00"/>
        <d v="2024-04-08T00:00:00"/>
        <d v="2024-04-09T00:00:00"/>
        <d v="2024-04-10T00:00:00"/>
        <d v="2024-04-11T00:00:00"/>
        <d v="2024-04-12T00:00:00"/>
        <d v="2024-04-14T00:00:00"/>
        <d v="2024-04-15T00:00:00"/>
        <d v="2024-04-19T00:00:00"/>
        <d v="2024-04-20T00:00:00"/>
        <d v="2024-04-21T00:00:00"/>
        <d v="2024-04-22T00:00:00"/>
        <d v="2024-04-23T00:00:00"/>
        <d v="2024-04-24T00:00:00"/>
        <d v="2024-04-25T00:00:00"/>
        <d v="2024-04-27T00:00:00"/>
        <d v="2024-04-28T00:00:00"/>
        <d v="2024-04-30T00:00:00"/>
        <d v="2024-05-03T00:00:00"/>
        <d v="2024-05-05T00:00:00"/>
        <d v="2024-05-08T00:00:00"/>
        <d v="2024-05-09T00:00:00"/>
        <d v="2024-05-10T00:00:00"/>
        <d v="2024-05-11T00:00:00"/>
        <d v="2024-05-12T00:00:00"/>
        <d v="2024-05-13T00:00:00"/>
        <d v="2024-05-14T00:00:00"/>
        <d v="2024-05-15T00:00:00"/>
        <d v="2024-05-18T00:00:00"/>
        <d v="2024-05-22T00:00:00"/>
        <d v="2024-05-23T00:00:00"/>
        <d v="2024-05-24T00:00:00"/>
        <d v="2024-05-25T00:00:00"/>
        <d v="2024-05-26T00:00:00"/>
        <d v="2024-05-28T00:00:00"/>
        <d v="2024-05-29T00:00:00"/>
        <d v="2024-05-31T00:00:00"/>
        <d v="2024-06-01T00:00:00"/>
        <d v="2024-06-03T00:00:00"/>
        <d v="2024-06-04T00:00:00"/>
        <d v="2024-06-05T00:00:00"/>
        <d v="2024-06-06T00:00:00"/>
        <d v="2024-06-07T00:00:00"/>
        <d v="2024-06-08T00:00:00"/>
        <d v="2024-06-10T00:00:00"/>
        <d v="2024-06-11T00:00:00"/>
        <d v="2024-06-12T00:00:00"/>
        <d v="2024-06-13T00:00:00"/>
        <d v="2024-06-14T00:00:00"/>
        <d v="2024-06-15T00:00:00"/>
        <d v="2024-06-16T00:00:00"/>
        <d v="2024-06-17T00:00:00"/>
        <d v="2024-06-20T00:00:00"/>
        <d v="2024-06-21T00:00:00"/>
        <d v="2024-06-24T00:00:00"/>
        <d v="2024-06-25T00:00:00"/>
        <d v="2024-06-27T00:00:00"/>
        <d v="2024-06-29T00:00:00"/>
        <d v="2024-07-01T00:00:00"/>
        <d v="2024-07-02T00:00:00"/>
        <d v="2024-07-04T00:00:00"/>
        <d v="2024-07-05T00:00:00"/>
        <d v="2024-07-08T00:00:00"/>
        <d v="2024-07-10T00:00:00"/>
        <d v="2024-07-11T00:00:00"/>
        <d v="2024-07-15T00:00:00"/>
        <d v="2024-07-16T00:00:00"/>
        <d v="2024-07-17T00:00:00"/>
        <d v="2024-07-18T00:00:00"/>
        <d v="2024-07-20T00:00:00"/>
        <d v="2024-07-22T00:00:00"/>
        <d v="2024-07-24T00:00:00"/>
        <d v="2024-07-26T00:00:00"/>
        <d v="2024-07-27T00:00:00"/>
        <d v="2024-07-31T00:00:00"/>
        <d v="2024-08-02T00:00:00"/>
        <d v="2024-08-04T00:00:00"/>
        <d v="2024-08-05T00:00:00"/>
        <d v="2024-08-06T00:00:00"/>
        <d v="2024-08-07T00:00:00"/>
        <d v="2024-08-09T00:00:00"/>
        <d v="2024-08-10T00:00:00"/>
        <d v="2024-08-11T00:00:00"/>
        <d v="2024-08-15T00:00:00"/>
        <d v="2024-08-16T00:00:00"/>
        <d v="2024-08-18T00:00:00"/>
        <d v="2024-08-19T00:00:00"/>
        <d v="2024-08-21T00:00:00"/>
        <d v="2024-08-25T00:00:00"/>
        <d v="2024-08-26T00:00:00"/>
        <d v="2024-08-30T00:00:00"/>
        <d v="2024-08-31T00:00:00"/>
        <d v="2024-09-02T00:00:00"/>
        <d v="2024-09-04T00:00:00"/>
        <d v="2024-09-06T00:00:00"/>
        <d v="2024-09-07T00:00:00"/>
        <d v="2024-09-10T00:00:00"/>
        <d v="2024-09-11T00:00:00"/>
        <d v="2024-09-12T00:00:00"/>
        <d v="2024-09-13T00:00:00"/>
        <d v="2024-09-15T00:00:00"/>
        <d v="2024-09-16T00:00:00"/>
        <d v="2024-09-17T00:00:00"/>
        <d v="2024-09-19T00:00:00"/>
        <d v="2024-09-20T00:00:00"/>
        <d v="2024-09-21T00:00:00"/>
        <d v="2024-09-22T00:00:00"/>
        <d v="2024-09-23T00:00:00"/>
        <d v="2024-09-25T00:00:00"/>
        <d v="2024-09-28T00:00:00"/>
        <d v="2024-09-30T00:00:00"/>
        <d v="2024-10-03T00:00:00"/>
        <d v="2024-10-07T00:00:00"/>
        <d v="2024-10-09T00:00:00"/>
        <d v="2024-10-10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8T00:00:00"/>
        <d v="2024-11-09T00:00:00"/>
        <d v="2024-11-10T00:00:00"/>
        <d v="2024-11-12T00:00:00"/>
        <d v="2024-11-13T00:00:00"/>
        <d v="2024-11-14T00:00:00"/>
        <d v="2024-11-16T00:00:00"/>
        <d v="2024-11-17T00:00:00"/>
        <d v="2024-11-19T00:00:00"/>
        <d v="2024-11-20T00:00:00"/>
        <d v="2024-11-21T00:00:00"/>
        <d v="2024-11-22T00:00:00"/>
        <d v="2024-11-23T00:00:00"/>
        <d v="2024-11-24T00:00:00"/>
        <d v="2024-11-25T00:00:00"/>
        <d v="2024-11-26T00:00:00"/>
        <d v="2024-11-27T00:00:00"/>
        <d v="2024-11-29T00:00:00"/>
        <d v="2024-11-30T00:00:00"/>
        <d v="2024-12-04T00:00:00"/>
        <d v="2024-12-05T00:00:00"/>
        <d v="2024-12-06T00:00:00"/>
        <d v="2024-12-10T00:00:00"/>
        <d v="2024-12-11T00:00:00"/>
        <d v="2024-12-12T00:00:00"/>
        <d v="2024-12-13T00:00:00"/>
        <d v="2024-12-14T00:00:00"/>
        <d v="2024-12-15T00:00:00"/>
        <d v="2024-12-16T00:00:00"/>
        <d v="2024-12-17T00:00:00"/>
        <d v="2024-12-20T00:00:00"/>
        <d v="2024-12-21T00:00:00"/>
        <d v="2024-12-22T00:00:00"/>
        <d v="2024-12-24T00:00:00"/>
        <d v="2024-12-26T00:00:00"/>
        <d v="2024-12-27T00:00:00"/>
        <d v="2024-12-28T00:00:00"/>
        <d v="2024-12-31T00:00:00"/>
      </sharedItems>
      <fieldGroup par="12"/>
    </cacheField>
    <cacheField name="Product ID" numFmtId="0">
      <sharedItems/>
    </cacheField>
    <cacheField name="Product Name" numFmtId="0">
      <sharedItems/>
    </cacheField>
    <cacheField name="Category" numFmtId="0">
      <sharedItems count="4">
        <s v="Office Supplies"/>
        <s v="Accessories"/>
        <s v="Furniture"/>
        <s v="Electronics"/>
      </sharedItems>
    </cacheField>
    <cacheField name="Unit Price (₹)" numFmtId="0">
      <sharedItems containsSemiMixedTypes="0" containsString="0" containsNumber="1" containsInteger="1" minValue="780" maxValue="11010"/>
    </cacheField>
    <cacheField name="Employee ID" numFmtId="0">
      <sharedItems/>
    </cacheField>
    <cacheField name="Salesperson" numFmtId="0">
      <sharedItems/>
    </cacheField>
    <cacheField name="Region" numFmtId="0">
      <sharedItems count="4">
        <s v="West"/>
        <s v="East"/>
        <s v="South"/>
        <s v="North"/>
      </sharedItems>
    </cacheField>
    <cacheField name="State/City" numFmtId="0">
      <sharedItems/>
    </cacheField>
    <cacheField name="Units Sold" numFmtId="0">
      <sharedItems containsSemiMixedTypes="0" containsString="0" containsNumber="1" containsInteger="1" minValue="1" maxValue="10"/>
    </cacheField>
    <cacheField name="Revenue (₹)" numFmtId="0">
      <sharedItems containsSemiMixedTypes="0" containsString="0" containsNumber="1" containsInteger="1" minValue="780" maxValue="110100"/>
    </cacheField>
    <cacheField name="Months (Order Date)" numFmtId="0" databaseField="0">
      <fieldGroup base="1">
        <rangePr groupBy="months" startDate="2023-01-02T00:00:00" endDate="2025-01-01T00:00:00"/>
        <groupItems count="14">
          <s v="&lt;02-01-2023"/>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842859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2">
  <r>
    <n v="1009"/>
    <x v="0"/>
    <x v="0"/>
    <x v="0"/>
    <x v="0"/>
    <n v="6750"/>
    <s v="E07"/>
    <s v="Aditya Kapoor"/>
    <x v="0"/>
    <s v="Mumbai"/>
    <n v="1"/>
    <n v="6750"/>
  </r>
  <r>
    <n v="1004"/>
    <x v="1"/>
    <x v="0"/>
    <x v="0"/>
    <x v="0"/>
    <n v="6750"/>
    <s v="E06"/>
    <s v="Sneha Roy"/>
    <x v="1"/>
    <s v="Kolkata"/>
    <n v="1"/>
    <n v="6750"/>
  </r>
  <r>
    <n v="1001"/>
    <x v="2"/>
    <x v="1"/>
    <x v="1"/>
    <x v="1"/>
    <n v="880"/>
    <s v="E08"/>
    <s v="Neha Joshi"/>
    <x v="0"/>
    <s v="Ahmedabad"/>
    <n v="6"/>
    <n v="5280"/>
  </r>
  <r>
    <n v="1003"/>
    <x v="3"/>
    <x v="2"/>
    <x v="2"/>
    <x v="2"/>
    <n v="4070"/>
    <s v="E08"/>
    <s v="Neha Joshi"/>
    <x v="0"/>
    <s v="Ahmedabad"/>
    <n v="6"/>
    <n v="24420"/>
  </r>
  <r>
    <n v="1011"/>
    <x v="3"/>
    <x v="3"/>
    <x v="3"/>
    <x v="3"/>
    <n v="1430"/>
    <s v="E06"/>
    <s v="Sneha Roy"/>
    <x v="1"/>
    <s v="Kolkata"/>
    <n v="10"/>
    <n v="14300"/>
  </r>
  <r>
    <n v="1013"/>
    <x v="3"/>
    <x v="0"/>
    <x v="0"/>
    <x v="0"/>
    <n v="6750"/>
    <s v="E06"/>
    <s v="Sneha Roy"/>
    <x v="1"/>
    <s v="Kolkata"/>
    <n v="8"/>
    <n v="54000"/>
  </r>
  <r>
    <n v="1018"/>
    <x v="3"/>
    <x v="4"/>
    <x v="4"/>
    <x v="2"/>
    <n v="3910"/>
    <s v="E08"/>
    <s v="Neha Joshi"/>
    <x v="0"/>
    <s v="Ahmedabad"/>
    <n v="4"/>
    <n v="15640"/>
  </r>
  <r>
    <n v="1021"/>
    <x v="3"/>
    <x v="5"/>
    <x v="5"/>
    <x v="1"/>
    <n v="1110"/>
    <s v="E04"/>
    <s v="Priya Nair"/>
    <x v="2"/>
    <s v="Bengaluru"/>
    <n v="1"/>
    <n v="1110"/>
  </r>
  <r>
    <n v="1008"/>
    <x v="4"/>
    <x v="3"/>
    <x v="3"/>
    <x v="3"/>
    <n v="1430"/>
    <s v="E05"/>
    <s v="Karan Malhotra"/>
    <x v="1"/>
    <s v="Kolkata"/>
    <n v="4"/>
    <n v="5720"/>
  </r>
  <r>
    <n v="1005"/>
    <x v="5"/>
    <x v="2"/>
    <x v="2"/>
    <x v="2"/>
    <n v="4070"/>
    <s v="E02"/>
    <s v="Ishita Verma"/>
    <x v="3"/>
    <s v="Chandigarh"/>
    <n v="2"/>
    <n v="8140"/>
  </r>
  <r>
    <n v="1012"/>
    <x v="5"/>
    <x v="4"/>
    <x v="4"/>
    <x v="2"/>
    <n v="3910"/>
    <s v="E03"/>
    <s v="Rohan Mehta"/>
    <x v="2"/>
    <s v="Bengaluru"/>
    <n v="10"/>
    <n v="39100"/>
  </r>
  <r>
    <n v="1015"/>
    <x v="6"/>
    <x v="6"/>
    <x v="6"/>
    <x v="3"/>
    <n v="7700"/>
    <s v="E07"/>
    <s v="Aditya Kapoor"/>
    <x v="0"/>
    <s v="Mumbai"/>
    <n v="2"/>
    <n v="15400"/>
  </r>
  <r>
    <n v="1020"/>
    <x v="7"/>
    <x v="0"/>
    <x v="0"/>
    <x v="0"/>
    <n v="6750"/>
    <s v="E05"/>
    <s v="Karan Malhotra"/>
    <x v="1"/>
    <s v="Kolkata"/>
    <n v="6"/>
    <n v="40500"/>
  </r>
  <r>
    <n v="1022"/>
    <x v="8"/>
    <x v="0"/>
    <x v="0"/>
    <x v="0"/>
    <n v="6750"/>
    <s v="E07"/>
    <s v="Aditya Kapoor"/>
    <x v="0"/>
    <s v="Mumbai"/>
    <n v="1"/>
    <n v="6750"/>
  </r>
  <r>
    <n v="1016"/>
    <x v="9"/>
    <x v="1"/>
    <x v="1"/>
    <x v="1"/>
    <n v="880"/>
    <s v="E06"/>
    <s v="Sneha Roy"/>
    <x v="1"/>
    <s v="Kolkata"/>
    <n v="10"/>
    <n v="8800"/>
  </r>
  <r>
    <n v="1006"/>
    <x v="10"/>
    <x v="7"/>
    <x v="7"/>
    <x v="0"/>
    <n v="11010"/>
    <s v="E07"/>
    <s v="Aditya Kapoor"/>
    <x v="0"/>
    <s v="Mumbai"/>
    <n v="1"/>
    <n v="11010"/>
  </r>
  <r>
    <n v="1014"/>
    <x v="10"/>
    <x v="6"/>
    <x v="6"/>
    <x v="3"/>
    <n v="7700"/>
    <s v="E01"/>
    <s v="Aarav Sharma"/>
    <x v="3"/>
    <s v="Lucknow"/>
    <n v="1"/>
    <n v="7700"/>
  </r>
  <r>
    <n v="1002"/>
    <x v="11"/>
    <x v="7"/>
    <x v="7"/>
    <x v="0"/>
    <n v="11010"/>
    <s v="E01"/>
    <s v="Aarav Sharma"/>
    <x v="3"/>
    <s v="Lucknow"/>
    <n v="3"/>
    <n v="33030"/>
  </r>
  <r>
    <n v="1017"/>
    <x v="12"/>
    <x v="8"/>
    <x v="8"/>
    <x v="3"/>
    <n v="780"/>
    <m/>
    <m/>
    <x v="4"/>
    <m/>
    <m/>
    <m/>
  </r>
  <r>
    <n v="1010"/>
    <x v="13"/>
    <x v="7"/>
    <x v="7"/>
    <x v="0"/>
    <n v="11010"/>
    <m/>
    <m/>
    <x v="4"/>
    <m/>
    <m/>
    <m/>
  </r>
  <r>
    <n v="1019"/>
    <x v="14"/>
    <x v="0"/>
    <x v="0"/>
    <x v="0"/>
    <n v="6750"/>
    <m/>
    <m/>
    <x v="4"/>
    <m/>
    <m/>
    <m/>
  </r>
  <r>
    <n v="1007"/>
    <x v="15"/>
    <x v="1"/>
    <x v="1"/>
    <x v="1"/>
    <n v="880"/>
    <m/>
    <m/>
    <x v="4"/>
    <m/>
    <m/>
    <m/>
  </r>
  <r>
    <n v="1035"/>
    <x v="16"/>
    <x v="1"/>
    <x v="1"/>
    <x v="1"/>
    <n v="880"/>
    <m/>
    <m/>
    <x v="4"/>
    <m/>
    <m/>
    <m/>
  </r>
  <r>
    <n v="1037"/>
    <x v="17"/>
    <x v="7"/>
    <x v="7"/>
    <x v="0"/>
    <n v="11010"/>
    <m/>
    <m/>
    <x v="4"/>
    <m/>
    <m/>
    <m/>
  </r>
  <r>
    <n v="1048"/>
    <x v="17"/>
    <x v="0"/>
    <x v="0"/>
    <x v="0"/>
    <n v="6750"/>
    <m/>
    <m/>
    <x v="4"/>
    <m/>
    <m/>
    <m/>
  </r>
  <r>
    <n v="1024"/>
    <x v="18"/>
    <x v="1"/>
    <x v="1"/>
    <x v="1"/>
    <n v="880"/>
    <m/>
    <m/>
    <x v="4"/>
    <m/>
    <m/>
    <m/>
  </r>
  <r>
    <n v="1026"/>
    <x v="18"/>
    <x v="2"/>
    <x v="2"/>
    <x v="2"/>
    <n v="4070"/>
    <m/>
    <m/>
    <x v="4"/>
    <m/>
    <m/>
    <m/>
  </r>
  <r>
    <n v="1045"/>
    <x v="18"/>
    <x v="0"/>
    <x v="0"/>
    <x v="0"/>
    <n v="6750"/>
    <m/>
    <m/>
    <x v="4"/>
    <m/>
    <m/>
    <m/>
  </r>
  <r>
    <n v="1047"/>
    <x v="18"/>
    <x v="0"/>
    <x v="0"/>
    <x v="0"/>
    <n v="6750"/>
    <m/>
    <m/>
    <x v="4"/>
    <m/>
    <m/>
    <m/>
  </r>
  <r>
    <n v="1036"/>
    <x v="19"/>
    <x v="5"/>
    <x v="5"/>
    <x v="1"/>
    <n v="1110"/>
    <m/>
    <m/>
    <x v="4"/>
    <m/>
    <m/>
    <m/>
  </r>
  <r>
    <n v="1023"/>
    <x v="20"/>
    <x v="2"/>
    <x v="2"/>
    <x v="2"/>
    <n v="4070"/>
    <m/>
    <m/>
    <x v="4"/>
    <m/>
    <m/>
    <m/>
  </r>
  <r>
    <n v="1030"/>
    <x v="21"/>
    <x v="3"/>
    <x v="3"/>
    <x v="3"/>
    <n v="1430"/>
    <m/>
    <m/>
    <x v="4"/>
    <m/>
    <m/>
    <m/>
  </r>
  <r>
    <n v="1027"/>
    <x v="22"/>
    <x v="2"/>
    <x v="2"/>
    <x v="2"/>
    <n v="4070"/>
    <m/>
    <m/>
    <x v="4"/>
    <m/>
    <m/>
    <m/>
  </r>
  <r>
    <n v="1044"/>
    <x v="22"/>
    <x v="5"/>
    <x v="5"/>
    <x v="1"/>
    <n v="1110"/>
    <m/>
    <m/>
    <x v="4"/>
    <m/>
    <m/>
    <m/>
  </r>
  <r>
    <n v="1040"/>
    <x v="23"/>
    <x v="6"/>
    <x v="6"/>
    <x v="3"/>
    <n v="7700"/>
    <m/>
    <m/>
    <x v="4"/>
    <m/>
    <m/>
    <m/>
  </r>
  <r>
    <n v="1032"/>
    <x v="24"/>
    <x v="1"/>
    <x v="1"/>
    <x v="1"/>
    <n v="880"/>
    <m/>
    <m/>
    <x v="4"/>
    <m/>
    <m/>
    <m/>
  </r>
  <r>
    <n v="1033"/>
    <x v="24"/>
    <x v="7"/>
    <x v="7"/>
    <x v="0"/>
    <n v="11010"/>
    <m/>
    <m/>
    <x v="4"/>
    <m/>
    <m/>
    <m/>
  </r>
  <r>
    <n v="1046"/>
    <x v="25"/>
    <x v="8"/>
    <x v="8"/>
    <x v="3"/>
    <n v="780"/>
    <m/>
    <m/>
    <x v="4"/>
    <m/>
    <m/>
    <m/>
  </r>
  <r>
    <n v="1025"/>
    <x v="26"/>
    <x v="3"/>
    <x v="3"/>
    <x v="3"/>
    <n v="1430"/>
    <m/>
    <m/>
    <x v="4"/>
    <m/>
    <m/>
    <m/>
  </r>
  <r>
    <n v="1028"/>
    <x v="27"/>
    <x v="1"/>
    <x v="1"/>
    <x v="1"/>
    <n v="880"/>
    <m/>
    <m/>
    <x v="4"/>
    <m/>
    <m/>
    <m/>
  </r>
  <r>
    <n v="1043"/>
    <x v="27"/>
    <x v="7"/>
    <x v="7"/>
    <x v="0"/>
    <n v="11010"/>
    <m/>
    <m/>
    <x v="4"/>
    <m/>
    <m/>
    <m/>
  </r>
  <r>
    <n v="1031"/>
    <x v="28"/>
    <x v="5"/>
    <x v="5"/>
    <x v="1"/>
    <n v="1110"/>
    <m/>
    <m/>
    <x v="4"/>
    <m/>
    <m/>
    <m/>
  </r>
  <r>
    <n v="1038"/>
    <x v="28"/>
    <x v="3"/>
    <x v="3"/>
    <x v="3"/>
    <n v="1430"/>
    <m/>
    <m/>
    <x v="4"/>
    <m/>
    <m/>
    <m/>
  </r>
  <r>
    <n v="1029"/>
    <x v="29"/>
    <x v="1"/>
    <x v="1"/>
    <x v="1"/>
    <n v="880"/>
    <m/>
    <m/>
    <x v="4"/>
    <m/>
    <m/>
    <m/>
  </r>
  <r>
    <n v="1034"/>
    <x v="29"/>
    <x v="6"/>
    <x v="6"/>
    <x v="3"/>
    <n v="7700"/>
    <m/>
    <m/>
    <x v="4"/>
    <m/>
    <m/>
    <m/>
  </r>
  <r>
    <n v="1039"/>
    <x v="29"/>
    <x v="3"/>
    <x v="3"/>
    <x v="3"/>
    <n v="1430"/>
    <m/>
    <m/>
    <x v="4"/>
    <m/>
    <m/>
    <m/>
  </r>
  <r>
    <n v="1042"/>
    <x v="29"/>
    <x v="0"/>
    <x v="0"/>
    <x v="0"/>
    <n v="6750"/>
    <m/>
    <m/>
    <x v="4"/>
    <m/>
    <m/>
    <m/>
  </r>
  <r>
    <n v="1041"/>
    <x v="30"/>
    <x v="7"/>
    <x v="7"/>
    <x v="0"/>
    <n v="11010"/>
    <m/>
    <m/>
    <x v="4"/>
    <m/>
    <m/>
    <m/>
  </r>
  <r>
    <n v="1068"/>
    <x v="31"/>
    <x v="4"/>
    <x v="4"/>
    <x v="2"/>
    <n v="3910"/>
    <m/>
    <m/>
    <x v="4"/>
    <m/>
    <m/>
    <m/>
  </r>
  <r>
    <n v="1071"/>
    <x v="32"/>
    <x v="3"/>
    <x v="3"/>
    <x v="3"/>
    <n v="1430"/>
    <m/>
    <m/>
    <x v="4"/>
    <m/>
    <m/>
    <m/>
  </r>
  <r>
    <n v="1073"/>
    <x v="32"/>
    <x v="8"/>
    <x v="8"/>
    <x v="3"/>
    <n v="780"/>
    <m/>
    <m/>
    <x v="4"/>
    <m/>
    <m/>
    <m/>
  </r>
  <r>
    <n v="1052"/>
    <x v="33"/>
    <x v="0"/>
    <x v="0"/>
    <x v="0"/>
    <n v="6750"/>
    <m/>
    <m/>
    <x v="4"/>
    <m/>
    <m/>
    <m/>
  </r>
  <r>
    <n v="1050"/>
    <x v="34"/>
    <x v="0"/>
    <x v="0"/>
    <x v="0"/>
    <n v="6750"/>
    <m/>
    <m/>
    <x v="4"/>
    <m/>
    <m/>
    <m/>
  </r>
  <r>
    <n v="1057"/>
    <x v="34"/>
    <x v="1"/>
    <x v="1"/>
    <x v="1"/>
    <n v="880"/>
    <m/>
    <m/>
    <x v="4"/>
    <m/>
    <m/>
    <m/>
  </r>
  <r>
    <n v="1061"/>
    <x v="35"/>
    <x v="3"/>
    <x v="3"/>
    <x v="3"/>
    <n v="1430"/>
    <m/>
    <m/>
    <x v="4"/>
    <m/>
    <m/>
    <m/>
  </r>
  <r>
    <n v="1069"/>
    <x v="35"/>
    <x v="1"/>
    <x v="1"/>
    <x v="1"/>
    <n v="880"/>
    <m/>
    <m/>
    <x v="4"/>
    <m/>
    <m/>
    <m/>
  </r>
  <r>
    <n v="1056"/>
    <x v="36"/>
    <x v="3"/>
    <x v="3"/>
    <x v="3"/>
    <n v="1430"/>
    <m/>
    <m/>
    <x v="4"/>
    <m/>
    <m/>
    <m/>
  </r>
  <r>
    <n v="1062"/>
    <x v="36"/>
    <x v="5"/>
    <x v="5"/>
    <x v="1"/>
    <n v="1110"/>
    <m/>
    <m/>
    <x v="4"/>
    <m/>
    <m/>
    <m/>
  </r>
  <r>
    <n v="1049"/>
    <x v="37"/>
    <x v="1"/>
    <x v="1"/>
    <x v="1"/>
    <n v="880"/>
    <m/>
    <m/>
    <x v="4"/>
    <m/>
    <m/>
    <m/>
  </r>
  <r>
    <n v="1066"/>
    <x v="38"/>
    <x v="6"/>
    <x v="6"/>
    <x v="3"/>
    <n v="7700"/>
    <m/>
    <m/>
    <x v="4"/>
    <m/>
    <m/>
    <m/>
  </r>
  <r>
    <n v="1063"/>
    <x v="39"/>
    <x v="8"/>
    <x v="8"/>
    <x v="3"/>
    <n v="780"/>
    <m/>
    <m/>
    <x v="4"/>
    <m/>
    <m/>
    <m/>
  </r>
  <r>
    <n v="1053"/>
    <x v="40"/>
    <x v="4"/>
    <x v="4"/>
    <x v="2"/>
    <n v="3910"/>
    <m/>
    <m/>
    <x v="4"/>
    <m/>
    <m/>
    <m/>
  </r>
  <r>
    <n v="1058"/>
    <x v="41"/>
    <x v="6"/>
    <x v="6"/>
    <x v="3"/>
    <n v="7700"/>
    <m/>
    <m/>
    <x v="4"/>
    <m/>
    <m/>
    <m/>
  </r>
  <r>
    <n v="1060"/>
    <x v="42"/>
    <x v="8"/>
    <x v="8"/>
    <x v="3"/>
    <n v="780"/>
    <m/>
    <m/>
    <x v="4"/>
    <m/>
    <m/>
    <m/>
  </r>
  <r>
    <n v="1054"/>
    <x v="43"/>
    <x v="8"/>
    <x v="8"/>
    <x v="3"/>
    <n v="780"/>
    <m/>
    <m/>
    <x v="4"/>
    <m/>
    <m/>
    <m/>
  </r>
  <r>
    <n v="1065"/>
    <x v="44"/>
    <x v="7"/>
    <x v="7"/>
    <x v="0"/>
    <n v="11010"/>
    <m/>
    <m/>
    <x v="4"/>
    <m/>
    <m/>
    <m/>
  </r>
  <r>
    <n v="1075"/>
    <x v="44"/>
    <x v="0"/>
    <x v="0"/>
    <x v="0"/>
    <n v="6750"/>
    <m/>
    <m/>
    <x v="4"/>
    <m/>
    <m/>
    <m/>
  </r>
  <r>
    <n v="1055"/>
    <x v="45"/>
    <x v="8"/>
    <x v="8"/>
    <x v="3"/>
    <n v="780"/>
    <m/>
    <m/>
    <x v="4"/>
    <m/>
    <m/>
    <m/>
  </r>
  <r>
    <n v="1067"/>
    <x v="45"/>
    <x v="8"/>
    <x v="8"/>
    <x v="3"/>
    <n v="780"/>
    <m/>
    <m/>
    <x v="4"/>
    <m/>
    <m/>
    <m/>
  </r>
  <r>
    <n v="1051"/>
    <x v="46"/>
    <x v="0"/>
    <x v="0"/>
    <x v="0"/>
    <n v="6750"/>
    <m/>
    <m/>
    <x v="4"/>
    <m/>
    <m/>
    <m/>
  </r>
  <r>
    <n v="1059"/>
    <x v="46"/>
    <x v="3"/>
    <x v="3"/>
    <x v="3"/>
    <n v="1430"/>
    <m/>
    <m/>
    <x v="4"/>
    <m/>
    <m/>
    <m/>
  </r>
  <r>
    <n v="1070"/>
    <x v="47"/>
    <x v="1"/>
    <x v="1"/>
    <x v="1"/>
    <n v="880"/>
    <m/>
    <m/>
    <x v="4"/>
    <m/>
    <m/>
    <m/>
  </r>
  <r>
    <n v="1064"/>
    <x v="48"/>
    <x v="2"/>
    <x v="2"/>
    <x v="2"/>
    <n v="4070"/>
    <m/>
    <m/>
    <x v="4"/>
    <m/>
    <m/>
    <m/>
  </r>
  <r>
    <n v="1074"/>
    <x v="48"/>
    <x v="1"/>
    <x v="1"/>
    <x v="1"/>
    <n v="880"/>
    <m/>
    <m/>
    <x v="4"/>
    <m/>
    <m/>
    <m/>
  </r>
  <r>
    <n v="1072"/>
    <x v="49"/>
    <x v="2"/>
    <x v="2"/>
    <x v="2"/>
    <n v="4070"/>
    <m/>
    <m/>
    <x v="4"/>
    <m/>
    <m/>
    <m/>
  </r>
  <r>
    <n v="1100"/>
    <x v="50"/>
    <x v="6"/>
    <x v="6"/>
    <x v="3"/>
    <n v="7700"/>
    <m/>
    <m/>
    <x v="4"/>
    <m/>
    <m/>
    <m/>
  </r>
  <r>
    <n v="1076"/>
    <x v="51"/>
    <x v="7"/>
    <x v="7"/>
    <x v="0"/>
    <n v="11010"/>
    <m/>
    <m/>
    <x v="4"/>
    <m/>
    <m/>
    <m/>
  </r>
  <r>
    <n v="1085"/>
    <x v="51"/>
    <x v="3"/>
    <x v="3"/>
    <x v="3"/>
    <n v="1430"/>
    <m/>
    <m/>
    <x v="4"/>
    <m/>
    <m/>
    <m/>
  </r>
  <r>
    <n v="1079"/>
    <x v="52"/>
    <x v="3"/>
    <x v="3"/>
    <x v="3"/>
    <n v="1430"/>
    <m/>
    <m/>
    <x v="4"/>
    <m/>
    <m/>
    <m/>
  </r>
  <r>
    <n v="1086"/>
    <x v="52"/>
    <x v="7"/>
    <x v="7"/>
    <x v="0"/>
    <n v="11010"/>
    <m/>
    <m/>
    <x v="4"/>
    <m/>
    <m/>
    <m/>
  </r>
  <r>
    <n v="1084"/>
    <x v="53"/>
    <x v="3"/>
    <x v="3"/>
    <x v="3"/>
    <n v="1430"/>
    <m/>
    <m/>
    <x v="4"/>
    <m/>
    <m/>
    <m/>
  </r>
  <r>
    <n v="1088"/>
    <x v="53"/>
    <x v="1"/>
    <x v="1"/>
    <x v="1"/>
    <n v="880"/>
    <m/>
    <m/>
    <x v="4"/>
    <m/>
    <m/>
    <m/>
  </r>
  <r>
    <n v="1081"/>
    <x v="54"/>
    <x v="0"/>
    <x v="0"/>
    <x v="0"/>
    <n v="6750"/>
    <m/>
    <m/>
    <x v="4"/>
    <m/>
    <m/>
    <m/>
  </r>
  <r>
    <n v="1090"/>
    <x v="55"/>
    <x v="8"/>
    <x v="8"/>
    <x v="3"/>
    <n v="780"/>
    <m/>
    <m/>
    <x v="4"/>
    <m/>
    <m/>
    <m/>
  </r>
  <r>
    <n v="1096"/>
    <x v="56"/>
    <x v="8"/>
    <x v="8"/>
    <x v="3"/>
    <n v="780"/>
    <m/>
    <m/>
    <x v="4"/>
    <m/>
    <m/>
    <m/>
  </r>
  <r>
    <n v="1089"/>
    <x v="57"/>
    <x v="3"/>
    <x v="3"/>
    <x v="3"/>
    <n v="1430"/>
    <m/>
    <m/>
    <x v="4"/>
    <m/>
    <m/>
    <m/>
  </r>
  <r>
    <n v="1095"/>
    <x v="57"/>
    <x v="1"/>
    <x v="1"/>
    <x v="1"/>
    <n v="880"/>
    <m/>
    <m/>
    <x v="4"/>
    <m/>
    <m/>
    <m/>
  </r>
  <r>
    <n v="1092"/>
    <x v="58"/>
    <x v="1"/>
    <x v="1"/>
    <x v="1"/>
    <n v="880"/>
    <m/>
    <m/>
    <x v="4"/>
    <m/>
    <m/>
    <m/>
  </r>
  <r>
    <n v="1078"/>
    <x v="59"/>
    <x v="8"/>
    <x v="8"/>
    <x v="3"/>
    <n v="780"/>
    <m/>
    <m/>
    <x v="4"/>
    <m/>
    <m/>
    <m/>
  </r>
  <r>
    <n v="1087"/>
    <x v="60"/>
    <x v="0"/>
    <x v="0"/>
    <x v="0"/>
    <n v="6750"/>
    <m/>
    <m/>
    <x v="4"/>
    <m/>
    <m/>
    <m/>
  </r>
  <r>
    <n v="1083"/>
    <x v="61"/>
    <x v="1"/>
    <x v="1"/>
    <x v="1"/>
    <n v="880"/>
    <m/>
    <m/>
    <x v="4"/>
    <m/>
    <m/>
    <m/>
  </r>
  <r>
    <n v="1097"/>
    <x v="61"/>
    <x v="4"/>
    <x v="4"/>
    <x v="2"/>
    <n v="3910"/>
    <m/>
    <m/>
    <x v="4"/>
    <m/>
    <m/>
    <m/>
  </r>
  <r>
    <n v="1082"/>
    <x v="62"/>
    <x v="5"/>
    <x v="5"/>
    <x v="1"/>
    <n v="1110"/>
    <m/>
    <m/>
    <x v="4"/>
    <m/>
    <m/>
    <m/>
  </r>
  <r>
    <n v="1091"/>
    <x v="63"/>
    <x v="7"/>
    <x v="7"/>
    <x v="0"/>
    <n v="11010"/>
    <m/>
    <m/>
    <x v="4"/>
    <m/>
    <m/>
    <m/>
  </r>
  <r>
    <n v="1098"/>
    <x v="64"/>
    <x v="3"/>
    <x v="3"/>
    <x v="3"/>
    <n v="1430"/>
    <m/>
    <m/>
    <x v="4"/>
    <m/>
    <m/>
    <m/>
  </r>
  <r>
    <n v="1101"/>
    <x v="65"/>
    <x v="4"/>
    <x v="4"/>
    <x v="2"/>
    <n v="3910"/>
    <m/>
    <m/>
    <x v="4"/>
    <m/>
    <m/>
    <m/>
  </r>
  <r>
    <n v="1102"/>
    <x v="65"/>
    <x v="7"/>
    <x v="7"/>
    <x v="0"/>
    <n v="11010"/>
    <m/>
    <m/>
    <x v="4"/>
    <m/>
    <m/>
    <m/>
  </r>
  <r>
    <n v="1094"/>
    <x v="66"/>
    <x v="1"/>
    <x v="1"/>
    <x v="1"/>
    <n v="880"/>
    <m/>
    <m/>
    <x v="4"/>
    <m/>
    <m/>
    <m/>
  </r>
  <r>
    <n v="1099"/>
    <x v="67"/>
    <x v="6"/>
    <x v="6"/>
    <x v="3"/>
    <n v="7700"/>
    <m/>
    <m/>
    <x v="4"/>
    <m/>
    <m/>
    <m/>
  </r>
  <r>
    <n v="1080"/>
    <x v="68"/>
    <x v="6"/>
    <x v="6"/>
    <x v="3"/>
    <n v="7700"/>
    <m/>
    <m/>
    <x v="4"/>
    <m/>
    <m/>
    <m/>
  </r>
  <r>
    <n v="1093"/>
    <x v="68"/>
    <x v="3"/>
    <x v="3"/>
    <x v="3"/>
    <n v="1430"/>
    <m/>
    <m/>
    <x v="4"/>
    <m/>
    <m/>
    <m/>
  </r>
  <r>
    <n v="1077"/>
    <x v="69"/>
    <x v="5"/>
    <x v="5"/>
    <x v="1"/>
    <n v="1110"/>
    <m/>
    <m/>
    <x v="4"/>
    <m/>
    <m/>
    <m/>
  </r>
  <r>
    <n v="1113"/>
    <x v="70"/>
    <x v="8"/>
    <x v="8"/>
    <x v="3"/>
    <n v="780"/>
    <m/>
    <m/>
    <x v="4"/>
    <m/>
    <m/>
    <m/>
  </r>
  <r>
    <n v="1114"/>
    <x v="71"/>
    <x v="4"/>
    <x v="4"/>
    <x v="2"/>
    <n v="3910"/>
    <m/>
    <m/>
    <x v="4"/>
    <m/>
    <m/>
    <m/>
  </r>
  <r>
    <n v="1109"/>
    <x v="72"/>
    <x v="3"/>
    <x v="3"/>
    <x v="3"/>
    <n v="1430"/>
    <m/>
    <m/>
    <x v="4"/>
    <m/>
    <m/>
    <m/>
  </r>
  <r>
    <n v="1112"/>
    <x v="73"/>
    <x v="2"/>
    <x v="2"/>
    <x v="2"/>
    <n v="4070"/>
    <m/>
    <m/>
    <x v="4"/>
    <m/>
    <m/>
    <m/>
  </r>
  <r>
    <n v="1118"/>
    <x v="73"/>
    <x v="1"/>
    <x v="1"/>
    <x v="1"/>
    <n v="880"/>
    <m/>
    <m/>
    <x v="4"/>
    <m/>
    <m/>
    <m/>
  </r>
  <r>
    <n v="1121"/>
    <x v="73"/>
    <x v="7"/>
    <x v="7"/>
    <x v="0"/>
    <n v="11010"/>
    <m/>
    <m/>
    <x v="4"/>
    <m/>
    <m/>
    <m/>
  </r>
  <r>
    <n v="1103"/>
    <x v="74"/>
    <x v="8"/>
    <x v="8"/>
    <x v="3"/>
    <n v="780"/>
    <m/>
    <m/>
    <x v="4"/>
    <m/>
    <m/>
    <m/>
  </r>
  <r>
    <n v="1106"/>
    <x v="75"/>
    <x v="2"/>
    <x v="2"/>
    <x v="2"/>
    <n v="4070"/>
    <m/>
    <m/>
    <x v="4"/>
    <m/>
    <m/>
    <m/>
  </r>
  <r>
    <n v="1104"/>
    <x v="76"/>
    <x v="5"/>
    <x v="5"/>
    <x v="1"/>
    <n v="1110"/>
    <m/>
    <m/>
    <x v="4"/>
    <m/>
    <m/>
    <m/>
  </r>
  <r>
    <n v="1116"/>
    <x v="76"/>
    <x v="7"/>
    <x v="7"/>
    <x v="0"/>
    <n v="11010"/>
    <m/>
    <m/>
    <x v="4"/>
    <m/>
    <m/>
    <m/>
  </r>
  <r>
    <n v="1111"/>
    <x v="77"/>
    <x v="4"/>
    <x v="4"/>
    <x v="2"/>
    <n v="3910"/>
    <m/>
    <m/>
    <x v="4"/>
    <m/>
    <m/>
    <m/>
  </r>
  <r>
    <n v="1122"/>
    <x v="78"/>
    <x v="4"/>
    <x v="4"/>
    <x v="2"/>
    <n v="3910"/>
    <m/>
    <m/>
    <x v="4"/>
    <m/>
    <m/>
    <m/>
  </r>
  <r>
    <n v="1120"/>
    <x v="79"/>
    <x v="7"/>
    <x v="7"/>
    <x v="0"/>
    <n v="11010"/>
    <m/>
    <m/>
    <x v="4"/>
    <m/>
    <m/>
    <m/>
  </r>
  <r>
    <n v="1110"/>
    <x v="80"/>
    <x v="8"/>
    <x v="8"/>
    <x v="3"/>
    <n v="780"/>
    <m/>
    <m/>
    <x v="4"/>
    <m/>
    <m/>
    <m/>
  </r>
  <r>
    <n v="1107"/>
    <x v="81"/>
    <x v="7"/>
    <x v="7"/>
    <x v="0"/>
    <n v="11010"/>
    <m/>
    <m/>
    <x v="4"/>
    <m/>
    <m/>
    <m/>
  </r>
  <r>
    <n v="1105"/>
    <x v="82"/>
    <x v="0"/>
    <x v="0"/>
    <x v="0"/>
    <n v="6750"/>
    <m/>
    <m/>
    <x v="4"/>
    <m/>
    <m/>
    <m/>
  </r>
  <r>
    <n v="1117"/>
    <x v="83"/>
    <x v="4"/>
    <x v="4"/>
    <x v="2"/>
    <n v="3910"/>
    <m/>
    <m/>
    <x v="4"/>
    <m/>
    <m/>
    <m/>
  </r>
  <r>
    <n v="1119"/>
    <x v="84"/>
    <x v="2"/>
    <x v="2"/>
    <x v="2"/>
    <n v="4070"/>
    <m/>
    <m/>
    <x v="4"/>
    <m/>
    <m/>
    <m/>
  </r>
  <r>
    <n v="1115"/>
    <x v="85"/>
    <x v="4"/>
    <x v="4"/>
    <x v="2"/>
    <n v="3910"/>
    <m/>
    <m/>
    <x v="4"/>
    <m/>
    <m/>
    <m/>
  </r>
  <r>
    <n v="1108"/>
    <x v="86"/>
    <x v="1"/>
    <x v="1"/>
    <x v="1"/>
    <n v="880"/>
    <m/>
    <m/>
    <x v="4"/>
    <m/>
    <m/>
    <m/>
  </r>
  <r>
    <n v="1147"/>
    <x v="87"/>
    <x v="2"/>
    <x v="2"/>
    <x v="2"/>
    <n v="4070"/>
    <m/>
    <m/>
    <x v="4"/>
    <m/>
    <m/>
    <m/>
  </r>
  <r>
    <n v="1132"/>
    <x v="88"/>
    <x v="1"/>
    <x v="1"/>
    <x v="1"/>
    <n v="880"/>
    <m/>
    <m/>
    <x v="4"/>
    <m/>
    <m/>
    <m/>
  </r>
  <r>
    <n v="1139"/>
    <x v="89"/>
    <x v="7"/>
    <x v="7"/>
    <x v="0"/>
    <n v="11010"/>
    <m/>
    <m/>
    <x v="4"/>
    <m/>
    <m/>
    <m/>
  </r>
  <r>
    <n v="1126"/>
    <x v="90"/>
    <x v="0"/>
    <x v="0"/>
    <x v="0"/>
    <n v="6750"/>
    <m/>
    <m/>
    <x v="4"/>
    <m/>
    <m/>
    <m/>
  </r>
  <r>
    <n v="1133"/>
    <x v="90"/>
    <x v="3"/>
    <x v="3"/>
    <x v="3"/>
    <n v="1430"/>
    <m/>
    <m/>
    <x v="4"/>
    <m/>
    <m/>
    <m/>
  </r>
  <r>
    <n v="1141"/>
    <x v="90"/>
    <x v="1"/>
    <x v="1"/>
    <x v="1"/>
    <n v="880"/>
    <m/>
    <m/>
    <x v="4"/>
    <m/>
    <m/>
    <m/>
  </r>
  <r>
    <n v="1131"/>
    <x v="91"/>
    <x v="3"/>
    <x v="3"/>
    <x v="3"/>
    <n v="1430"/>
    <m/>
    <m/>
    <x v="4"/>
    <m/>
    <m/>
    <m/>
  </r>
  <r>
    <n v="1137"/>
    <x v="92"/>
    <x v="5"/>
    <x v="5"/>
    <x v="1"/>
    <n v="1110"/>
    <m/>
    <m/>
    <x v="4"/>
    <m/>
    <m/>
    <m/>
  </r>
  <r>
    <n v="1140"/>
    <x v="93"/>
    <x v="0"/>
    <x v="0"/>
    <x v="0"/>
    <n v="6750"/>
    <m/>
    <m/>
    <x v="4"/>
    <m/>
    <m/>
    <m/>
  </r>
  <r>
    <n v="1129"/>
    <x v="94"/>
    <x v="2"/>
    <x v="2"/>
    <x v="2"/>
    <n v="4070"/>
    <m/>
    <m/>
    <x v="4"/>
    <m/>
    <m/>
    <m/>
  </r>
  <r>
    <n v="1143"/>
    <x v="95"/>
    <x v="0"/>
    <x v="0"/>
    <x v="0"/>
    <n v="6750"/>
    <m/>
    <m/>
    <x v="4"/>
    <m/>
    <m/>
    <m/>
  </r>
  <r>
    <n v="1144"/>
    <x v="96"/>
    <x v="4"/>
    <x v="4"/>
    <x v="2"/>
    <n v="3910"/>
    <m/>
    <m/>
    <x v="4"/>
    <m/>
    <m/>
    <m/>
  </r>
  <r>
    <n v="1127"/>
    <x v="97"/>
    <x v="8"/>
    <x v="8"/>
    <x v="3"/>
    <n v="780"/>
    <m/>
    <m/>
    <x v="4"/>
    <m/>
    <m/>
    <m/>
  </r>
  <r>
    <n v="1138"/>
    <x v="97"/>
    <x v="7"/>
    <x v="7"/>
    <x v="0"/>
    <n v="11010"/>
    <m/>
    <m/>
    <x v="4"/>
    <m/>
    <m/>
    <m/>
  </r>
  <r>
    <n v="1124"/>
    <x v="98"/>
    <x v="3"/>
    <x v="3"/>
    <x v="3"/>
    <n v="1430"/>
    <m/>
    <m/>
    <x v="4"/>
    <m/>
    <m/>
    <m/>
  </r>
  <r>
    <n v="1134"/>
    <x v="99"/>
    <x v="1"/>
    <x v="1"/>
    <x v="1"/>
    <n v="880"/>
    <m/>
    <m/>
    <x v="4"/>
    <m/>
    <m/>
    <m/>
  </r>
  <r>
    <n v="1125"/>
    <x v="100"/>
    <x v="3"/>
    <x v="3"/>
    <x v="3"/>
    <n v="1430"/>
    <m/>
    <m/>
    <x v="4"/>
    <m/>
    <m/>
    <m/>
  </r>
  <r>
    <n v="1130"/>
    <x v="101"/>
    <x v="6"/>
    <x v="6"/>
    <x v="3"/>
    <n v="7700"/>
    <m/>
    <m/>
    <x v="4"/>
    <m/>
    <m/>
    <m/>
  </r>
  <r>
    <n v="1142"/>
    <x v="101"/>
    <x v="0"/>
    <x v="0"/>
    <x v="0"/>
    <n v="6750"/>
    <m/>
    <m/>
    <x v="4"/>
    <m/>
    <m/>
    <m/>
  </r>
  <r>
    <n v="1146"/>
    <x v="101"/>
    <x v="2"/>
    <x v="2"/>
    <x v="2"/>
    <n v="4070"/>
    <m/>
    <m/>
    <x v="4"/>
    <m/>
    <m/>
    <m/>
  </r>
  <r>
    <n v="1123"/>
    <x v="102"/>
    <x v="1"/>
    <x v="1"/>
    <x v="1"/>
    <n v="880"/>
    <m/>
    <m/>
    <x v="4"/>
    <m/>
    <m/>
    <m/>
  </r>
  <r>
    <n v="1135"/>
    <x v="103"/>
    <x v="5"/>
    <x v="5"/>
    <x v="1"/>
    <n v="1110"/>
    <m/>
    <m/>
    <x v="4"/>
    <m/>
    <m/>
    <m/>
  </r>
  <r>
    <n v="1145"/>
    <x v="103"/>
    <x v="8"/>
    <x v="8"/>
    <x v="3"/>
    <n v="780"/>
    <m/>
    <m/>
    <x v="4"/>
    <m/>
    <m/>
    <m/>
  </r>
  <r>
    <n v="1148"/>
    <x v="104"/>
    <x v="7"/>
    <x v="7"/>
    <x v="0"/>
    <n v="11010"/>
    <m/>
    <m/>
    <x v="4"/>
    <m/>
    <m/>
    <m/>
  </r>
  <r>
    <n v="1128"/>
    <x v="105"/>
    <x v="5"/>
    <x v="5"/>
    <x v="1"/>
    <n v="1110"/>
    <m/>
    <m/>
    <x v="4"/>
    <m/>
    <m/>
    <m/>
  </r>
  <r>
    <n v="1136"/>
    <x v="105"/>
    <x v="1"/>
    <x v="1"/>
    <x v="1"/>
    <n v="880"/>
    <m/>
    <m/>
    <x v="4"/>
    <m/>
    <m/>
    <m/>
  </r>
  <r>
    <n v="1155"/>
    <x v="106"/>
    <x v="5"/>
    <x v="5"/>
    <x v="1"/>
    <n v="1110"/>
    <m/>
    <m/>
    <x v="4"/>
    <m/>
    <m/>
    <m/>
  </r>
  <r>
    <n v="1168"/>
    <x v="107"/>
    <x v="2"/>
    <x v="2"/>
    <x v="2"/>
    <n v="4070"/>
    <m/>
    <m/>
    <x v="4"/>
    <m/>
    <m/>
    <m/>
  </r>
  <r>
    <n v="1166"/>
    <x v="108"/>
    <x v="6"/>
    <x v="6"/>
    <x v="3"/>
    <n v="7700"/>
    <m/>
    <m/>
    <x v="4"/>
    <m/>
    <m/>
    <m/>
  </r>
  <r>
    <n v="1156"/>
    <x v="109"/>
    <x v="2"/>
    <x v="2"/>
    <x v="2"/>
    <n v="4070"/>
    <m/>
    <m/>
    <x v="4"/>
    <m/>
    <m/>
    <m/>
  </r>
  <r>
    <n v="1178"/>
    <x v="110"/>
    <x v="7"/>
    <x v="7"/>
    <x v="0"/>
    <n v="11010"/>
    <m/>
    <m/>
    <x v="4"/>
    <m/>
    <m/>
    <m/>
  </r>
  <r>
    <n v="1149"/>
    <x v="111"/>
    <x v="5"/>
    <x v="5"/>
    <x v="1"/>
    <n v="1110"/>
    <m/>
    <m/>
    <x v="4"/>
    <m/>
    <m/>
    <m/>
  </r>
  <r>
    <n v="1158"/>
    <x v="111"/>
    <x v="7"/>
    <x v="7"/>
    <x v="0"/>
    <n v="11010"/>
    <m/>
    <m/>
    <x v="4"/>
    <m/>
    <m/>
    <m/>
  </r>
  <r>
    <n v="1175"/>
    <x v="111"/>
    <x v="1"/>
    <x v="1"/>
    <x v="1"/>
    <n v="880"/>
    <m/>
    <m/>
    <x v="4"/>
    <m/>
    <m/>
    <m/>
  </r>
  <r>
    <n v="1150"/>
    <x v="112"/>
    <x v="5"/>
    <x v="5"/>
    <x v="1"/>
    <n v="1110"/>
    <m/>
    <m/>
    <x v="4"/>
    <m/>
    <m/>
    <m/>
  </r>
  <r>
    <n v="1154"/>
    <x v="113"/>
    <x v="3"/>
    <x v="3"/>
    <x v="3"/>
    <n v="1430"/>
    <m/>
    <m/>
    <x v="4"/>
    <m/>
    <m/>
    <m/>
  </r>
  <r>
    <n v="1174"/>
    <x v="113"/>
    <x v="5"/>
    <x v="5"/>
    <x v="1"/>
    <n v="1110"/>
    <m/>
    <m/>
    <x v="4"/>
    <m/>
    <m/>
    <m/>
  </r>
  <r>
    <n v="1163"/>
    <x v="114"/>
    <x v="0"/>
    <x v="0"/>
    <x v="0"/>
    <n v="6750"/>
    <m/>
    <m/>
    <x v="4"/>
    <m/>
    <m/>
    <m/>
  </r>
  <r>
    <n v="1171"/>
    <x v="115"/>
    <x v="4"/>
    <x v="4"/>
    <x v="2"/>
    <n v="3910"/>
    <m/>
    <m/>
    <x v="4"/>
    <m/>
    <m/>
    <m/>
  </r>
  <r>
    <n v="1152"/>
    <x v="116"/>
    <x v="6"/>
    <x v="6"/>
    <x v="3"/>
    <n v="7700"/>
    <m/>
    <m/>
    <x v="4"/>
    <m/>
    <m/>
    <m/>
  </r>
  <r>
    <n v="1170"/>
    <x v="116"/>
    <x v="8"/>
    <x v="8"/>
    <x v="3"/>
    <n v="780"/>
    <m/>
    <m/>
    <x v="4"/>
    <m/>
    <m/>
    <m/>
  </r>
  <r>
    <n v="1153"/>
    <x v="117"/>
    <x v="2"/>
    <x v="2"/>
    <x v="2"/>
    <n v="4070"/>
    <m/>
    <m/>
    <x v="4"/>
    <m/>
    <m/>
    <m/>
  </r>
  <r>
    <n v="1162"/>
    <x v="118"/>
    <x v="0"/>
    <x v="0"/>
    <x v="0"/>
    <n v="6750"/>
    <m/>
    <m/>
    <x v="4"/>
    <m/>
    <m/>
    <m/>
  </r>
  <r>
    <n v="1165"/>
    <x v="118"/>
    <x v="4"/>
    <x v="4"/>
    <x v="2"/>
    <n v="3910"/>
    <m/>
    <m/>
    <x v="4"/>
    <m/>
    <m/>
    <m/>
  </r>
  <r>
    <n v="1160"/>
    <x v="119"/>
    <x v="4"/>
    <x v="4"/>
    <x v="2"/>
    <n v="3910"/>
    <m/>
    <m/>
    <x v="4"/>
    <m/>
    <m/>
    <m/>
  </r>
  <r>
    <n v="1167"/>
    <x v="120"/>
    <x v="7"/>
    <x v="7"/>
    <x v="0"/>
    <n v="11010"/>
    <m/>
    <m/>
    <x v="4"/>
    <m/>
    <m/>
    <m/>
  </r>
  <r>
    <n v="1164"/>
    <x v="121"/>
    <x v="0"/>
    <x v="0"/>
    <x v="0"/>
    <n v="6750"/>
    <m/>
    <m/>
    <x v="4"/>
    <m/>
    <m/>
    <m/>
  </r>
  <r>
    <n v="1159"/>
    <x v="122"/>
    <x v="5"/>
    <x v="5"/>
    <x v="1"/>
    <n v="1110"/>
    <m/>
    <m/>
    <x v="4"/>
    <m/>
    <m/>
    <m/>
  </r>
  <r>
    <n v="1157"/>
    <x v="123"/>
    <x v="4"/>
    <x v="4"/>
    <x v="2"/>
    <n v="3910"/>
    <m/>
    <m/>
    <x v="4"/>
    <m/>
    <m/>
    <m/>
  </r>
  <r>
    <n v="1151"/>
    <x v="124"/>
    <x v="2"/>
    <x v="2"/>
    <x v="2"/>
    <n v="4070"/>
    <m/>
    <m/>
    <x v="4"/>
    <m/>
    <m/>
    <m/>
  </r>
  <r>
    <n v="1172"/>
    <x v="124"/>
    <x v="8"/>
    <x v="8"/>
    <x v="3"/>
    <n v="780"/>
    <m/>
    <m/>
    <x v="4"/>
    <m/>
    <m/>
    <m/>
  </r>
  <r>
    <n v="1176"/>
    <x v="124"/>
    <x v="5"/>
    <x v="5"/>
    <x v="1"/>
    <n v="1110"/>
    <m/>
    <m/>
    <x v="4"/>
    <m/>
    <m/>
    <m/>
  </r>
  <r>
    <n v="1177"/>
    <x v="124"/>
    <x v="4"/>
    <x v="4"/>
    <x v="2"/>
    <n v="3910"/>
    <m/>
    <m/>
    <x v="4"/>
    <m/>
    <m/>
    <m/>
  </r>
  <r>
    <n v="1169"/>
    <x v="125"/>
    <x v="3"/>
    <x v="3"/>
    <x v="3"/>
    <n v="1430"/>
    <m/>
    <m/>
    <x v="4"/>
    <m/>
    <m/>
    <m/>
  </r>
  <r>
    <n v="1161"/>
    <x v="126"/>
    <x v="8"/>
    <x v="8"/>
    <x v="3"/>
    <n v="780"/>
    <m/>
    <m/>
    <x v="4"/>
    <m/>
    <m/>
    <m/>
  </r>
  <r>
    <n v="1173"/>
    <x v="126"/>
    <x v="3"/>
    <x v="3"/>
    <x v="3"/>
    <n v="1430"/>
    <m/>
    <m/>
    <x v="4"/>
    <m/>
    <m/>
    <m/>
  </r>
  <r>
    <n v="1186"/>
    <x v="127"/>
    <x v="5"/>
    <x v="5"/>
    <x v="1"/>
    <n v="1110"/>
    <m/>
    <m/>
    <x v="4"/>
    <m/>
    <m/>
    <m/>
  </r>
  <r>
    <n v="1204"/>
    <x v="127"/>
    <x v="2"/>
    <x v="2"/>
    <x v="2"/>
    <n v="4070"/>
    <m/>
    <m/>
    <x v="4"/>
    <m/>
    <m/>
    <m/>
  </r>
  <r>
    <n v="1203"/>
    <x v="128"/>
    <x v="7"/>
    <x v="7"/>
    <x v="0"/>
    <n v="11010"/>
    <m/>
    <m/>
    <x v="4"/>
    <m/>
    <m/>
    <m/>
  </r>
  <r>
    <n v="1206"/>
    <x v="128"/>
    <x v="3"/>
    <x v="3"/>
    <x v="3"/>
    <n v="1430"/>
    <m/>
    <m/>
    <x v="4"/>
    <m/>
    <m/>
    <m/>
  </r>
  <r>
    <n v="1180"/>
    <x v="129"/>
    <x v="6"/>
    <x v="6"/>
    <x v="3"/>
    <n v="7700"/>
    <m/>
    <m/>
    <x v="4"/>
    <m/>
    <m/>
    <m/>
  </r>
  <r>
    <n v="1181"/>
    <x v="130"/>
    <x v="7"/>
    <x v="7"/>
    <x v="0"/>
    <n v="11010"/>
    <m/>
    <m/>
    <x v="4"/>
    <m/>
    <m/>
    <m/>
  </r>
  <r>
    <n v="1198"/>
    <x v="130"/>
    <x v="1"/>
    <x v="1"/>
    <x v="1"/>
    <n v="880"/>
    <m/>
    <m/>
    <x v="4"/>
    <m/>
    <m/>
    <m/>
  </r>
  <r>
    <n v="1191"/>
    <x v="131"/>
    <x v="5"/>
    <x v="5"/>
    <x v="1"/>
    <n v="1110"/>
    <m/>
    <m/>
    <x v="4"/>
    <m/>
    <m/>
    <m/>
  </r>
  <r>
    <n v="1196"/>
    <x v="131"/>
    <x v="3"/>
    <x v="3"/>
    <x v="3"/>
    <n v="1430"/>
    <m/>
    <m/>
    <x v="4"/>
    <m/>
    <m/>
    <m/>
  </r>
  <r>
    <n v="1197"/>
    <x v="131"/>
    <x v="4"/>
    <x v="4"/>
    <x v="2"/>
    <n v="3910"/>
    <m/>
    <m/>
    <x v="4"/>
    <m/>
    <m/>
    <m/>
  </r>
  <r>
    <n v="1199"/>
    <x v="131"/>
    <x v="8"/>
    <x v="8"/>
    <x v="3"/>
    <n v="780"/>
    <m/>
    <m/>
    <x v="4"/>
    <m/>
    <m/>
    <m/>
  </r>
  <r>
    <n v="1190"/>
    <x v="132"/>
    <x v="2"/>
    <x v="2"/>
    <x v="2"/>
    <n v="4070"/>
    <m/>
    <m/>
    <x v="4"/>
    <m/>
    <m/>
    <m/>
  </r>
  <r>
    <n v="1207"/>
    <x v="133"/>
    <x v="0"/>
    <x v="0"/>
    <x v="0"/>
    <n v="6750"/>
    <m/>
    <m/>
    <x v="4"/>
    <m/>
    <m/>
    <m/>
  </r>
  <r>
    <n v="1179"/>
    <x v="134"/>
    <x v="4"/>
    <x v="4"/>
    <x v="2"/>
    <n v="3910"/>
    <m/>
    <m/>
    <x v="4"/>
    <m/>
    <m/>
    <m/>
  </r>
  <r>
    <n v="1201"/>
    <x v="134"/>
    <x v="7"/>
    <x v="7"/>
    <x v="0"/>
    <n v="11010"/>
    <m/>
    <m/>
    <x v="4"/>
    <m/>
    <m/>
    <m/>
  </r>
  <r>
    <n v="1182"/>
    <x v="135"/>
    <x v="1"/>
    <x v="1"/>
    <x v="1"/>
    <n v="880"/>
    <m/>
    <m/>
    <x v="4"/>
    <m/>
    <m/>
    <m/>
  </r>
  <r>
    <n v="1189"/>
    <x v="135"/>
    <x v="5"/>
    <x v="5"/>
    <x v="1"/>
    <n v="1110"/>
    <m/>
    <m/>
    <x v="4"/>
    <m/>
    <m/>
    <m/>
  </r>
  <r>
    <n v="1188"/>
    <x v="136"/>
    <x v="7"/>
    <x v="7"/>
    <x v="0"/>
    <n v="11010"/>
    <m/>
    <m/>
    <x v="4"/>
    <m/>
    <m/>
    <m/>
  </r>
  <r>
    <n v="1209"/>
    <x v="137"/>
    <x v="7"/>
    <x v="7"/>
    <x v="0"/>
    <n v="11010"/>
    <m/>
    <m/>
    <x v="4"/>
    <m/>
    <m/>
    <m/>
  </r>
  <r>
    <n v="1185"/>
    <x v="138"/>
    <x v="5"/>
    <x v="5"/>
    <x v="1"/>
    <n v="1110"/>
    <m/>
    <m/>
    <x v="4"/>
    <m/>
    <m/>
    <m/>
  </r>
  <r>
    <n v="1187"/>
    <x v="138"/>
    <x v="0"/>
    <x v="0"/>
    <x v="0"/>
    <n v="6750"/>
    <m/>
    <m/>
    <x v="4"/>
    <m/>
    <m/>
    <m/>
  </r>
  <r>
    <n v="1183"/>
    <x v="139"/>
    <x v="3"/>
    <x v="3"/>
    <x v="3"/>
    <n v="1430"/>
    <m/>
    <m/>
    <x v="4"/>
    <m/>
    <m/>
    <m/>
  </r>
  <r>
    <n v="1192"/>
    <x v="139"/>
    <x v="0"/>
    <x v="0"/>
    <x v="0"/>
    <n v="6750"/>
    <m/>
    <m/>
    <x v="4"/>
    <m/>
    <m/>
    <m/>
  </r>
  <r>
    <n v="1193"/>
    <x v="139"/>
    <x v="4"/>
    <x v="4"/>
    <x v="2"/>
    <n v="3910"/>
    <m/>
    <m/>
    <x v="4"/>
    <m/>
    <m/>
    <m/>
  </r>
  <r>
    <n v="1194"/>
    <x v="139"/>
    <x v="0"/>
    <x v="0"/>
    <x v="0"/>
    <n v="6750"/>
    <m/>
    <m/>
    <x v="4"/>
    <m/>
    <m/>
    <m/>
  </r>
  <r>
    <n v="1184"/>
    <x v="140"/>
    <x v="5"/>
    <x v="5"/>
    <x v="1"/>
    <n v="1110"/>
    <m/>
    <m/>
    <x v="4"/>
    <m/>
    <m/>
    <m/>
  </r>
  <r>
    <n v="1195"/>
    <x v="140"/>
    <x v="7"/>
    <x v="7"/>
    <x v="0"/>
    <n v="11010"/>
    <m/>
    <m/>
    <x v="4"/>
    <m/>
    <m/>
    <m/>
  </r>
  <r>
    <n v="1205"/>
    <x v="141"/>
    <x v="6"/>
    <x v="6"/>
    <x v="3"/>
    <n v="7700"/>
    <m/>
    <m/>
    <x v="4"/>
    <m/>
    <m/>
    <m/>
  </r>
  <r>
    <n v="1200"/>
    <x v="142"/>
    <x v="5"/>
    <x v="5"/>
    <x v="1"/>
    <n v="1110"/>
    <m/>
    <m/>
    <x v="4"/>
    <m/>
    <m/>
    <m/>
  </r>
  <r>
    <n v="1208"/>
    <x v="142"/>
    <x v="5"/>
    <x v="5"/>
    <x v="1"/>
    <n v="1110"/>
    <m/>
    <m/>
    <x v="4"/>
    <m/>
    <m/>
    <m/>
  </r>
  <r>
    <n v="1202"/>
    <x v="143"/>
    <x v="4"/>
    <x v="4"/>
    <x v="2"/>
    <n v="3910"/>
    <m/>
    <m/>
    <x v="4"/>
    <m/>
    <m/>
    <m/>
  </r>
  <r>
    <n v="1225"/>
    <x v="144"/>
    <x v="7"/>
    <x v="7"/>
    <x v="0"/>
    <n v="11010"/>
    <m/>
    <m/>
    <x v="4"/>
    <m/>
    <m/>
    <m/>
  </r>
  <r>
    <n v="1215"/>
    <x v="145"/>
    <x v="7"/>
    <x v="7"/>
    <x v="0"/>
    <n v="11010"/>
    <m/>
    <m/>
    <x v="4"/>
    <m/>
    <m/>
    <m/>
  </r>
  <r>
    <n v="1220"/>
    <x v="146"/>
    <x v="7"/>
    <x v="7"/>
    <x v="0"/>
    <n v="11010"/>
    <m/>
    <m/>
    <x v="4"/>
    <m/>
    <m/>
    <m/>
  </r>
  <r>
    <n v="1212"/>
    <x v="147"/>
    <x v="1"/>
    <x v="1"/>
    <x v="1"/>
    <n v="880"/>
    <m/>
    <m/>
    <x v="4"/>
    <m/>
    <m/>
    <m/>
  </r>
  <r>
    <n v="1219"/>
    <x v="147"/>
    <x v="3"/>
    <x v="3"/>
    <x v="3"/>
    <n v="1430"/>
    <m/>
    <m/>
    <x v="4"/>
    <m/>
    <m/>
    <m/>
  </r>
  <r>
    <n v="1210"/>
    <x v="148"/>
    <x v="0"/>
    <x v="0"/>
    <x v="0"/>
    <n v="6750"/>
    <m/>
    <m/>
    <x v="4"/>
    <m/>
    <m/>
    <m/>
  </r>
  <r>
    <n v="1211"/>
    <x v="149"/>
    <x v="3"/>
    <x v="3"/>
    <x v="3"/>
    <n v="1430"/>
    <m/>
    <m/>
    <x v="4"/>
    <m/>
    <m/>
    <m/>
  </r>
  <r>
    <n v="1214"/>
    <x v="149"/>
    <x v="7"/>
    <x v="7"/>
    <x v="0"/>
    <n v="11010"/>
    <m/>
    <m/>
    <x v="4"/>
    <m/>
    <m/>
    <m/>
  </r>
  <r>
    <n v="1224"/>
    <x v="149"/>
    <x v="8"/>
    <x v="8"/>
    <x v="3"/>
    <n v="780"/>
    <m/>
    <m/>
    <x v="4"/>
    <m/>
    <m/>
    <m/>
  </r>
  <r>
    <n v="1221"/>
    <x v="150"/>
    <x v="7"/>
    <x v="7"/>
    <x v="0"/>
    <n v="11010"/>
    <m/>
    <m/>
    <x v="4"/>
    <m/>
    <m/>
    <m/>
  </r>
  <r>
    <n v="1229"/>
    <x v="151"/>
    <x v="2"/>
    <x v="2"/>
    <x v="2"/>
    <n v="4070"/>
    <m/>
    <m/>
    <x v="4"/>
    <m/>
    <m/>
    <m/>
  </r>
  <r>
    <n v="1232"/>
    <x v="151"/>
    <x v="5"/>
    <x v="5"/>
    <x v="1"/>
    <n v="1110"/>
    <m/>
    <m/>
    <x v="4"/>
    <m/>
    <m/>
    <m/>
  </r>
  <r>
    <n v="1231"/>
    <x v="152"/>
    <x v="7"/>
    <x v="7"/>
    <x v="0"/>
    <n v="11010"/>
    <m/>
    <m/>
    <x v="4"/>
    <m/>
    <m/>
    <m/>
  </r>
  <r>
    <n v="1230"/>
    <x v="153"/>
    <x v="6"/>
    <x v="6"/>
    <x v="3"/>
    <n v="7700"/>
    <m/>
    <m/>
    <x v="4"/>
    <m/>
    <m/>
    <m/>
  </r>
  <r>
    <n v="1228"/>
    <x v="154"/>
    <x v="5"/>
    <x v="5"/>
    <x v="1"/>
    <n v="1110"/>
    <m/>
    <m/>
    <x v="4"/>
    <m/>
    <m/>
    <m/>
  </r>
  <r>
    <n v="1217"/>
    <x v="155"/>
    <x v="2"/>
    <x v="2"/>
    <x v="2"/>
    <n v="4070"/>
    <m/>
    <m/>
    <x v="4"/>
    <m/>
    <m/>
    <m/>
  </r>
  <r>
    <n v="1216"/>
    <x v="156"/>
    <x v="7"/>
    <x v="7"/>
    <x v="0"/>
    <n v="11010"/>
    <m/>
    <m/>
    <x v="4"/>
    <m/>
    <m/>
    <m/>
  </r>
  <r>
    <n v="1227"/>
    <x v="156"/>
    <x v="7"/>
    <x v="7"/>
    <x v="0"/>
    <n v="11010"/>
    <m/>
    <m/>
    <x v="4"/>
    <m/>
    <m/>
    <m/>
  </r>
  <r>
    <n v="1222"/>
    <x v="157"/>
    <x v="5"/>
    <x v="5"/>
    <x v="1"/>
    <n v="1110"/>
    <m/>
    <m/>
    <x v="4"/>
    <m/>
    <m/>
    <m/>
  </r>
  <r>
    <n v="1223"/>
    <x v="157"/>
    <x v="2"/>
    <x v="2"/>
    <x v="2"/>
    <n v="4070"/>
    <m/>
    <m/>
    <x v="4"/>
    <m/>
    <m/>
    <m/>
  </r>
  <r>
    <n v="1226"/>
    <x v="158"/>
    <x v="5"/>
    <x v="5"/>
    <x v="1"/>
    <n v="1110"/>
    <m/>
    <m/>
    <x v="4"/>
    <m/>
    <m/>
    <m/>
  </r>
  <r>
    <n v="1213"/>
    <x v="159"/>
    <x v="2"/>
    <x v="2"/>
    <x v="2"/>
    <n v="4070"/>
    <m/>
    <m/>
    <x v="4"/>
    <m/>
    <m/>
    <m/>
  </r>
  <r>
    <n v="1233"/>
    <x v="160"/>
    <x v="4"/>
    <x v="4"/>
    <x v="2"/>
    <n v="3910"/>
    <m/>
    <m/>
    <x v="4"/>
    <m/>
    <m/>
    <m/>
  </r>
  <r>
    <n v="1218"/>
    <x v="161"/>
    <x v="6"/>
    <x v="6"/>
    <x v="3"/>
    <n v="7700"/>
    <m/>
    <m/>
    <x v="4"/>
    <m/>
    <m/>
    <m/>
  </r>
  <r>
    <n v="1273"/>
    <x v="162"/>
    <x v="7"/>
    <x v="7"/>
    <x v="0"/>
    <n v="11010"/>
    <m/>
    <m/>
    <x v="4"/>
    <m/>
    <m/>
    <m/>
  </r>
  <r>
    <n v="1240"/>
    <x v="163"/>
    <x v="1"/>
    <x v="1"/>
    <x v="1"/>
    <n v="880"/>
    <m/>
    <m/>
    <x v="4"/>
    <m/>
    <m/>
    <m/>
  </r>
  <r>
    <n v="1238"/>
    <x v="164"/>
    <x v="5"/>
    <x v="5"/>
    <x v="1"/>
    <n v="1110"/>
    <m/>
    <m/>
    <x v="4"/>
    <m/>
    <m/>
    <m/>
  </r>
  <r>
    <n v="1256"/>
    <x v="164"/>
    <x v="3"/>
    <x v="3"/>
    <x v="3"/>
    <n v="1430"/>
    <m/>
    <m/>
    <x v="4"/>
    <m/>
    <m/>
    <m/>
  </r>
  <r>
    <n v="1255"/>
    <x v="165"/>
    <x v="5"/>
    <x v="5"/>
    <x v="1"/>
    <n v="1110"/>
    <m/>
    <m/>
    <x v="4"/>
    <m/>
    <m/>
    <m/>
  </r>
  <r>
    <n v="1271"/>
    <x v="165"/>
    <x v="5"/>
    <x v="5"/>
    <x v="1"/>
    <n v="1110"/>
    <m/>
    <m/>
    <x v="4"/>
    <m/>
    <m/>
    <m/>
  </r>
  <r>
    <n v="1265"/>
    <x v="166"/>
    <x v="3"/>
    <x v="3"/>
    <x v="3"/>
    <n v="1430"/>
    <m/>
    <m/>
    <x v="4"/>
    <m/>
    <m/>
    <m/>
  </r>
  <r>
    <n v="1269"/>
    <x v="166"/>
    <x v="6"/>
    <x v="6"/>
    <x v="3"/>
    <n v="7700"/>
    <m/>
    <m/>
    <x v="4"/>
    <m/>
    <m/>
    <m/>
  </r>
  <r>
    <n v="1236"/>
    <x v="167"/>
    <x v="5"/>
    <x v="5"/>
    <x v="1"/>
    <n v="1110"/>
    <m/>
    <m/>
    <x v="4"/>
    <m/>
    <m/>
    <m/>
  </r>
  <r>
    <n v="1247"/>
    <x v="168"/>
    <x v="4"/>
    <x v="4"/>
    <x v="2"/>
    <n v="3910"/>
    <m/>
    <m/>
    <x v="4"/>
    <m/>
    <m/>
    <m/>
  </r>
  <r>
    <n v="1272"/>
    <x v="168"/>
    <x v="5"/>
    <x v="5"/>
    <x v="1"/>
    <n v="1110"/>
    <m/>
    <m/>
    <x v="4"/>
    <m/>
    <m/>
    <m/>
  </r>
  <r>
    <n v="1239"/>
    <x v="169"/>
    <x v="0"/>
    <x v="0"/>
    <x v="0"/>
    <n v="6750"/>
    <m/>
    <m/>
    <x v="4"/>
    <m/>
    <m/>
    <m/>
  </r>
  <r>
    <n v="1253"/>
    <x v="170"/>
    <x v="2"/>
    <x v="2"/>
    <x v="2"/>
    <n v="4070"/>
    <m/>
    <m/>
    <x v="4"/>
    <m/>
    <m/>
    <m/>
  </r>
  <r>
    <n v="1266"/>
    <x v="170"/>
    <x v="8"/>
    <x v="8"/>
    <x v="3"/>
    <n v="780"/>
    <m/>
    <m/>
    <x v="4"/>
    <m/>
    <m/>
    <m/>
  </r>
  <r>
    <n v="1235"/>
    <x v="171"/>
    <x v="0"/>
    <x v="0"/>
    <x v="0"/>
    <n v="6750"/>
    <m/>
    <m/>
    <x v="4"/>
    <m/>
    <m/>
    <m/>
  </r>
  <r>
    <n v="1267"/>
    <x v="171"/>
    <x v="7"/>
    <x v="7"/>
    <x v="0"/>
    <n v="11010"/>
    <m/>
    <m/>
    <x v="4"/>
    <m/>
    <m/>
    <m/>
  </r>
  <r>
    <n v="1252"/>
    <x v="172"/>
    <x v="0"/>
    <x v="0"/>
    <x v="0"/>
    <n v="6750"/>
    <m/>
    <m/>
    <x v="4"/>
    <m/>
    <m/>
    <m/>
  </r>
  <r>
    <n v="1234"/>
    <x v="173"/>
    <x v="1"/>
    <x v="1"/>
    <x v="1"/>
    <n v="880"/>
    <m/>
    <m/>
    <x v="4"/>
    <m/>
    <m/>
    <m/>
  </r>
  <r>
    <n v="1243"/>
    <x v="173"/>
    <x v="1"/>
    <x v="1"/>
    <x v="1"/>
    <n v="880"/>
    <m/>
    <m/>
    <x v="4"/>
    <m/>
    <m/>
    <m/>
  </r>
  <r>
    <n v="1257"/>
    <x v="173"/>
    <x v="8"/>
    <x v="8"/>
    <x v="3"/>
    <n v="780"/>
    <m/>
    <m/>
    <x v="4"/>
    <m/>
    <m/>
    <m/>
  </r>
  <r>
    <n v="1264"/>
    <x v="173"/>
    <x v="0"/>
    <x v="0"/>
    <x v="0"/>
    <n v="6750"/>
    <m/>
    <m/>
    <x v="4"/>
    <m/>
    <m/>
    <m/>
  </r>
  <r>
    <n v="1244"/>
    <x v="174"/>
    <x v="5"/>
    <x v="5"/>
    <x v="1"/>
    <n v="1110"/>
    <m/>
    <m/>
    <x v="4"/>
    <m/>
    <m/>
    <m/>
  </r>
  <r>
    <n v="1268"/>
    <x v="175"/>
    <x v="6"/>
    <x v="6"/>
    <x v="3"/>
    <n v="7700"/>
    <m/>
    <m/>
    <x v="4"/>
    <m/>
    <m/>
    <m/>
  </r>
  <r>
    <n v="1249"/>
    <x v="176"/>
    <x v="6"/>
    <x v="6"/>
    <x v="3"/>
    <n v="7700"/>
    <m/>
    <m/>
    <x v="4"/>
    <m/>
    <m/>
    <m/>
  </r>
  <r>
    <n v="1250"/>
    <x v="176"/>
    <x v="4"/>
    <x v="4"/>
    <x v="2"/>
    <n v="3910"/>
    <m/>
    <m/>
    <x v="4"/>
    <m/>
    <m/>
    <m/>
  </r>
  <r>
    <n v="1274"/>
    <x v="176"/>
    <x v="7"/>
    <x v="7"/>
    <x v="0"/>
    <n v="11010"/>
    <m/>
    <m/>
    <x v="4"/>
    <m/>
    <m/>
    <m/>
  </r>
  <r>
    <n v="1262"/>
    <x v="177"/>
    <x v="1"/>
    <x v="1"/>
    <x v="1"/>
    <n v="880"/>
    <m/>
    <m/>
    <x v="4"/>
    <m/>
    <m/>
    <m/>
  </r>
  <r>
    <n v="1254"/>
    <x v="178"/>
    <x v="2"/>
    <x v="2"/>
    <x v="2"/>
    <n v="4070"/>
    <m/>
    <m/>
    <x v="4"/>
    <m/>
    <m/>
    <m/>
  </r>
  <r>
    <n v="1263"/>
    <x v="178"/>
    <x v="0"/>
    <x v="0"/>
    <x v="0"/>
    <n v="6750"/>
    <m/>
    <m/>
    <x v="4"/>
    <m/>
    <m/>
    <m/>
  </r>
  <r>
    <n v="1270"/>
    <x v="178"/>
    <x v="2"/>
    <x v="2"/>
    <x v="2"/>
    <n v="4070"/>
    <m/>
    <m/>
    <x v="4"/>
    <m/>
    <m/>
    <m/>
  </r>
  <r>
    <n v="1259"/>
    <x v="179"/>
    <x v="4"/>
    <x v="4"/>
    <x v="2"/>
    <n v="3910"/>
    <m/>
    <m/>
    <x v="4"/>
    <m/>
    <m/>
    <m/>
  </r>
  <r>
    <n v="1261"/>
    <x v="179"/>
    <x v="4"/>
    <x v="4"/>
    <x v="2"/>
    <n v="3910"/>
    <m/>
    <m/>
    <x v="4"/>
    <m/>
    <m/>
    <m/>
  </r>
  <r>
    <n v="1246"/>
    <x v="180"/>
    <x v="3"/>
    <x v="3"/>
    <x v="3"/>
    <n v="1430"/>
    <m/>
    <m/>
    <x v="4"/>
    <m/>
    <m/>
    <m/>
  </r>
  <r>
    <n v="1258"/>
    <x v="181"/>
    <x v="3"/>
    <x v="3"/>
    <x v="3"/>
    <n v="1430"/>
    <m/>
    <m/>
    <x v="4"/>
    <m/>
    <m/>
    <m/>
  </r>
  <r>
    <n v="1248"/>
    <x v="182"/>
    <x v="7"/>
    <x v="7"/>
    <x v="0"/>
    <n v="11010"/>
    <m/>
    <m/>
    <x v="4"/>
    <m/>
    <m/>
    <m/>
  </r>
  <r>
    <n v="1251"/>
    <x v="183"/>
    <x v="5"/>
    <x v="5"/>
    <x v="1"/>
    <n v="1110"/>
    <m/>
    <m/>
    <x v="4"/>
    <m/>
    <m/>
    <m/>
  </r>
  <r>
    <n v="1260"/>
    <x v="183"/>
    <x v="3"/>
    <x v="3"/>
    <x v="3"/>
    <n v="1430"/>
    <m/>
    <m/>
    <x v="4"/>
    <m/>
    <m/>
    <m/>
  </r>
  <r>
    <n v="1237"/>
    <x v="184"/>
    <x v="1"/>
    <x v="1"/>
    <x v="1"/>
    <n v="880"/>
    <m/>
    <m/>
    <x v="4"/>
    <m/>
    <m/>
    <m/>
  </r>
  <r>
    <n v="1242"/>
    <x v="184"/>
    <x v="6"/>
    <x v="6"/>
    <x v="3"/>
    <n v="7700"/>
    <m/>
    <m/>
    <x v="4"/>
    <m/>
    <m/>
    <m/>
  </r>
  <r>
    <n v="1245"/>
    <x v="184"/>
    <x v="2"/>
    <x v="2"/>
    <x v="2"/>
    <n v="4070"/>
    <m/>
    <m/>
    <x v="4"/>
    <m/>
    <m/>
    <m/>
  </r>
  <r>
    <n v="1241"/>
    <x v="185"/>
    <x v="3"/>
    <x v="3"/>
    <x v="3"/>
    <n v="1430"/>
    <m/>
    <m/>
    <x v="4"/>
    <m/>
    <m/>
    <m/>
  </r>
  <r>
    <n v="1279"/>
    <x v="186"/>
    <x v="7"/>
    <x v="7"/>
    <x v="0"/>
    <n v="11010"/>
    <m/>
    <m/>
    <x v="4"/>
    <m/>
    <m/>
    <m/>
  </r>
  <r>
    <n v="1297"/>
    <x v="186"/>
    <x v="0"/>
    <x v="0"/>
    <x v="0"/>
    <n v="6750"/>
    <m/>
    <m/>
    <x v="4"/>
    <m/>
    <m/>
    <m/>
  </r>
  <r>
    <n v="1285"/>
    <x v="187"/>
    <x v="7"/>
    <x v="7"/>
    <x v="0"/>
    <n v="11010"/>
    <m/>
    <m/>
    <x v="4"/>
    <m/>
    <m/>
    <m/>
  </r>
  <r>
    <n v="1300"/>
    <x v="187"/>
    <x v="6"/>
    <x v="6"/>
    <x v="3"/>
    <n v="7700"/>
    <m/>
    <m/>
    <x v="4"/>
    <m/>
    <m/>
    <m/>
  </r>
  <r>
    <n v="1298"/>
    <x v="188"/>
    <x v="0"/>
    <x v="0"/>
    <x v="0"/>
    <n v="6750"/>
    <m/>
    <m/>
    <x v="4"/>
    <m/>
    <m/>
    <m/>
  </r>
  <r>
    <n v="1310"/>
    <x v="188"/>
    <x v="3"/>
    <x v="3"/>
    <x v="3"/>
    <n v="1430"/>
    <m/>
    <m/>
    <x v="4"/>
    <m/>
    <m/>
    <m/>
  </r>
  <r>
    <n v="1301"/>
    <x v="189"/>
    <x v="5"/>
    <x v="5"/>
    <x v="1"/>
    <n v="1110"/>
    <m/>
    <m/>
    <x v="4"/>
    <m/>
    <m/>
    <m/>
  </r>
  <r>
    <n v="1292"/>
    <x v="190"/>
    <x v="5"/>
    <x v="5"/>
    <x v="1"/>
    <n v="1110"/>
    <m/>
    <m/>
    <x v="4"/>
    <m/>
    <m/>
    <m/>
  </r>
  <r>
    <n v="1287"/>
    <x v="191"/>
    <x v="4"/>
    <x v="4"/>
    <x v="2"/>
    <n v="3910"/>
    <m/>
    <m/>
    <x v="4"/>
    <m/>
    <m/>
    <m/>
  </r>
  <r>
    <n v="1306"/>
    <x v="192"/>
    <x v="8"/>
    <x v="8"/>
    <x v="3"/>
    <n v="780"/>
    <m/>
    <m/>
    <x v="4"/>
    <m/>
    <m/>
    <m/>
  </r>
  <r>
    <n v="1294"/>
    <x v="193"/>
    <x v="2"/>
    <x v="2"/>
    <x v="2"/>
    <n v="4070"/>
    <m/>
    <m/>
    <x v="4"/>
    <m/>
    <m/>
    <m/>
  </r>
  <r>
    <n v="1309"/>
    <x v="193"/>
    <x v="8"/>
    <x v="8"/>
    <x v="3"/>
    <n v="780"/>
    <m/>
    <m/>
    <x v="4"/>
    <m/>
    <m/>
    <m/>
  </r>
  <r>
    <n v="1293"/>
    <x v="194"/>
    <x v="2"/>
    <x v="2"/>
    <x v="2"/>
    <n v="4070"/>
    <m/>
    <m/>
    <x v="4"/>
    <m/>
    <m/>
    <m/>
  </r>
  <r>
    <n v="1296"/>
    <x v="194"/>
    <x v="2"/>
    <x v="2"/>
    <x v="2"/>
    <n v="4070"/>
    <m/>
    <m/>
    <x v="4"/>
    <m/>
    <m/>
    <m/>
  </r>
  <r>
    <n v="1308"/>
    <x v="194"/>
    <x v="3"/>
    <x v="3"/>
    <x v="3"/>
    <n v="1430"/>
    <m/>
    <m/>
    <x v="4"/>
    <m/>
    <m/>
    <m/>
  </r>
  <r>
    <n v="1278"/>
    <x v="195"/>
    <x v="3"/>
    <x v="3"/>
    <x v="3"/>
    <n v="1430"/>
    <m/>
    <m/>
    <x v="4"/>
    <m/>
    <m/>
    <m/>
  </r>
  <r>
    <n v="1302"/>
    <x v="195"/>
    <x v="1"/>
    <x v="1"/>
    <x v="1"/>
    <n v="880"/>
    <m/>
    <m/>
    <x v="4"/>
    <m/>
    <m/>
    <m/>
  </r>
  <r>
    <n v="1299"/>
    <x v="196"/>
    <x v="7"/>
    <x v="7"/>
    <x v="0"/>
    <n v="11010"/>
    <m/>
    <m/>
    <x v="4"/>
    <m/>
    <m/>
    <m/>
  </r>
  <r>
    <n v="1305"/>
    <x v="196"/>
    <x v="5"/>
    <x v="5"/>
    <x v="1"/>
    <n v="1110"/>
    <m/>
    <m/>
    <x v="4"/>
    <m/>
    <m/>
    <m/>
  </r>
  <r>
    <n v="1276"/>
    <x v="197"/>
    <x v="2"/>
    <x v="2"/>
    <x v="2"/>
    <n v="4070"/>
    <m/>
    <m/>
    <x v="4"/>
    <m/>
    <m/>
    <m/>
  </r>
  <r>
    <n v="1275"/>
    <x v="198"/>
    <x v="5"/>
    <x v="5"/>
    <x v="1"/>
    <n v="1110"/>
    <m/>
    <m/>
    <x v="4"/>
    <m/>
    <m/>
    <m/>
  </r>
  <r>
    <n v="1280"/>
    <x v="198"/>
    <x v="7"/>
    <x v="7"/>
    <x v="0"/>
    <n v="11010"/>
    <m/>
    <m/>
    <x v="4"/>
    <m/>
    <m/>
    <m/>
  </r>
  <r>
    <n v="1282"/>
    <x v="199"/>
    <x v="4"/>
    <x v="4"/>
    <x v="2"/>
    <n v="3910"/>
    <m/>
    <m/>
    <x v="4"/>
    <m/>
    <m/>
    <m/>
  </r>
  <r>
    <n v="1284"/>
    <x v="199"/>
    <x v="3"/>
    <x v="3"/>
    <x v="3"/>
    <n v="1430"/>
    <m/>
    <m/>
    <x v="4"/>
    <m/>
    <m/>
    <m/>
  </r>
  <r>
    <n v="1304"/>
    <x v="199"/>
    <x v="6"/>
    <x v="6"/>
    <x v="3"/>
    <n v="7700"/>
    <m/>
    <m/>
    <x v="4"/>
    <m/>
    <m/>
    <m/>
  </r>
  <r>
    <n v="1295"/>
    <x v="200"/>
    <x v="5"/>
    <x v="5"/>
    <x v="1"/>
    <n v="1110"/>
    <m/>
    <m/>
    <x v="4"/>
    <m/>
    <m/>
    <m/>
  </r>
  <r>
    <n v="1303"/>
    <x v="201"/>
    <x v="4"/>
    <x v="4"/>
    <x v="2"/>
    <n v="3910"/>
    <m/>
    <m/>
    <x v="4"/>
    <m/>
    <m/>
    <m/>
  </r>
  <r>
    <n v="1281"/>
    <x v="202"/>
    <x v="5"/>
    <x v="5"/>
    <x v="1"/>
    <n v="1110"/>
    <m/>
    <m/>
    <x v="4"/>
    <m/>
    <m/>
    <m/>
  </r>
  <r>
    <n v="1283"/>
    <x v="202"/>
    <x v="7"/>
    <x v="7"/>
    <x v="0"/>
    <n v="11010"/>
    <m/>
    <m/>
    <x v="4"/>
    <m/>
    <m/>
    <m/>
  </r>
  <r>
    <n v="1291"/>
    <x v="203"/>
    <x v="7"/>
    <x v="7"/>
    <x v="0"/>
    <n v="11010"/>
    <m/>
    <m/>
    <x v="4"/>
    <m/>
    <m/>
    <m/>
  </r>
  <r>
    <n v="1277"/>
    <x v="204"/>
    <x v="0"/>
    <x v="0"/>
    <x v="0"/>
    <n v="6750"/>
    <m/>
    <m/>
    <x v="4"/>
    <m/>
    <m/>
    <m/>
  </r>
  <r>
    <n v="1307"/>
    <x v="204"/>
    <x v="5"/>
    <x v="5"/>
    <x v="1"/>
    <n v="1110"/>
    <m/>
    <m/>
    <x v="4"/>
    <m/>
    <m/>
    <m/>
  </r>
  <r>
    <n v="1288"/>
    <x v="205"/>
    <x v="6"/>
    <x v="6"/>
    <x v="3"/>
    <n v="7700"/>
    <m/>
    <m/>
    <x v="4"/>
    <m/>
    <m/>
    <m/>
  </r>
  <r>
    <n v="1286"/>
    <x v="206"/>
    <x v="6"/>
    <x v="6"/>
    <x v="3"/>
    <n v="7700"/>
    <m/>
    <m/>
    <x v="4"/>
    <m/>
    <m/>
    <m/>
  </r>
  <r>
    <n v="1289"/>
    <x v="206"/>
    <x v="1"/>
    <x v="1"/>
    <x v="1"/>
    <n v="880"/>
    <m/>
    <m/>
    <x v="4"/>
    <m/>
    <m/>
    <m/>
  </r>
  <r>
    <n v="1290"/>
    <x v="206"/>
    <x v="6"/>
    <x v="6"/>
    <x v="3"/>
    <n v="7700"/>
    <m/>
    <m/>
    <x v="4"/>
    <m/>
    <m/>
    <m/>
  </r>
  <r>
    <n v="1322"/>
    <x v="207"/>
    <x v="1"/>
    <x v="1"/>
    <x v="1"/>
    <n v="880"/>
    <m/>
    <m/>
    <x v="4"/>
    <m/>
    <m/>
    <m/>
  </r>
  <r>
    <n v="1326"/>
    <x v="207"/>
    <x v="2"/>
    <x v="2"/>
    <x v="2"/>
    <n v="4070"/>
    <m/>
    <m/>
    <x v="4"/>
    <m/>
    <m/>
    <m/>
  </r>
  <r>
    <n v="1328"/>
    <x v="208"/>
    <x v="4"/>
    <x v="4"/>
    <x v="2"/>
    <n v="3910"/>
    <m/>
    <m/>
    <x v="4"/>
    <m/>
    <m/>
    <m/>
  </r>
  <r>
    <n v="1318"/>
    <x v="209"/>
    <x v="4"/>
    <x v="4"/>
    <x v="2"/>
    <n v="3910"/>
    <m/>
    <m/>
    <x v="4"/>
    <m/>
    <m/>
    <m/>
  </r>
  <r>
    <n v="1311"/>
    <x v="210"/>
    <x v="8"/>
    <x v="8"/>
    <x v="3"/>
    <n v="780"/>
    <m/>
    <m/>
    <x v="4"/>
    <m/>
    <m/>
    <m/>
  </r>
  <r>
    <n v="1315"/>
    <x v="211"/>
    <x v="6"/>
    <x v="6"/>
    <x v="3"/>
    <n v="7700"/>
    <m/>
    <m/>
    <x v="4"/>
    <m/>
    <m/>
    <m/>
  </r>
  <r>
    <n v="1313"/>
    <x v="212"/>
    <x v="0"/>
    <x v="0"/>
    <x v="0"/>
    <n v="6750"/>
    <m/>
    <m/>
    <x v="4"/>
    <m/>
    <m/>
    <m/>
  </r>
  <r>
    <n v="1336"/>
    <x v="212"/>
    <x v="4"/>
    <x v="4"/>
    <x v="2"/>
    <n v="3910"/>
    <m/>
    <m/>
    <x v="4"/>
    <m/>
    <m/>
    <m/>
  </r>
  <r>
    <n v="1317"/>
    <x v="213"/>
    <x v="6"/>
    <x v="6"/>
    <x v="3"/>
    <n v="7700"/>
    <m/>
    <m/>
    <x v="4"/>
    <m/>
    <m/>
    <m/>
  </r>
  <r>
    <n v="1324"/>
    <x v="214"/>
    <x v="1"/>
    <x v="1"/>
    <x v="1"/>
    <n v="880"/>
    <m/>
    <m/>
    <x v="4"/>
    <m/>
    <m/>
    <m/>
  </r>
  <r>
    <n v="1330"/>
    <x v="215"/>
    <x v="2"/>
    <x v="2"/>
    <x v="2"/>
    <n v="4070"/>
    <m/>
    <m/>
    <x v="4"/>
    <m/>
    <m/>
    <m/>
  </r>
  <r>
    <n v="1329"/>
    <x v="216"/>
    <x v="6"/>
    <x v="6"/>
    <x v="3"/>
    <n v="7700"/>
    <m/>
    <m/>
    <x v="4"/>
    <m/>
    <m/>
    <m/>
  </r>
  <r>
    <n v="1331"/>
    <x v="216"/>
    <x v="5"/>
    <x v="5"/>
    <x v="1"/>
    <n v="1110"/>
    <m/>
    <m/>
    <x v="4"/>
    <m/>
    <m/>
    <m/>
  </r>
  <r>
    <n v="1337"/>
    <x v="217"/>
    <x v="4"/>
    <x v="4"/>
    <x v="2"/>
    <n v="3910"/>
    <m/>
    <m/>
    <x v="4"/>
    <m/>
    <m/>
    <m/>
  </r>
  <r>
    <n v="1319"/>
    <x v="218"/>
    <x v="8"/>
    <x v="8"/>
    <x v="3"/>
    <n v="780"/>
    <m/>
    <m/>
    <x v="4"/>
    <m/>
    <m/>
    <m/>
  </r>
  <r>
    <n v="1320"/>
    <x v="218"/>
    <x v="1"/>
    <x v="1"/>
    <x v="1"/>
    <n v="880"/>
    <m/>
    <m/>
    <x v="4"/>
    <m/>
    <m/>
    <m/>
  </r>
  <r>
    <n v="1335"/>
    <x v="218"/>
    <x v="2"/>
    <x v="2"/>
    <x v="2"/>
    <n v="4070"/>
    <m/>
    <m/>
    <x v="4"/>
    <m/>
    <m/>
    <m/>
  </r>
  <r>
    <n v="1321"/>
    <x v="219"/>
    <x v="5"/>
    <x v="5"/>
    <x v="1"/>
    <n v="1110"/>
    <m/>
    <m/>
    <x v="4"/>
    <m/>
    <m/>
    <m/>
  </r>
  <r>
    <n v="1312"/>
    <x v="220"/>
    <x v="0"/>
    <x v="0"/>
    <x v="0"/>
    <n v="6750"/>
    <m/>
    <m/>
    <x v="4"/>
    <m/>
    <m/>
    <m/>
  </r>
  <r>
    <n v="1334"/>
    <x v="220"/>
    <x v="2"/>
    <x v="2"/>
    <x v="2"/>
    <n v="4070"/>
    <m/>
    <m/>
    <x v="4"/>
    <m/>
    <m/>
    <m/>
  </r>
  <r>
    <n v="1338"/>
    <x v="220"/>
    <x v="3"/>
    <x v="3"/>
    <x v="3"/>
    <n v="1430"/>
    <m/>
    <m/>
    <x v="4"/>
    <m/>
    <m/>
    <m/>
  </r>
  <r>
    <n v="1314"/>
    <x v="221"/>
    <x v="8"/>
    <x v="8"/>
    <x v="3"/>
    <n v="780"/>
    <m/>
    <m/>
    <x v="4"/>
    <m/>
    <m/>
    <m/>
  </r>
  <r>
    <n v="1316"/>
    <x v="221"/>
    <x v="3"/>
    <x v="3"/>
    <x v="3"/>
    <n v="1430"/>
    <m/>
    <m/>
    <x v="4"/>
    <m/>
    <m/>
    <m/>
  </r>
  <r>
    <n v="1325"/>
    <x v="221"/>
    <x v="8"/>
    <x v="8"/>
    <x v="3"/>
    <n v="780"/>
    <m/>
    <m/>
    <x v="4"/>
    <m/>
    <m/>
    <m/>
  </r>
  <r>
    <n v="1332"/>
    <x v="221"/>
    <x v="3"/>
    <x v="3"/>
    <x v="3"/>
    <n v="1430"/>
    <m/>
    <m/>
    <x v="4"/>
    <m/>
    <m/>
    <m/>
  </r>
  <r>
    <n v="1327"/>
    <x v="222"/>
    <x v="5"/>
    <x v="5"/>
    <x v="1"/>
    <n v="1110"/>
    <m/>
    <m/>
    <x v="4"/>
    <m/>
    <m/>
    <m/>
  </r>
  <r>
    <n v="1333"/>
    <x v="222"/>
    <x v="2"/>
    <x v="2"/>
    <x v="2"/>
    <n v="4070"/>
    <m/>
    <m/>
    <x v="4"/>
    <m/>
    <m/>
    <m/>
  </r>
  <r>
    <n v="1323"/>
    <x v="223"/>
    <x v="1"/>
    <x v="1"/>
    <x v="1"/>
    <n v="880"/>
    <m/>
    <m/>
    <x v="4"/>
    <m/>
    <m/>
    <m/>
  </r>
  <r>
    <n v="1340"/>
    <x v="224"/>
    <x v="6"/>
    <x v="6"/>
    <x v="3"/>
    <n v="7700"/>
    <m/>
    <m/>
    <x v="4"/>
    <m/>
    <m/>
    <m/>
  </r>
  <r>
    <n v="1356"/>
    <x v="225"/>
    <x v="8"/>
    <x v="8"/>
    <x v="3"/>
    <n v="780"/>
    <m/>
    <m/>
    <x v="4"/>
    <m/>
    <m/>
    <m/>
  </r>
  <r>
    <n v="1355"/>
    <x v="226"/>
    <x v="3"/>
    <x v="3"/>
    <x v="3"/>
    <n v="1430"/>
    <m/>
    <m/>
    <x v="4"/>
    <m/>
    <m/>
    <m/>
  </r>
  <r>
    <n v="1348"/>
    <x v="227"/>
    <x v="7"/>
    <x v="7"/>
    <x v="0"/>
    <n v="11010"/>
    <m/>
    <m/>
    <x v="4"/>
    <m/>
    <m/>
    <m/>
  </r>
  <r>
    <n v="1352"/>
    <x v="228"/>
    <x v="3"/>
    <x v="3"/>
    <x v="3"/>
    <n v="1430"/>
    <m/>
    <m/>
    <x v="4"/>
    <m/>
    <m/>
    <m/>
  </r>
  <r>
    <n v="1358"/>
    <x v="229"/>
    <x v="5"/>
    <x v="5"/>
    <x v="1"/>
    <n v="1110"/>
    <m/>
    <m/>
    <x v="4"/>
    <m/>
    <m/>
    <m/>
  </r>
  <r>
    <n v="1361"/>
    <x v="230"/>
    <x v="1"/>
    <x v="1"/>
    <x v="1"/>
    <n v="880"/>
    <m/>
    <m/>
    <x v="4"/>
    <m/>
    <m/>
    <m/>
  </r>
  <r>
    <n v="1363"/>
    <x v="230"/>
    <x v="8"/>
    <x v="8"/>
    <x v="3"/>
    <n v="780"/>
    <m/>
    <m/>
    <x v="4"/>
    <m/>
    <m/>
    <m/>
  </r>
  <r>
    <n v="1364"/>
    <x v="230"/>
    <x v="6"/>
    <x v="6"/>
    <x v="3"/>
    <n v="7700"/>
    <m/>
    <m/>
    <x v="4"/>
    <m/>
    <m/>
    <m/>
  </r>
  <r>
    <n v="1353"/>
    <x v="231"/>
    <x v="2"/>
    <x v="2"/>
    <x v="2"/>
    <n v="4070"/>
    <m/>
    <m/>
    <x v="4"/>
    <m/>
    <m/>
    <m/>
  </r>
  <r>
    <n v="1341"/>
    <x v="232"/>
    <x v="3"/>
    <x v="3"/>
    <x v="3"/>
    <n v="1430"/>
    <m/>
    <m/>
    <x v="4"/>
    <m/>
    <m/>
    <m/>
  </r>
  <r>
    <n v="1349"/>
    <x v="232"/>
    <x v="7"/>
    <x v="7"/>
    <x v="0"/>
    <n v="11010"/>
    <m/>
    <m/>
    <x v="4"/>
    <m/>
    <m/>
    <m/>
  </r>
  <r>
    <n v="1359"/>
    <x v="232"/>
    <x v="1"/>
    <x v="1"/>
    <x v="1"/>
    <n v="880"/>
    <m/>
    <m/>
    <x v="4"/>
    <m/>
    <m/>
    <m/>
  </r>
  <r>
    <n v="1357"/>
    <x v="233"/>
    <x v="5"/>
    <x v="5"/>
    <x v="1"/>
    <n v="1110"/>
    <m/>
    <m/>
    <x v="4"/>
    <m/>
    <m/>
    <m/>
  </r>
  <r>
    <n v="1344"/>
    <x v="234"/>
    <x v="6"/>
    <x v="6"/>
    <x v="3"/>
    <n v="7700"/>
    <m/>
    <m/>
    <x v="4"/>
    <m/>
    <m/>
    <m/>
  </r>
  <r>
    <n v="1343"/>
    <x v="235"/>
    <x v="4"/>
    <x v="4"/>
    <x v="2"/>
    <n v="3910"/>
    <m/>
    <m/>
    <x v="4"/>
    <m/>
    <m/>
    <m/>
  </r>
  <r>
    <n v="1346"/>
    <x v="235"/>
    <x v="3"/>
    <x v="3"/>
    <x v="3"/>
    <n v="1430"/>
    <m/>
    <m/>
    <x v="4"/>
    <m/>
    <m/>
    <m/>
  </r>
  <r>
    <n v="1350"/>
    <x v="235"/>
    <x v="6"/>
    <x v="6"/>
    <x v="3"/>
    <n v="7700"/>
    <m/>
    <m/>
    <x v="4"/>
    <m/>
    <m/>
    <m/>
  </r>
  <r>
    <n v="1342"/>
    <x v="236"/>
    <x v="8"/>
    <x v="8"/>
    <x v="3"/>
    <n v="780"/>
    <m/>
    <m/>
    <x v="4"/>
    <m/>
    <m/>
    <m/>
  </r>
  <r>
    <n v="1362"/>
    <x v="236"/>
    <x v="0"/>
    <x v="0"/>
    <x v="0"/>
    <n v="6750"/>
    <m/>
    <m/>
    <x v="4"/>
    <m/>
    <m/>
    <m/>
  </r>
  <r>
    <n v="1360"/>
    <x v="237"/>
    <x v="3"/>
    <x v="3"/>
    <x v="3"/>
    <n v="1430"/>
    <m/>
    <m/>
    <x v="4"/>
    <m/>
    <m/>
    <m/>
  </r>
  <r>
    <n v="1339"/>
    <x v="238"/>
    <x v="2"/>
    <x v="2"/>
    <x v="2"/>
    <n v="4070"/>
    <m/>
    <m/>
    <x v="4"/>
    <m/>
    <m/>
    <m/>
  </r>
  <r>
    <n v="1351"/>
    <x v="238"/>
    <x v="3"/>
    <x v="3"/>
    <x v="3"/>
    <n v="1430"/>
    <m/>
    <m/>
    <x v="4"/>
    <m/>
    <m/>
    <m/>
  </r>
  <r>
    <n v="1354"/>
    <x v="238"/>
    <x v="4"/>
    <x v="4"/>
    <x v="2"/>
    <n v="3910"/>
    <m/>
    <m/>
    <x v="4"/>
    <m/>
    <m/>
    <m/>
  </r>
  <r>
    <n v="1347"/>
    <x v="239"/>
    <x v="2"/>
    <x v="2"/>
    <x v="2"/>
    <n v="4070"/>
    <m/>
    <m/>
    <x v="4"/>
    <m/>
    <m/>
    <m/>
  </r>
  <r>
    <n v="1345"/>
    <x v="240"/>
    <x v="3"/>
    <x v="3"/>
    <x v="3"/>
    <n v="1430"/>
    <m/>
    <m/>
    <x v="4"/>
    <m/>
    <m/>
    <m/>
  </r>
  <r>
    <n v="1388"/>
    <x v="241"/>
    <x v="5"/>
    <x v="5"/>
    <x v="1"/>
    <n v="1110"/>
    <m/>
    <m/>
    <x v="4"/>
    <m/>
    <m/>
    <m/>
  </r>
  <r>
    <n v="1387"/>
    <x v="242"/>
    <x v="4"/>
    <x v="4"/>
    <x v="2"/>
    <n v="3910"/>
    <m/>
    <m/>
    <x v="4"/>
    <m/>
    <m/>
    <m/>
  </r>
  <r>
    <n v="1389"/>
    <x v="242"/>
    <x v="4"/>
    <x v="4"/>
    <x v="2"/>
    <n v="3910"/>
    <m/>
    <m/>
    <x v="4"/>
    <m/>
    <m/>
    <m/>
  </r>
  <r>
    <n v="1371"/>
    <x v="243"/>
    <x v="2"/>
    <x v="2"/>
    <x v="2"/>
    <n v="4070"/>
    <m/>
    <m/>
    <x v="4"/>
    <m/>
    <m/>
    <m/>
  </r>
  <r>
    <n v="1393"/>
    <x v="243"/>
    <x v="8"/>
    <x v="8"/>
    <x v="3"/>
    <n v="780"/>
    <m/>
    <m/>
    <x v="4"/>
    <m/>
    <m/>
    <m/>
  </r>
  <r>
    <n v="1380"/>
    <x v="244"/>
    <x v="0"/>
    <x v="0"/>
    <x v="0"/>
    <n v="6750"/>
    <m/>
    <m/>
    <x v="4"/>
    <m/>
    <m/>
    <m/>
  </r>
  <r>
    <n v="1372"/>
    <x v="245"/>
    <x v="8"/>
    <x v="8"/>
    <x v="3"/>
    <n v="780"/>
    <m/>
    <m/>
    <x v="4"/>
    <m/>
    <m/>
    <m/>
  </r>
  <r>
    <n v="1378"/>
    <x v="246"/>
    <x v="1"/>
    <x v="1"/>
    <x v="1"/>
    <n v="880"/>
    <m/>
    <m/>
    <x v="4"/>
    <m/>
    <m/>
    <m/>
  </r>
  <r>
    <n v="1376"/>
    <x v="247"/>
    <x v="4"/>
    <x v="4"/>
    <x v="2"/>
    <n v="3910"/>
    <m/>
    <m/>
    <x v="4"/>
    <m/>
    <m/>
    <m/>
  </r>
  <r>
    <n v="1384"/>
    <x v="247"/>
    <x v="4"/>
    <x v="4"/>
    <x v="2"/>
    <n v="3910"/>
    <m/>
    <m/>
    <x v="4"/>
    <m/>
    <m/>
    <m/>
  </r>
  <r>
    <n v="1366"/>
    <x v="248"/>
    <x v="6"/>
    <x v="6"/>
    <x v="3"/>
    <n v="7700"/>
    <m/>
    <m/>
    <x v="4"/>
    <m/>
    <m/>
    <m/>
  </r>
  <r>
    <n v="1375"/>
    <x v="248"/>
    <x v="1"/>
    <x v="1"/>
    <x v="1"/>
    <n v="880"/>
    <m/>
    <m/>
    <x v="4"/>
    <m/>
    <m/>
    <m/>
  </r>
  <r>
    <n v="1370"/>
    <x v="249"/>
    <x v="4"/>
    <x v="4"/>
    <x v="2"/>
    <n v="3910"/>
    <m/>
    <m/>
    <x v="4"/>
    <m/>
    <m/>
    <m/>
  </r>
  <r>
    <n v="1373"/>
    <x v="249"/>
    <x v="4"/>
    <x v="4"/>
    <x v="2"/>
    <n v="3910"/>
    <m/>
    <m/>
    <x v="4"/>
    <m/>
    <m/>
    <m/>
  </r>
  <r>
    <n v="1369"/>
    <x v="250"/>
    <x v="2"/>
    <x v="2"/>
    <x v="2"/>
    <n v="4070"/>
    <m/>
    <m/>
    <x v="4"/>
    <m/>
    <m/>
    <m/>
  </r>
  <r>
    <n v="1390"/>
    <x v="250"/>
    <x v="1"/>
    <x v="1"/>
    <x v="1"/>
    <n v="880"/>
    <m/>
    <m/>
    <x v="4"/>
    <m/>
    <m/>
    <m/>
  </r>
  <r>
    <n v="1385"/>
    <x v="251"/>
    <x v="5"/>
    <x v="5"/>
    <x v="1"/>
    <n v="1110"/>
    <m/>
    <m/>
    <x v="4"/>
    <m/>
    <m/>
    <m/>
  </r>
  <r>
    <n v="1392"/>
    <x v="251"/>
    <x v="4"/>
    <x v="4"/>
    <x v="2"/>
    <n v="3910"/>
    <m/>
    <m/>
    <x v="4"/>
    <m/>
    <m/>
    <m/>
  </r>
  <r>
    <n v="1374"/>
    <x v="252"/>
    <x v="0"/>
    <x v="0"/>
    <x v="0"/>
    <n v="6750"/>
    <m/>
    <m/>
    <x v="4"/>
    <m/>
    <m/>
    <m/>
  </r>
  <r>
    <n v="1386"/>
    <x v="252"/>
    <x v="7"/>
    <x v="7"/>
    <x v="0"/>
    <n v="11010"/>
    <m/>
    <m/>
    <x v="4"/>
    <m/>
    <m/>
    <m/>
  </r>
  <r>
    <n v="1381"/>
    <x v="253"/>
    <x v="0"/>
    <x v="0"/>
    <x v="0"/>
    <n v="6750"/>
    <m/>
    <m/>
    <x v="4"/>
    <m/>
    <m/>
    <m/>
  </r>
  <r>
    <n v="1377"/>
    <x v="254"/>
    <x v="3"/>
    <x v="3"/>
    <x v="3"/>
    <n v="1430"/>
    <m/>
    <m/>
    <x v="4"/>
    <m/>
    <m/>
    <m/>
  </r>
  <r>
    <n v="1391"/>
    <x v="254"/>
    <x v="5"/>
    <x v="5"/>
    <x v="1"/>
    <n v="1110"/>
    <m/>
    <m/>
    <x v="4"/>
    <m/>
    <m/>
    <m/>
  </r>
  <r>
    <n v="1394"/>
    <x v="254"/>
    <x v="3"/>
    <x v="3"/>
    <x v="3"/>
    <n v="1430"/>
    <m/>
    <m/>
    <x v="4"/>
    <m/>
    <m/>
    <m/>
  </r>
  <r>
    <n v="1395"/>
    <x v="255"/>
    <x v="8"/>
    <x v="8"/>
    <x v="3"/>
    <n v="780"/>
    <m/>
    <m/>
    <x v="4"/>
    <m/>
    <m/>
    <m/>
  </r>
  <r>
    <n v="1365"/>
    <x v="256"/>
    <x v="8"/>
    <x v="8"/>
    <x v="3"/>
    <n v="780"/>
    <m/>
    <m/>
    <x v="4"/>
    <m/>
    <m/>
    <m/>
  </r>
  <r>
    <n v="1382"/>
    <x v="257"/>
    <x v="3"/>
    <x v="3"/>
    <x v="3"/>
    <n v="1430"/>
    <m/>
    <m/>
    <x v="4"/>
    <m/>
    <m/>
    <m/>
  </r>
  <r>
    <n v="1383"/>
    <x v="257"/>
    <x v="5"/>
    <x v="5"/>
    <x v="1"/>
    <n v="1110"/>
    <m/>
    <m/>
    <x v="4"/>
    <m/>
    <m/>
    <m/>
  </r>
  <r>
    <n v="1367"/>
    <x v="258"/>
    <x v="1"/>
    <x v="1"/>
    <x v="1"/>
    <n v="880"/>
    <m/>
    <m/>
    <x v="4"/>
    <m/>
    <m/>
    <m/>
  </r>
  <r>
    <n v="1379"/>
    <x v="258"/>
    <x v="4"/>
    <x v="4"/>
    <x v="2"/>
    <n v="3910"/>
    <m/>
    <m/>
    <x v="4"/>
    <m/>
    <m/>
    <m/>
  </r>
  <r>
    <n v="1368"/>
    <x v="259"/>
    <x v="3"/>
    <x v="3"/>
    <x v="3"/>
    <n v="1430"/>
    <m/>
    <m/>
    <x v="4"/>
    <m/>
    <m/>
    <m/>
  </r>
  <r>
    <n v="1410"/>
    <x v="260"/>
    <x v="6"/>
    <x v="6"/>
    <x v="3"/>
    <n v="7700"/>
    <m/>
    <m/>
    <x v="4"/>
    <m/>
    <m/>
    <m/>
  </r>
  <r>
    <n v="1400"/>
    <x v="261"/>
    <x v="3"/>
    <x v="3"/>
    <x v="3"/>
    <n v="1430"/>
    <m/>
    <m/>
    <x v="4"/>
    <m/>
    <m/>
    <m/>
  </r>
  <r>
    <n v="1412"/>
    <x v="262"/>
    <x v="4"/>
    <x v="4"/>
    <x v="2"/>
    <n v="3910"/>
    <m/>
    <m/>
    <x v="4"/>
    <m/>
    <m/>
    <m/>
  </r>
  <r>
    <n v="1421"/>
    <x v="262"/>
    <x v="0"/>
    <x v="0"/>
    <x v="0"/>
    <n v="6750"/>
    <m/>
    <m/>
    <x v="4"/>
    <m/>
    <m/>
    <m/>
  </r>
  <r>
    <n v="1408"/>
    <x v="263"/>
    <x v="4"/>
    <x v="4"/>
    <x v="2"/>
    <n v="3910"/>
    <m/>
    <m/>
    <x v="4"/>
    <m/>
    <m/>
    <m/>
  </r>
  <r>
    <n v="1413"/>
    <x v="263"/>
    <x v="6"/>
    <x v="6"/>
    <x v="3"/>
    <n v="7700"/>
    <m/>
    <m/>
    <x v="4"/>
    <m/>
    <m/>
    <m/>
  </r>
  <r>
    <n v="1409"/>
    <x v="264"/>
    <x v="4"/>
    <x v="4"/>
    <x v="2"/>
    <n v="3910"/>
    <m/>
    <m/>
    <x v="4"/>
    <m/>
    <m/>
    <m/>
  </r>
  <r>
    <n v="1407"/>
    <x v="265"/>
    <x v="2"/>
    <x v="2"/>
    <x v="2"/>
    <n v="4070"/>
    <m/>
    <m/>
    <x v="4"/>
    <m/>
    <m/>
    <m/>
  </r>
  <r>
    <n v="1405"/>
    <x v="266"/>
    <x v="7"/>
    <x v="7"/>
    <x v="0"/>
    <n v="11010"/>
    <m/>
    <m/>
    <x v="4"/>
    <m/>
    <m/>
    <m/>
  </r>
  <r>
    <n v="1428"/>
    <x v="266"/>
    <x v="2"/>
    <x v="2"/>
    <x v="2"/>
    <n v="4070"/>
    <m/>
    <m/>
    <x v="4"/>
    <m/>
    <m/>
    <m/>
  </r>
  <r>
    <n v="1414"/>
    <x v="267"/>
    <x v="5"/>
    <x v="5"/>
    <x v="1"/>
    <n v="1110"/>
    <m/>
    <m/>
    <x v="4"/>
    <m/>
    <m/>
    <m/>
  </r>
  <r>
    <n v="1420"/>
    <x v="267"/>
    <x v="1"/>
    <x v="1"/>
    <x v="1"/>
    <n v="880"/>
    <m/>
    <m/>
    <x v="4"/>
    <m/>
    <m/>
    <m/>
  </r>
  <r>
    <n v="1422"/>
    <x v="268"/>
    <x v="8"/>
    <x v="8"/>
    <x v="3"/>
    <n v="780"/>
    <m/>
    <m/>
    <x v="4"/>
    <m/>
    <m/>
    <m/>
  </r>
  <r>
    <n v="1416"/>
    <x v="269"/>
    <x v="5"/>
    <x v="5"/>
    <x v="1"/>
    <n v="1110"/>
    <m/>
    <m/>
    <x v="4"/>
    <m/>
    <m/>
    <m/>
  </r>
  <r>
    <n v="1402"/>
    <x v="270"/>
    <x v="4"/>
    <x v="4"/>
    <x v="2"/>
    <n v="3910"/>
    <m/>
    <m/>
    <x v="4"/>
    <m/>
    <m/>
    <m/>
  </r>
  <r>
    <n v="1396"/>
    <x v="271"/>
    <x v="1"/>
    <x v="1"/>
    <x v="1"/>
    <n v="880"/>
    <m/>
    <m/>
    <x v="4"/>
    <m/>
    <m/>
    <m/>
  </r>
  <r>
    <n v="1415"/>
    <x v="271"/>
    <x v="0"/>
    <x v="0"/>
    <x v="0"/>
    <n v="6750"/>
    <m/>
    <m/>
    <x v="4"/>
    <m/>
    <m/>
    <m/>
  </r>
  <r>
    <n v="1399"/>
    <x v="272"/>
    <x v="8"/>
    <x v="8"/>
    <x v="3"/>
    <n v="780"/>
    <m/>
    <m/>
    <x v="4"/>
    <m/>
    <m/>
    <m/>
  </r>
  <r>
    <n v="1404"/>
    <x v="273"/>
    <x v="6"/>
    <x v="6"/>
    <x v="3"/>
    <n v="7700"/>
    <m/>
    <m/>
    <x v="4"/>
    <m/>
    <m/>
    <m/>
  </r>
  <r>
    <n v="1406"/>
    <x v="273"/>
    <x v="6"/>
    <x v="6"/>
    <x v="3"/>
    <n v="7700"/>
    <m/>
    <m/>
    <x v="4"/>
    <m/>
    <m/>
    <m/>
  </r>
  <r>
    <n v="1423"/>
    <x v="273"/>
    <x v="1"/>
    <x v="1"/>
    <x v="1"/>
    <n v="880"/>
    <m/>
    <m/>
    <x v="4"/>
    <m/>
    <m/>
    <m/>
  </r>
  <r>
    <n v="1401"/>
    <x v="274"/>
    <x v="7"/>
    <x v="7"/>
    <x v="0"/>
    <n v="11010"/>
    <m/>
    <m/>
    <x v="4"/>
    <m/>
    <m/>
    <m/>
  </r>
  <r>
    <n v="1398"/>
    <x v="275"/>
    <x v="2"/>
    <x v="2"/>
    <x v="2"/>
    <n v="4070"/>
    <m/>
    <m/>
    <x v="4"/>
    <m/>
    <m/>
    <m/>
  </r>
  <r>
    <n v="1411"/>
    <x v="275"/>
    <x v="3"/>
    <x v="3"/>
    <x v="3"/>
    <n v="1430"/>
    <m/>
    <m/>
    <x v="4"/>
    <m/>
    <m/>
    <m/>
  </r>
  <r>
    <n v="1419"/>
    <x v="275"/>
    <x v="5"/>
    <x v="5"/>
    <x v="1"/>
    <n v="1110"/>
    <m/>
    <m/>
    <x v="4"/>
    <m/>
    <m/>
    <m/>
  </r>
  <r>
    <n v="1424"/>
    <x v="275"/>
    <x v="7"/>
    <x v="7"/>
    <x v="0"/>
    <n v="11010"/>
    <m/>
    <m/>
    <x v="4"/>
    <m/>
    <m/>
    <m/>
  </r>
  <r>
    <n v="1417"/>
    <x v="276"/>
    <x v="7"/>
    <x v="7"/>
    <x v="0"/>
    <n v="11010"/>
    <m/>
    <m/>
    <x v="4"/>
    <m/>
    <m/>
    <m/>
  </r>
  <r>
    <n v="1425"/>
    <x v="276"/>
    <x v="7"/>
    <x v="7"/>
    <x v="0"/>
    <n v="11010"/>
    <m/>
    <m/>
    <x v="4"/>
    <m/>
    <m/>
    <m/>
  </r>
  <r>
    <n v="1397"/>
    <x v="277"/>
    <x v="4"/>
    <x v="4"/>
    <x v="2"/>
    <n v="3910"/>
    <m/>
    <m/>
    <x v="4"/>
    <m/>
    <m/>
    <m/>
  </r>
  <r>
    <n v="1427"/>
    <x v="277"/>
    <x v="5"/>
    <x v="5"/>
    <x v="1"/>
    <n v="1110"/>
    <m/>
    <m/>
    <x v="4"/>
    <m/>
    <m/>
    <m/>
  </r>
  <r>
    <n v="1403"/>
    <x v="278"/>
    <x v="4"/>
    <x v="4"/>
    <x v="2"/>
    <n v="3910"/>
    <m/>
    <m/>
    <x v="4"/>
    <m/>
    <m/>
    <m/>
  </r>
  <r>
    <n v="1418"/>
    <x v="278"/>
    <x v="4"/>
    <x v="4"/>
    <x v="2"/>
    <n v="3910"/>
    <m/>
    <m/>
    <x v="4"/>
    <m/>
    <m/>
    <m/>
  </r>
  <r>
    <n v="1426"/>
    <x v="278"/>
    <x v="2"/>
    <x v="2"/>
    <x v="2"/>
    <n v="4070"/>
    <m/>
    <m/>
    <x v="4"/>
    <m/>
    <m/>
    <m/>
  </r>
  <r>
    <n v="1444"/>
    <x v="279"/>
    <x v="2"/>
    <x v="2"/>
    <x v="2"/>
    <n v="4070"/>
    <m/>
    <m/>
    <x v="4"/>
    <m/>
    <m/>
    <m/>
  </r>
  <r>
    <n v="1429"/>
    <x v="280"/>
    <x v="0"/>
    <x v="0"/>
    <x v="0"/>
    <n v="6750"/>
    <m/>
    <m/>
    <x v="4"/>
    <m/>
    <m/>
    <m/>
  </r>
  <r>
    <n v="1443"/>
    <x v="280"/>
    <x v="1"/>
    <x v="1"/>
    <x v="1"/>
    <n v="880"/>
    <m/>
    <m/>
    <x v="4"/>
    <m/>
    <m/>
    <m/>
  </r>
  <r>
    <n v="1450"/>
    <x v="280"/>
    <x v="6"/>
    <x v="6"/>
    <x v="3"/>
    <n v="7700"/>
    <m/>
    <m/>
    <x v="4"/>
    <m/>
    <m/>
    <m/>
  </r>
  <r>
    <n v="1460"/>
    <x v="280"/>
    <x v="3"/>
    <x v="3"/>
    <x v="3"/>
    <n v="1430"/>
    <m/>
    <m/>
    <x v="4"/>
    <m/>
    <m/>
    <m/>
  </r>
  <r>
    <n v="1438"/>
    <x v="281"/>
    <x v="5"/>
    <x v="5"/>
    <x v="1"/>
    <n v="1110"/>
    <m/>
    <m/>
    <x v="4"/>
    <m/>
    <m/>
    <m/>
  </r>
  <r>
    <n v="1456"/>
    <x v="281"/>
    <x v="4"/>
    <x v="4"/>
    <x v="2"/>
    <n v="3910"/>
    <m/>
    <m/>
    <x v="4"/>
    <m/>
    <m/>
    <m/>
  </r>
  <r>
    <n v="1431"/>
    <x v="282"/>
    <x v="4"/>
    <x v="4"/>
    <x v="2"/>
    <n v="3910"/>
    <m/>
    <m/>
    <x v="4"/>
    <m/>
    <m/>
    <m/>
  </r>
  <r>
    <n v="1458"/>
    <x v="283"/>
    <x v="2"/>
    <x v="2"/>
    <x v="2"/>
    <n v="4070"/>
    <m/>
    <m/>
    <x v="4"/>
    <m/>
    <m/>
    <m/>
  </r>
  <r>
    <n v="1451"/>
    <x v="284"/>
    <x v="8"/>
    <x v="8"/>
    <x v="3"/>
    <n v="780"/>
    <m/>
    <m/>
    <x v="4"/>
    <m/>
    <m/>
    <m/>
  </r>
  <r>
    <n v="1436"/>
    <x v="285"/>
    <x v="3"/>
    <x v="3"/>
    <x v="3"/>
    <n v="1430"/>
    <m/>
    <m/>
    <x v="4"/>
    <m/>
    <m/>
    <m/>
  </r>
  <r>
    <n v="1437"/>
    <x v="285"/>
    <x v="3"/>
    <x v="3"/>
    <x v="3"/>
    <n v="1430"/>
    <m/>
    <m/>
    <x v="4"/>
    <m/>
    <m/>
    <m/>
  </r>
  <r>
    <n v="1434"/>
    <x v="286"/>
    <x v="3"/>
    <x v="3"/>
    <x v="3"/>
    <n v="1430"/>
    <m/>
    <m/>
    <x v="4"/>
    <m/>
    <m/>
    <m/>
  </r>
  <r>
    <n v="1461"/>
    <x v="287"/>
    <x v="6"/>
    <x v="6"/>
    <x v="3"/>
    <n v="7700"/>
    <m/>
    <m/>
    <x v="4"/>
    <m/>
    <m/>
    <m/>
  </r>
  <r>
    <n v="1430"/>
    <x v="288"/>
    <x v="0"/>
    <x v="0"/>
    <x v="0"/>
    <n v="6750"/>
    <m/>
    <m/>
    <x v="4"/>
    <m/>
    <m/>
    <m/>
  </r>
  <r>
    <n v="1452"/>
    <x v="288"/>
    <x v="0"/>
    <x v="0"/>
    <x v="0"/>
    <n v="6750"/>
    <m/>
    <m/>
    <x v="4"/>
    <m/>
    <m/>
    <m/>
  </r>
  <r>
    <n v="1462"/>
    <x v="288"/>
    <x v="3"/>
    <x v="3"/>
    <x v="3"/>
    <n v="1430"/>
    <m/>
    <m/>
    <x v="4"/>
    <m/>
    <m/>
    <m/>
  </r>
  <r>
    <n v="1446"/>
    <x v="289"/>
    <x v="4"/>
    <x v="4"/>
    <x v="2"/>
    <n v="3910"/>
    <m/>
    <m/>
    <x v="4"/>
    <m/>
    <m/>
    <m/>
  </r>
  <r>
    <n v="1448"/>
    <x v="289"/>
    <x v="6"/>
    <x v="6"/>
    <x v="3"/>
    <n v="7700"/>
    <m/>
    <m/>
    <x v="4"/>
    <m/>
    <m/>
    <m/>
  </r>
  <r>
    <n v="1440"/>
    <x v="290"/>
    <x v="6"/>
    <x v="6"/>
    <x v="3"/>
    <n v="7700"/>
    <m/>
    <m/>
    <x v="4"/>
    <m/>
    <m/>
    <m/>
  </r>
  <r>
    <n v="1449"/>
    <x v="291"/>
    <x v="6"/>
    <x v="6"/>
    <x v="3"/>
    <n v="7700"/>
    <m/>
    <m/>
    <x v="4"/>
    <m/>
    <m/>
    <m/>
  </r>
  <r>
    <n v="1441"/>
    <x v="292"/>
    <x v="4"/>
    <x v="4"/>
    <x v="2"/>
    <n v="3910"/>
    <m/>
    <m/>
    <x v="4"/>
    <m/>
    <m/>
    <m/>
  </r>
  <r>
    <n v="1433"/>
    <x v="293"/>
    <x v="5"/>
    <x v="5"/>
    <x v="1"/>
    <n v="1110"/>
    <m/>
    <m/>
    <x v="4"/>
    <m/>
    <m/>
    <m/>
  </r>
  <r>
    <n v="1463"/>
    <x v="293"/>
    <x v="7"/>
    <x v="7"/>
    <x v="0"/>
    <n v="11010"/>
    <m/>
    <m/>
    <x v="4"/>
    <m/>
    <m/>
    <m/>
  </r>
  <r>
    <n v="1439"/>
    <x v="294"/>
    <x v="1"/>
    <x v="1"/>
    <x v="1"/>
    <n v="880"/>
    <m/>
    <m/>
    <x v="4"/>
    <m/>
    <m/>
    <m/>
  </r>
  <r>
    <n v="1442"/>
    <x v="295"/>
    <x v="6"/>
    <x v="6"/>
    <x v="3"/>
    <n v="7700"/>
    <m/>
    <m/>
    <x v="4"/>
    <m/>
    <m/>
    <m/>
  </r>
  <r>
    <n v="1432"/>
    <x v="296"/>
    <x v="7"/>
    <x v="7"/>
    <x v="0"/>
    <n v="11010"/>
    <m/>
    <m/>
    <x v="4"/>
    <m/>
    <m/>
    <m/>
  </r>
  <r>
    <n v="1435"/>
    <x v="297"/>
    <x v="6"/>
    <x v="6"/>
    <x v="3"/>
    <n v="7700"/>
    <m/>
    <m/>
    <x v="4"/>
    <m/>
    <m/>
    <m/>
  </r>
  <r>
    <n v="1445"/>
    <x v="297"/>
    <x v="4"/>
    <x v="4"/>
    <x v="2"/>
    <n v="3910"/>
    <m/>
    <m/>
    <x v="4"/>
    <m/>
    <m/>
    <m/>
  </r>
  <r>
    <n v="1447"/>
    <x v="297"/>
    <x v="3"/>
    <x v="3"/>
    <x v="3"/>
    <n v="1430"/>
    <m/>
    <m/>
    <x v="4"/>
    <m/>
    <m/>
    <m/>
  </r>
  <r>
    <n v="1457"/>
    <x v="297"/>
    <x v="2"/>
    <x v="2"/>
    <x v="2"/>
    <n v="4070"/>
    <m/>
    <m/>
    <x v="4"/>
    <m/>
    <m/>
    <m/>
  </r>
  <r>
    <n v="1454"/>
    <x v="298"/>
    <x v="7"/>
    <x v="7"/>
    <x v="0"/>
    <n v="11010"/>
    <m/>
    <m/>
    <x v="4"/>
    <m/>
    <m/>
    <m/>
  </r>
  <r>
    <n v="1453"/>
    <x v="299"/>
    <x v="1"/>
    <x v="1"/>
    <x v="1"/>
    <n v="880"/>
    <m/>
    <m/>
    <x v="4"/>
    <m/>
    <m/>
    <m/>
  </r>
  <r>
    <n v="1455"/>
    <x v="300"/>
    <x v="7"/>
    <x v="7"/>
    <x v="0"/>
    <n v="11010"/>
    <m/>
    <m/>
    <x v="4"/>
    <m/>
    <m/>
    <m/>
  </r>
  <r>
    <n v="1459"/>
    <x v="301"/>
    <x v="5"/>
    <x v="5"/>
    <x v="1"/>
    <n v="1110"/>
    <m/>
    <m/>
    <x v="4"/>
    <m/>
    <m/>
    <m/>
  </r>
  <r>
    <n v="1469"/>
    <x v="302"/>
    <x v="8"/>
    <x v="8"/>
    <x v="3"/>
    <n v="780"/>
    <m/>
    <m/>
    <x v="4"/>
    <m/>
    <m/>
    <m/>
  </r>
  <r>
    <n v="1479"/>
    <x v="303"/>
    <x v="0"/>
    <x v="0"/>
    <x v="0"/>
    <n v="6750"/>
    <m/>
    <m/>
    <x v="4"/>
    <m/>
    <m/>
    <m/>
  </r>
  <r>
    <n v="1487"/>
    <x v="303"/>
    <x v="5"/>
    <x v="5"/>
    <x v="1"/>
    <n v="1110"/>
    <m/>
    <m/>
    <x v="4"/>
    <m/>
    <m/>
    <m/>
  </r>
  <r>
    <n v="1484"/>
    <x v="304"/>
    <x v="4"/>
    <x v="4"/>
    <x v="2"/>
    <n v="3910"/>
    <m/>
    <m/>
    <x v="4"/>
    <m/>
    <m/>
    <m/>
  </r>
  <r>
    <n v="1485"/>
    <x v="304"/>
    <x v="0"/>
    <x v="0"/>
    <x v="0"/>
    <n v="6750"/>
    <m/>
    <m/>
    <x v="4"/>
    <m/>
    <m/>
    <m/>
  </r>
  <r>
    <n v="1474"/>
    <x v="305"/>
    <x v="4"/>
    <x v="4"/>
    <x v="2"/>
    <n v="3910"/>
    <m/>
    <m/>
    <x v="4"/>
    <m/>
    <m/>
    <m/>
  </r>
  <r>
    <n v="1478"/>
    <x v="306"/>
    <x v="0"/>
    <x v="0"/>
    <x v="0"/>
    <n v="6750"/>
    <m/>
    <m/>
    <x v="4"/>
    <m/>
    <m/>
    <m/>
  </r>
  <r>
    <n v="1490"/>
    <x v="307"/>
    <x v="3"/>
    <x v="3"/>
    <x v="3"/>
    <n v="1430"/>
    <m/>
    <m/>
    <x v="4"/>
    <m/>
    <m/>
    <m/>
  </r>
  <r>
    <n v="1473"/>
    <x v="308"/>
    <x v="6"/>
    <x v="6"/>
    <x v="3"/>
    <n v="7700"/>
    <m/>
    <m/>
    <x v="4"/>
    <m/>
    <m/>
    <m/>
  </r>
  <r>
    <n v="1470"/>
    <x v="309"/>
    <x v="4"/>
    <x v="4"/>
    <x v="2"/>
    <n v="3910"/>
    <m/>
    <m/>
    <x v="4"/>
    <m/>
    <m/>
    <m/>
  </r>
  <r>
    <n v="1476"/>
    <x v="309"/>
    <x v="5"/>
    <x v="5"/>
    <x v="1"/>
    <n v="1110"/>
    <m/>
    <m/>
    <x v="4"/>
    <m/>
    <m/>
    <m/>
  </r>
  <r>
    <n v="1488"/>
    <x v="309"/>
    <x v="3"/>
    <x v="3"/>
    <x v="3"/>
    <n v="1430"/>
    <m/>
    <m/>
    <x v="4"/>
    <m/>
    <m/>
    <m/>
  </r>
  <r>
    <n v="1465"/>
    <x v="310"/>
    <x v="4"/>
    <x v="4"/>
    <x v="2"/>
    <n v="3910"/>
    <m/>
    <m/>
    <x v="4"/>
    <m/>
    <m/>
    <m/>
  </r>
  <r>
    <n v="1464"/>
    <x v="311"/>
    <x v="5"/>
    <x v="5"/>
    <x v="1"/>
    <n v="1110"/>
    <m/>
    <m/>
    <x v="4"/>
    <m/>
    <m/>
    <m/>
  </r>
  <r>
    <n v="1471"/>
    <x v="311"/>
    <x v="6"/>
    <x v="6"/>
    <x v="3"/>
    <n v="7700"/>
    <m/>
    <m/>
    <x v="4"/>
    <m/>
    <m/>
    <m/>
  </r>
  <r>
    <n v="1482"/>
    <x v="312"/>
    <x v="4"/>
    <x v="4"/>
    <x v="2"/>
    <n v="3910"/>
    <m/>
    <m/>
    <x v="4"/>
    <m/>
    <m/>
    <m/>
  </r>
  <r>
    <n v="1486"/>
    <x v="312"/>
    <x v="8"/>
    <x v="8"/>
    <x v="3"/>
    <n v="780"/>
    <m/>
    <m/>
    <x v="4"/>
    <m/>
    <m/>
    <m/>
  </r>
  <r>
    <n v="1466"/>
    <x v="313"/>
    <x v="8"/>
    <x v="8"/>
    <x v="3"/>
    <n v="780"/>
    <m/>
    <m/>
    <x v="4"/>
    <m/>
    <m/>
    <m/>
  </r>
  <r>
    <n v="1491"/>
    <x v="313"/>
    <x v="5"/>
    <x v="5"/>
    <x v="1"/>
    <n v="1110"/>
    <m/>
    <m/>
    <x v="4"/>
    <m/>
    <m/>
    <m/>
  </r>
  <r>
    <n v="1477"/>
    <x v="314"/>
    <x v="7"/>
    <x v="7"/>
    <x v="0"/>
    <n v="11010"/>
    <m/>
    <m/>
    <x v="4"/>
    <m/>
    <m/>
    <m/>
  </r>
  <r>
    <n v="1483"/>
    <x v="314"/>
    <x v="7"/>
    <x v="7"/>
    <x v="0"/>
    <n v="11010"/>
    <m/>
    <m/>
    <x v="4"/>
    <m/>
    <m/>
    <m/>
  </r>
  <r>
    <n v="1475"/>
    <x v="315"/>
    <x v="3"/>
    <x v="3"/>
    <x v="3"/>
    <n v="1430"/>
    <m/>
    <m/>
    <x v="4"/>
    <m/>
    <m/>
    <m/>
  </r>
  <r>
    <n v="1472"/>
    <x v="316"/>
    <x v="4"/>
    <x v="4"/>
    <x v="2"/>
    <n v="3910"/>
    <m/>
    <m/>
    <x v="4"/>
    <m/>
    <m/>
    <m/>
  </r>
  <r>
    <n v="1489"/>
    <x v="316"/>
    <x v="1"/>
    <x v="1"/>
    <x v="1"/>
    <n v="880"/>
    <m/>
    <m/>
    <x v="4"/>
    <m/>
    <m/>
    <m/>
  </r>
  <r>
    <n v="1467"/>
    <x v="317"/>
    <x v="4"/>
    <x v="4"/>
    <x v="2"/>
    <n v="3910"/>
    <m/>
    <m/>
    <x v="4"/>
    <m/>
    <m/>
    <m/>
  </r>
  <r>
    <n v="1468"/>
    <x v="318"/>
    <x v="8"/>
    <x v="8"/>
    <x v="3"/>
    <n v="780"/>
    <m/>
    <m/>
    <x v="4"/>
    <m/>
    <m/>
    <m/>
  </r>
  <r>
    <n v="1480"/>
    <x v="319"/>
    <x v="5"/>
    <x v="5"/>
    <x v="1"/>
    <n v="1110"/>
    <m/>
    <m/>
    <x v="4"/>
    <m/>
    <m/>
    <m/>
  </r>
  <r>
    <n v="1481"/>
    <x v="320"/>
    <x v="3"/>
    <x v="3"/>
    <x v="3"/>
    <n v="1430"/>
    <m/>
    <m/>
    <x v="4"/>
    <m/>
    <m/>
    <m/>
  </r>
  <r>
    <n v="1517"/>
    <x v="321"/>
    <x v="7"/>
    <x v="7"/>
    <x v="0"/>
    <n v="11010"/>
    <m/>
    <m/>
    <x v="4"/>
    <m/>
    <m/>
    <m/>
  </r>
  <r>
    <n v="1521"/>
    <x v="321"/>
    <x v="7"/>
    <x v="7"/>
    <x v="0"/>
    <n v="11010"/>
    <m/>
    <m/>
    <x v="4"/>
    <m/>
    <m/>
    <m/>
  </r>
  <r>
    <n v="1501"/>
    <x v="322"/>
    <x v="8"/>
    <x v="8"/>
    <x v="3"/>
    <n v="780"/>
    <m/>
    <m/>
    <x v="4"/>
    <m/>
    <m/>
    <m/>
  </r>
  <r>
    <n v="1505"/>
    <x v="322"/>
    <x v="7"/>
    <x v="7"/>
    <x v="0"/>
    <n v="11010"/>
    <m/>
    <m/>
    <x v="4"/>
    <m/>
    <m/>
    <m/>
  </r>
  <r>
    <n v="1510"/>
    <x v="323"/>
    <x v="1"/>
    <x v="1"/>
    <x v="1"/>
    <n v="880"/>
    <m/>
    <m/>
    <x v="4"/>
    <m/>
    <m/>
    <m/>
  </r>
  <r>
    <n v="1511"/>
    <x v="323"/>
    <x v="0"/>
    <x v="0"/>
    <x v="0"/>
    <n v="6750"/>
    <m/>
    <m/>
    <x v="4"/>
    <m/>
    <m/>
    <m/>
  </r>
  <r>
    <n v="1494"/>
    <x v="324"/>
    <x v="3"/>
    <x v="3"/>
    <x v="3"/>
    <n v="1430"/>
    <m/>
    <m/>
    <x v="4"/>
    <m/>
    <m/>
    <m/>
  </r>
  <r>
    <n v="1512"/>
    <x v="324"/>
    <x v="5"/>
    <x v="5"/>
    <x v="1"/>
    <n v="1110"/>
    <m/>
    <m/>
    <x v="4"/>
    <m/>
    <m/>
    <m/>
  </r>
  <r>
    <n v="1499"/>
    <x v="325"/>
    <x v="1"/>
    <x v="1"/>
    <x v="1"/>
    <n v="880"/>
    <m/>
    <m/>
    <x v="4"/>
    <m/>
    <m/>
    <m/>
  </r>
  <r>
    <n v="1497"/>
    <x v="326"/>
    <x v="3"/>
    <x v="3"/>
    <x v="3"/>
    <n v="1430"/>
    <m/>
    <m/>
    <x v="4"/>
    <m/>
    <m/>
    <m/>
  </r>
  <r>
    <n v="1502"/>
    <x v="326"/>
    <x v="7"/>
    <x v="7"/>
    <x v="0"/>
    <n v="11010"/>
    <m/>
    <m/>
    <x v="4"/>
    <m/>
    <m/>
    <m/>
  </r>
  <r>
    <n v="1504"/>
    <x v="327"/>
    <x v="7"/>
    <x v="7"/>
    <x v="0"/>
    <n v="11010"/>
    <m/>
    <m/>
    <x v="4"/>
    <m/>
    <m/>
    <m/>
  </r>
  <r>
    <n v="1498"/>
    <x v="328"/>
    <x v="6"/>
    <x v="6"/>
    <x v="3"/>
    <n v="7700"/>
    <m/>
    <m/>
    <x v="4"/>
    <m/>
    <m/>
    <m/>
  </r>
  <r>
    <n v="1495"/>
    <x v="329"/>
    <x v="6"/>
    <x v="6"/>
    <x v="3"/>
    <n v="7700"/>
    <m/>
    <m/>
    <x v="4"/>
    <m/>
    <m/>
    <m/>
  </r>
  <r>
    <n v="1507"/>
    <x v="329"/>
    <x v="5"/>
    <x v="5"/>
    <x v="1"/>
    <n v="1110"/>
    <m/>
    <m/>
    <x v="4"/>
    <m/>
    <m/>
    <m/>
  </r>
  <r>
    <n v="1519"/>
    <x v="330"/>
    <x v="0"/>
    <x v="0"/>
    <x v="0"/>
    <n v="6750"/>
    <m/>
    <m/>
    <x v="4"/>
    <m/>
    <m/>
    <m/>
  </r>
  <r>
    <n v="1513"/>
    <x v="331"/>
    <x v="8"/>
    <x v="8"/>
    <x v="3"/>
    <n v="780"/>
    <m/>
    <m/>
    <x v="4"/>
    <m/>
    <m/>
    <m/>
  </r>
  <r>
    <n v="1506"/>
    <x v="332"/>
    <x v="6"/>
    <x v="6"/>
    <x v="3"/>
    <n v="7700"/>
    <m/>
    <m/>
    <x v="4"/>
    <m/>
    <m/>
    <m/>
  </r>
  <r>
    <n v="1516"/>
    <x v="333"/>
    <x v="5"/>
    <x v="5"/>
    <x v="1"/>
    <n v="1110"/>
    <m/>
    <m/>
    <x v="4"/>
    <m/>
    <m/>
    <m/>
  </r>
  <r>
    <n v="1518"/>
    <x v="333"/>
    <x v="2"/>
    <x v="2"/>
    <x v="2"/>
    <n v="4070"/>
    <m/>
    <m/>
    <x v="4"/>
    <m/>
    <m/>
    <m/>
  </r>
  <r>
    <n v="1520"/>
    <x v="334"/>
    <x v="8"/>
    <x v="8"/>
    <x v="3"/>
    <n v="780"/>
    <m/>
    <m/>
    <x v="4"/>
    <m/>
    <m/>
    <m/>
  </r>
  <r>
    <n v="1493"/>
    <x v="335"/>
    <x v="6"/>
    <x v="6"/>
    <x v="3"/>
    <n v="7700"/>
    <m/>
    <m/>
    <x v="4"/>
    <m/>
    <m/>
    <m/>
  </r>
  <r>
    <n v="1500"/>
    <x v="336"/>
    <x v="6"/>
    <x v="6"/>
    <x v="3"/>
    <n v="7700"/>
    <m/>
    <m/>
    <x v="4"/>
    <m/>
    <m/>
    <m/>
  </r>
  <r>
    <n v="1492"/>
    <x v="337"/>
    <x v="6"/>
    <x v="6"/>
    <x v="3"/>
    <n v="7700"/>
    <m/>
    <m/>
    <x v="4"/>
    <m/>
    <m/>
    <m/>
  </r>
  <r>
    <n v="1508"/>
    <x v="338"/>
    <x v="4"/>
    <x v="4"/>
    <x v="2"/>
    <n v="3910"/>
    <m/>
    <m/>
    <x v="4"/>
    <m/>
    <m/>
    <m/>
  </r>
  <r>
    <n v="1509"/>
    <x v="339"/>
    <x v="2"/>
    <x v="2"/>
    <x v="2"/>
    <n v="4070"/>
    <m/>
    <m/>
    <x v="4"/>
    <m/>
    <m/>
    <m/>
  </r>
  <r>
    <n v="1515"/>
    <x v="339"/>
    <x v="4"/>
    <x v="4"/>
    <x v="2"/>
    <n v="3910"/>
    <m/>
    <m/>
    <x v="4"/>
    <m/>
    <m/>
    <m/>
  </r>
  <r>
    <n v="1514"/>
    <x v="340"/>
    <x v="0"/>
    <x v="0"/>
    <x v="0"/>
    <n v="6750"/>
    <m/>
    <m/>
    <x v="4"/>
    <m/>
    <m/>
    <m/>
  </r>
  <r>
    <n v="1496"/>
    <x v="341"/>
    <x v="4"/>
    <x v="4"/>
    <x v="2"/>
    <n v="3910"/>
    <m/>
    <m/>
    <x v="4"/>
    <m/>
    <m/>
    <m/>
  </r>
  <r>
    <n v="1503"/>
    <x v="341"/>
    <x v="8"/>
    <x v="8"/>
    <x v="3"/>
    <n v="780"/>
    <m/>
    <m/>
    <x v="4"/>
    <m/>
    <m/>
    <m/>
  </r>
  <r>
    <n v="1543"/>
    <x v="342"/>
    <x v="3"/>
    <x v="3"/>
    <x v="3"/>
    <n v="1430"/>
    <m/>
    <m/>
    <x v="4"/>
    <m/>
    <m/>
    <m/>
  </r>
  <r>
    <n v="1523"/>
    <x v="343"/>
    <x v="2"/>
    <x v="2"/>
    <x v="2"/>
    <n v="4070"/>
    <m/>
    <m/>
    <x v="4"/>
    <m/>
    <m/>
    <m/>
  </r>
  <r>
    <n v="1530"/>
    <x v="343"/>
    <x v="1"/>
    <x v="1"/>
    <x v="1"/>
    <n v="880"/>
    <m/>
    <m/>
    <x v="4"/>
    <m/>
    <m/>
    <m/>
  </r>
  <r>
    <n v="1527"/>
    <x v="344"/>
    <x v="3"/>
    <x v="3"/>
    <x v="3"/>
    <n v="1430"/>
    <m/>
    <m/>
    <x v="4"/>
    <m/>
    <m/>
    <m/>
  </r>
  <r>
    <n v="1532"/>
    <x v="345"/>
    <x v="1"/>
    <x v="1"/>
    <x v="1"/>
    <n v="880"/>
    <m/>
    <m/>
    <x v="4"/>
    <m/>
    <m/>
    <m/>
  </r>
  <r>
    <n v="1544"/>
    <x v="345"/>
    <x v="4"/>
    <x v="4"/>
    <x v="2"/>
    <n v="3910"/>
    <m/>
    <m/>
    <x v="4"/>
    <m/>
    <m/>
    <m/>
  </r>
  <r>
    <n v="1542"/>
    <x v="346"/>
    <x v="6"/>
    <x v="6"/>
    <x v="3"/>
    <n v="7700"/>
    <m/>
    <m/>
    <x v="4"/>
    <m/>
    <m/>
    <m/>
  </r>
  <r>
    <n v="1525"/>
    <x v="347"/>
    <x v="4"/>
    <x v="4"/>
    <x v="2"/>
    <n v="3910"/>
    <m/>
    <m/>
    <x v="4"/>
    <m/>
    <m/>
    <m/>
  </r>
  <r>
    <n v="1538"/>
    <x v="347"/>
    <x v="2"/>
    <x v="2"/>
    <x v="2"/>
    <n v="4070"/>
    <m/>
    <m/>
    <x v="4"/>
    <m/>
    <m/>
    <m/>
  </r>
  <r>
    <n v="1533"/>
    <x v="348"/>
    <x v="4"/>
    <x v="4"/>
    <x v="2"/>
    <n v="3910"/>
    <m/>
    <m/>
    <x v="4"/>
    <m/>
    <m/>
    <m/>
  </r>
  <r>
    <n v="1548"/>
    <x v="348"/>
    <x v="1"/>
    <x v="1"/>
    <x v="1"/>
    <n v="880"/>
    <m/>
    <m/>
    <x v="4"/>
    <m/>
    <m/>
    <m/>
  </r>
  <r>
    <n v="1526"/>
    <x v="349"/>
    <x v="2"/>
    <x v="2"/>
    <x v="2"/>
    <n v="4070"/>
    <m/>
    <m/>
    <x v="4"/>
    <m/>
    <m/>
    <m/>
  </r>
  <r>
    <n v="1540"/>
    <x v="350"/>
    <x v="8"/>
    <x v="8"/>
    <x v="3"/>
    <n v="780"/>
    <m/>
    <m/>
    <x v="4"/>
    <m/>
    <m/>
    <m/>
  </r>
  <r>
    <n v="1545"/>
    <x v="351"/>
    <x v="0"/>
    <x v="0"/>
    <x v="0"/>
    <n v="6750"/>
    <m/>
    <m/>
    <x v="4"/>
    <m/>
    <m/>
    <m/>
  </r>
  <r>
    <n v="1546"/>
    <x v="351"/>
    <x v="8"/>
    <x v="8"/>
    <x v="3"/>
    <n v="780"/>
    <m/>
    <m/>
    <x v="4"/>
    <m/>
    <m/>
    <m/>
  </r>
  <r>
    <n v="1524"/>
    <x v="352"/>
    <x v="8"/>
    <x v="8"/>
    <x v="3"/>
    <n v="780"/>
    <m/>
    <m/>
    <x v="4"/>
    <m/>
    <m/>
    <m/>
  </r>
  <r>
    <n v="1528"/>
    <x v="352"/>
    <x v="4"/>
    <x v="4"/>
    <x v="2"/>
    <n v="3910"/>
    <m/>
    <m/>
    <x v="4"/>
    <m/>
    <m/>
    <m/>
  </r>
  <r>
    <n v="1529"/>
    <x v="353"/>
    <x v="6"/>
    <x v="6"/>
    <x v="3"/>
    <n v="7700"/>
    <m/>
    <m/>
    <x v="4"/>
    <m/>
    <m/>
    <m/>
  </r>
  <r>
    <n v="1537"/>
    <x v="354"/>
    <x v="4"/>
    <x v="4"/>
    <x v="2"/>
    <n v="3910"/>
    <m/>
    <m/>
    <x v="4"/>
    <m/>
    <m/>
    <m/>
  </r>
  <r>
    <n v="1547"/>
    <x v="354"/>
    <x v="1"/>
    <x v="1"/>
    <x v="1"/>
    <n v="880"/>
    <m/>
    <m/>
    <x v="4"/>
    <m/>
    <m/>
    <m/>
  </r>
  <r>
    <n v="1522"/>
    <x v="355"/>
    <x v="6"/>
    <x v="6"/>
    <x v="3"/>
    <n v="7700"/>
    <m/>
    <m/>
    <x v="4"/>
    <m/>
    <m/>
    <m/>
  </r>
  <r>
    <n v="1534"/>
    <x v="355"/>
    <x v="2"/>
    <x v="2"/>
    <x v="2"/>
    <n v="4070"/>
    <m/>
    <m/>
    <x v="4"/>
    <m/>
    <m/>
    <m/>
  </r>
  <r>
    <n v="1541"/>
    <x v="355"/>
    <x v="1"/>
    <x v="1"/>
    <x v="1"/>
    <n v="880"/>
    <m/>
    <m/>
    <x v="4"/>
    <m/>
    <m/>
    <m/>
  </r>
  <r>
    <n v="1531"/>
    <x v="356"/>
    <x v="6"/>
    <x v="6"/>
    <x v="3"/>
    <n v="7700"/>
    <m/>
    <m/>
    <x v="4"/>
    <m/>
    <m/>
    <m/>
  </r>
  <r>
    <n v="1535"/>
    <x v="357"/>
    <x v="4"/>
    <x v="4"/>
    <x v="2"/>
    <n v="3910"/>
    <m/>
    <m/>
    <x v="4"/>
    <m/>
    <m/>
    <m/>
  </r>
  <r>
    <n v="1536"/>
    <x v="357"/>
    <x v="7"/>
    <x v="7"/>
    <x v="0"/>
    <n v="11010"/>
    <m/>
    <m/>
    <x v="4"/>
    <m/>
    <m/>
    <m/>
  </r>
  <r>
    <n v="1539"/>
    <x v="358"/>
    <x v="5"/>
    <x v="5"/>
    <x v="1"/>
    <n v="1110"/>
    <m/>
    <m/>
    <x v="4"/>
    <m/>
    <m/>
    <m/>
  </r>
  <r>
    <n v="1561"/>
    <x v="359"/>
    <x v="0"/>
    <x v="0"/>
    <x v="0"/>
    <n v="6750"/>
    <m/>
    <m/>
    <x v="4"/>
    <m/>
    <m/>
    <m/>
  </r>
  <r>
    <n v="1562"/>
    <x v="360"/>
    <x v="0"/>
    <x v="0"/>
    <x v="0"/>
    <n v="6750"/>
    <m/>
    <m/>
    <x v="4"/>
    <m/>
    <m/>
    <m/>
  </r>
  <r>
    <n v="1563"/>
    <x v="360"/>
    <x v="4"/>
    <x v="4"/>
    <x v="2"/>
    <n v="3910"/>
    <m/>
    <m/>
    <x v="4"/>
    <m/>
    <m/>
    <m/>
  </r>
  <r>
    <n v="1560"/>
    <x v="361"/>
    <x v="1"/>
    <x v="1"/>
    <x v="1"/>
    <n v="880"/>
    <m/>
    <m/>
    <x v="4"/>
    <m/>
    <m/>
    <m/>
  </r>
  <r>
    <n v="1571"/>
    <x v="362"/>
    <x v="2"/>
    <x v="2"/>
    <x v="2"/>
    <n v="4070"/>
    <m/>
    <m/>
    <x v="4"/>
    <m/>
    <m/>
    <m/>
  </r>
  <r>
    <n v="1559"/>
    <x v="363"/>
    <x v="5"/>
    <x v="5"/>
    <x v="1"/>
    <n v="1110"/>
    <m/>
    <m/>
    <x v="4"/>
    <m/>
    <m/>
    <m/>
  </r>
  <r>
    <n v="1566"/>
    <x v="363"/>
    <x v="5"/>
    <x v="5"/>
    <x v="1"/>
    <n v="1110"/>
    <m/>
    <m/>
    <x v="4"/>
    <m/>
    <m/>
    <m/>
  </r>
  <r>
    <n v="1576"/>
    <x v="364"/>
    <x v="5"/>
    <x v="5"/>
    <x v="1"/>
    <n v="1110"/>
    <m/>
    <m/>
    <x v="4"/>
    <m/>
    <m/>
    <m/>
  </r>
  <r>
    <n v="1557"/>
    <x v="365"/>
    <x v="7"/>
    <x v="7"/>
    <x v="0"/>
    <n v="11010"/>
    <m/>
    <m/>
    <x v="4"/>
    <m/>
    <m/>
    <m/>
  </r>
  <r>
    <n v="1572"/>
    <x v="365"/>
    <x v="8"/>
    <x v="8"/>
    <x v="3"/>
    <n v="780"/>
    <m/>
    <m/>
    <x v="4"/>
    <m/>
    <m/>
    <m/>
  </r>
  <r>
    <n v="1553"/>
    <x v="366"/>
    <x v="0"/>
    <x v="0"/>
    <x v="0"/>
    <n v="6750"/>
    <m/>
    <m/>
    <x v="4"/>
    <m/>
    <m/>
    <m/>
  </r>
  <r>
    <n v="1575"/>
    <x v="366"/>
    <x v="0"/>
    <x v="0"/>
    <x v="0"/>
    <n v="6750"/>
    <m/>
    <m/>
    <x v="4"/>
    <m/>
    <m/>
    <m/>
  </r>
  <r>
    <n v="1573"/>
    <x v="367"/>
    <x v="4"/>
    <x v="4"/>
    <x v="2"/>
    <n v="3910"/>
    <m/>
    <m/>
    <x v="4"/>
    <m/>
    <m/>
    <m/>
  </r>
  <r>
    <n v="1574"/>
    <x v="367"/>
    <x v="6"/>
    <x v="6"/>
    <x v="3"/>
    <n v="7700"/>
    <m/>
    <m/>
    <x v="4"/>
    <m/>
    <m/>
    <m/>
  </r>
  <r>
    <n v="1550"/>
    <x v="368"/>
    <x v="7"/>
    <x v="7"/>
    <x v="0"/>
    <n v="11010"/>
    <m/>
    <m/>
    <x v="4"/>
    <m/>
    <m/>
    <m/>
  </r>
  <r>
    <n v="1549"/>
    <x v="369"/>
    <x v="1"/>
    <x v="1"/>
    <x v="1"/>
    <n v="880"/>
    <m/>
    <m/>
    <x v="4"/>
    <m/>
    <m/>
    <m/>
  </r>
  <r>
    <n v="1551"/>
    <x v="369"/>
    <x v="0"/>
    <x v="0"/>
    <x v="0"/>
    <n v="6750"/>
    <m/>
    <m/>
    <x v="4"/>
    <m/>
    <m/>
    <m/>
  </r>
  <r>
    <n v="1555"/>
    <x v="370"/>
    <x v="7"/>
    <x v="7"/>
    <x v="0"/>
    <n v="11010"/>
    <m/>
    <m/>
    <x v="4"/>
    <m/>
    <m/>
    <m/>
  </r>
  <r>
    <n v="1568"/>
    <x v="370"/>
    <x v="3"/>
    <x v="3"/>
    <x v="3"/>
    <n v="1430"/>
    <m/>
    <m/>
    <x v="4"/>
    <m/>
    <m/>
    <m/>
  </r>
  <r>
    <n v="1558"/>
    <x v="371"/>
    <x v="4"/>
    <x v="4"/>
    <x v="2"/>
    <n v="3910"/>
    <m/>
    <m/>
    <x v="4"/>
    <m/>
    <m/>
    <m/>
  </r>
  <r>
    <n v="1567"/>
    <x v="371"/>
    <x v="4"/>
    <x v="4"/>
    <x v="2"/>
    <n v="3910"/>
    <m/>
    <m/>
    <x v="4"/>
    <m/>
    <m/>
    <m/>
  </r>
  <r>
    <n v="1552"/>
    <x v="372"/>
    <x v="0"/>
    <x v="0"/>
    <x v="0"/>
    <n v="6750"/>
    <m/>
    <m/>
    <x v="4"/>
    <m/>
    <m/>
    <m/>
  </r>
  <r>
    <n v="1577"/>
    <x v="373"/>
    <x v="8"/>
    <x v="8"/>
    <x v="3"/>
    <n v="780"/>
    <m/>
    <m/>
    <x v="4"/>
    <m/>
    <m/>
    <m/>
  </r>
  <r>
    <n v="1554"/>
    <x v="374"/>
    <x v="4"/>
    <x v="4"/>
    <x v="2"/>
    <n v="3910"/>
    <m/>
    <m/>
    <x v="4"/>
    <m/>
    <m/>
    <m/>
  </r>
  <r>
    <n v="1564"/>
    <x v="374"/>
    <x v="8"/>
    <x v="8"/>
    <x v="3"/>
    <n v="780"/>
    <m/>
    <m/>
    <x v="4"/>
    <m/>
    <m/>
    <m/>
  </r>
  <r>
    <n v="1565"/>
    <x v="374"/>
    <x v="2"/>
    <x v="2"/>
    <x v="2"/>
    <n v="4070"/>
    <m/>
    <m/>
    <x v="4"/>
    <m/>
    <m/>
    <m/>
  </r>
  <r>
    <n v="1569"/>
    <x v="374"/>
    <x v="1"/>
    <x v="1"/>
    <x v="1"/>
    <n v="880"/>
    <m/>
    <m/>
    <x v="4"/>
    <m/>
    <m/>
    <m/>
  </r>
  <r>
    <n v="1570"/>
    <x v="374"/>
    <x v="2"/>
    <x v="2"/>
    <x v="2"/>
    <n v="4070"/>
    <m/>
    <m/>
    <x v="4"/>
    <m/>
    <m/>
    <m/>
  </r>
  <r>
    <n v="1556"/>
    <x v="375"/>
    <x v="2"/>
    <x v="2"/>
    <x v="2"/>
    <n v="4070"/>
    <m/>
    <m/>
    <x v="4"/>
    <m/>
    <m/>
    <m/>
  </r>
  <r>
    <n v="1600"/>
    <x v="376"/>
    <x v="5"/>
    <x v="5"/>
    <x v="1"/>
    <n v="1110"/>
    <m/>
    <m/>
    <x v="4"/>
    <m/>
    <m/>
    <m/>
  </r>
  <r>
    <n v="1580"/>
    <x v="377"/>
    <x v="2"/>
    <x v="2"/>
    <x v="2"/>
    <n v="4070"/>
    <m/>
    <m/>
    <x v="4"/>
    <m/>
    <m/>
    <m/>
  </r>
  <r>
    <n v="1594"/>
    <x v="377"/>
    <x v="3"/>
    <x v="3"/>
    <x v="3"/>
    <n v="1430"/>
    <m/>
    <m/>
    <x v="4"/>
    <m/>
    <m/>
    <m/>
  </r>
  <r>
    <n v="1586"/>
    <x v="378"/>
    <x v="5"/>
    <x v="5"/>
    <x v="1"/>
    <n v="1110"/>
    <m/>
    <m/>
    <x v="4"/>
    <m/>
    <m/>
    <m/>
  </r>
  <r>
    <n v="1609"/>
    <x v="378"/>
    <x v="4"/>
    <x v="4"/>
    <x v="2"/>
    <n v="3910"/>
    <m/>
    <m/>
    <x v="4"/>
    <m/>
    <m/>
    <m/>
  </r>
  <r>
    <n v="1595"/>
    <x v="379"/>
    <x v="1"/>
    <x v="1"/>
    <x v="1"/>
    <n v="880"/>
    <m/>
    <m/>
    <x v="4"/>
    <m/>
    <m/>
    <m/>
  </r>
  <r>
    <n v="1597"/>
    <x v="379"/>
    <x v="3"/>
    <x v="3"/>
    <x v="3"/>
    <n v="1430"/>
    <m/>
    <m/>
    <x v="4"/>
    <m/>
    <m/>
    <m/>
  </r>
  <r>
    <n v="1605"/>
    <x v="380"/>
    <x v="5"/>
    <x v="5"/>
    <x v="1"/>
    <n v="1110"/>
    <m/>
    <m/>
    <x v="4"/>
    <m/>
    <m/>
    <m/>
  </r>
  <r>
    <n v="1579"/>
    <x v="381"/>
    <x v="2"/>
    <x v="2"/>
    <x v="2"/>
    <n v="4070"/>
    <m/>
    <m/>
    <x v="4"/>
    <m/>
    <m/>
    <m/>
  </r>
  <r>
    <n v="1581"/>
    <x v="381"/>
    <x v="6"/>
    <x v="6"/>
    <x v="3"/>
    <n v="7700"/>
    <m/>
    <m/>
    <x v="4"/>
    <m/>
    <m/>
    <m/>
  </r>
  <r>
    <n v="1583"/>
    <x v="381"/>
    <x v="5"/>
    <x v="5"/>
    <x v="1"/>
    <n v="1110"/>
    <m/>
    <m/>
    <x v="4"/>
    <m/>
    <m/>
    <m/>
  </r>
  <r>
    <n v="1590"/>
    <x v="382"/>
    <x v="5"/>
    <x v="5"/>
    <x v="1"/>
    <n v="1110"/>
    <m/>
    <m/>
    <x v="4"/>
    <m/>
    <m/>
    <m/>
  </r>
  <r>
    <n v="1603"/>
    <x v="382"/>
    <x v="8"/>
    <x v="8"/>
    <x v="3"/>
    <n v="780"/>
    <m/>
    <m/>
    <x v="4"/>
    <m/>
    <m/>
    <m/>
  </r>
  <r>
    <n v="1582"/>
    <x v="383"/>
    <x v="8"/>
    <x v="8"/>
    <x v="3"/>
    <n v="780"/>
    <m/>
    <m/>
    <x v="4"/>
    <m/>
    <m/>
    <m/>
  </r>
  <r>
    <n v="1601"/>
    <x v="383"/>
    <x v="7"/>
    <x v="7"/>
    <x v="0"/>
    <n v="11010"/>
    <m/>
    <m/>
    <x v="4"/>
    <m/>
    <m/>
    <m/>
  </r>
  <r>
    <n v="1598"/>
    <x v="384"/>
    <x v="3"/>
    <x v="3"/>
    <x v="3"/>
    <n v="1430"/>
    <m/>
    <m/>
    <x v="4"/>
    <m/>
    <m/>
    <m/>
  </r>
  <r>
    <n v="1607"/>
    <x v="384"/>
    <x v="4"/>
    <x v="4"/>
    <x v="2"/>
    <n v="3910"/>
    <m/>
    <m/>
    <x v="4"/>
    <m/>
    <m/>
    <m/>
  </r>
  <r>
    <n v="1589"/>
    <x v="385"/>
    <x v="0"/>
    <x v="0"/>
    <x v="0"/>
    <n v="6750"/>
    <m/>
    <m/>
    <x v="4"/>
    <m/>
    <m/>
    <m/>
  </r>
  <r>
    <n v="1593"/>
    <x v="386"/>
    <x v="1"/>
    <x v="1"/>
    <x v="1"/>
    <n v="880"/>
    <m/>
    <m/>
    <x v="4"/>
    <m/>
    <m/>
    <m/>
  </r>
  <r>
    <n v="1599"/>
    <x v="386"/>
    <x v="5"/>
    <x v="5"/>
    <x v="1"/>
    <n v="1110"/>
    <m/>
    <m/>
    <x v="4"/>
    <m/>
    <m/>
    <m/>
  </r>
  <r>
    <n v="1602"/>
    <x v="387"/>
    <x v="8"/>
    <x v="8"/>
    <x v="3"/>
    <n v="780"/>
    <m/>
    <m/>
    <x v="4"/>
    <m/>
    <m/>
    <m/>
  </r>
  <r>
    <n v="1588"/>
    <x v="388"/>
    <x v="7"/>
    <x v="7"/>
    <x v="0"/>
    <n v="11010"/>
    <m/>
    <m/>
    <x v="4"/>
    <m/>
    <m/>
    <m/>
  </r>
  <r>
    <n v="1584"/>
    <x v="389"/>
    <x v="8"/>
    <x v="8"/>
    <x v="3"/>
    <n v="780"/>
    <m/>
    <m/>
    <x v="4"/>
    <m/>
    <m/>
    <m/>
  </r>
  <r>
    <n v="1585"/>
    <x v="390"/>
    <x v="0"/>
    <x v="0"/>
    <x v="0"/>
    <n v="6750"/>
    <m/>
    <m/>
    <x v="4"/>
    <m/>
    <m/>
    <m/>
  </r>
  <r>
    <n v="1608"/>
    <x v="390"/>
    <x v="2"/>
    <x v="2"/>
    <x v="2"/>
    <n v="4070"/>
    <m/>
    <m/>
    <x v="4"/>
    <m/>
    <m/>
    <m/>
  </r>
  <r>
    <n v="1587"/>
    <x v="391"/>
    <x v="1"/>
    <x v="1"/>
    <x v="1"/>
    <n v="880"/>
    <m/>
    <m/>
    <x v="4"/>
    <m/>
    <m/>
    <m/>
  </r>
  <r>
    <n v="1591"/>
    <x v="392"/>
    <x v="1"/>
    <x v="1"/>
    <x v="1"/>
    <n v="880"/>
    <m/>
    <m/>
    <x v="4"/>
    <m/>
    <m/>
    <m/>
  </r>
  <r>
    <n v="1592"/>
    <x v="392"/>
    <x v="0"/>
    <x v="0"/>
    <x v="0"/>
    <n v="6750"/>
    <m/>
    <m/>
    <x v="4"/>
    <m/>
    <m/>
    <m/>
  </r>
  <r>
    <n v="1606"/>
    <x v="392"/>
    <x v="6"/>
    <x v="6"/>
    <x v="3"/>
    <n v="7700"/>
    <m/>
    <m/>
    <x v="4"/>
    <m/>
    <m/>
    <m/>
  </r>
  <r>
    <n v="1578"/>
    <x v="393"/>
    <x v="6"/>
    <x v="6"/>
    <x v="3"/>
    <n v="7700"/>
    <m/>
    <m/>
    <x v="4"/>
    <m/>
    <m/>
    <m/>
  </r>
  <r>
    <n v="1596"/>
    <x v="393"/>
    <x v="6"/>
    <x v="6"/>
    <x v="3"/>
    <n v="7700"/>
    <m/>
    <m/>
    <x v="4"/>
    <m/>
    <m/>
    <m/>
  </r>
  <r>
    <n v="1604"/>
    <x v="394"/>
    <x v="1"/>
    <x v="1"/>
    <x v="1"/>
    <n v="880"/>
    <m/>
    <m/>
    <x v="4"/>
    <m/>
    <m/>
    <m/>
  </r>
  <r>
    <n v="1616"/>
    <x v="395"/>
    <x v="0"/>
    <x v="0"/>
    <x v="0"/>
    <n v="6750"/>
    <m/>
    <m/>
    <x v="4"/>
    <m/>
    <m/>
    <m/>
  </r>
  <r>
    <n v="1634"/>
    <x v="395"/>
    <x v="4"/>
    <x v="4"/>
    <x v="2"/>
    <n v="3910"/>
    <m/>
    <m/>
    <x v="4"/>
    <m/>
    <m/>
    <m/>
  </r>
  <r>
    <n v="1614"/>
    <x v="396"/>
    <x v="6"/>
    <x v="6"/>
    <x v="3"/>
    <n v="7700"/>
    <m/>
    <m/>
    <x v="4"/>
    <m/>
    <m/>
    <m/>
  </r>
  <r>
    <n v="1619"/>
    <x v="396"/>
    <x v="0"/>
    <x v="0"/>
    <x v="0"/>
    <n v="6750"/>
    <m/>
    <m/>
    <x v="4"/>
    <m/>
    <m/>
    <m/>
  </r>
  <r>
    <n v="1639"/>
    <x v="396"/>
    <x v="7"/>
    <x v="7"/>
    <x v="0"/>
    <n v="11010"/>
    <m/>
    <m/>
    <x v="4"/>
    <m/>
    <m/>
    <m/>
  </r>
  <r>
    <n v="1649"/>
    <x v="396"/>
    <x v="7"/>
    <x v="7"/>
    <x v="0"/>
    <n v="11010"/>
    <m/>
    <m/>
    <x v="4"/>
    <m/>
    <m/>
    <m/>
  </r>
  <r>
    <n v="1633"/>
    <x v="397"/>
    <x v="2"/>
    <x v="2"/>
    <x v="2"/>
    <n v="4070"/>
    <m/>
    <m/>
    <x v="4"/>
    <m/>
    <m/>
    <m/>
  </r>
  <r>
    <n v="1648"/>
    <x v="397"/>
    <x v="6"/>
    <x v="6"/>
    <x v="3"/>
    <n v="7700"/>
    <m/>
    <m/>
    <x v="4"/>
    <m/>
    <m/>
    <m/>
  </r>
  <r>
    <n v="1611"/>
    <x v="398"/>
    <x v="8"/>
    <x v="8"/>
    <x v="3"/>
    <n v="780"/>
    <m/>
    <m/>
    <x v="4"/>
    <m/>
    <m/>
    <m/>
  </r>
  <r>
    <n v="1620"/>
    <x v="398"/>
    <x v="6"/>
    <x v="6"/>
    <x v="3"/>
    <n v="7700"/>
    <m/>
    <m/>
    <x v="4"/>
    <m/>
    <m/>
    <m/>
  </r>
  <r>
    <n v="1628"/>
    <x v="398"/>
    <x v="2"/>
    <x v="2"/>
    <x v="2"/>
    <n v="4070"/>
    <m/>
    <m/>
    <x v="4"/>
    <m/>
    <m/>
    <m/>
  </r>
  <r>
    <n v="1644"/>
    <x v="399"/>
    <x v="7"/>
    <x v="7"/>
    <x v="0"/>
    <n v="11010"/>
    <m/>
    <m/>
    <x v="4"/>
    <m/>
    <m/>
    <m/>
  </r>
  <r>
    <n v="1646"/>
    <x v="399"/>
    <x v="4"/>
    <x v="4"/>
    <x v="2"/>
    <n v="3910"/>
    <m/>
    <m/>
    <x v="4"/>
    <m/>
    <m/>
    <m/>
  </r>
  <r>
    <n v="1618"/>
    <x v="400"/>
    <x v="0"/>
    <x v="0"/>
    <x v="0"/>
    <n v="6750"/>
    <m/>
    <m/>
    <x v="4"/>
    <m/>
    <m/>
    <m/>
  </r>
  <r>
    <n v="1636"/>
    <x v="400"/>
    <x v="8"/>
    <x v="8"/>
    <x v="3"/>
    <n v="780"/>
    <m/>
    <m/>
    <x v="4"/>
    <m/>
    <m/>
    <m/>
  </r>
  <r>
    <n v="1615"/>
    <x v="401"/>
    <x v="8"/>
    <x v="8"/>
    <x v="3"/>
    <n v="780"/>
    <m/>
    <m/>
    <x v="4"/>
    <m/>
    <m/>
    <m/>
  </r>
  <r>
    <n v="1623"/>
    <x v="401"/>
    <x v="1"/>
    <x v="1"/>
    <x v="1"/>
    <n v="880"/>
    <m/>
    <m/>
    <x v="4"/>
    <m/>
    <m/>
    <m/>
  </r>
  <r>
    <n v="1657"/>
    <x v="401"/>
    <x v="8"/>
    <x v="8"/>
    <x v="3"/>
    <n v="780"/>
    <m/>
    <m/>
    <x v="4"/>
    <m/>
    <m/>
    <m/>
  </r>
  <r>
    <n v="1613"/>
    <x v="402"/>
    <x v="0"/>
    <x v="0"/>
    <x v="0"/>
    <n v="6750"/>
    <m/>
    <m/>
    <x v="4"/>
    <m/>
    <m/>
    <m/>
  </r>
  <r>
    <n v="1625"/>
    <x v="403"/>
    <x v="2"/>
    <x v="2"/>
    <x v="2"/>
    <n v="4070"/>
    <m/>
    <m/>
    <x v="4"/>
    <m/>
    <m/>
    <m/>
  </r>
  <r>
    <n v="1629"/>
    <x v="403"/>
    <x v="6"/>
    <x v="6"/>
    <x v="3"/>
    <n v="7700"/>
    <m/>
    <m/>
    <x v="4"/>
    <m/>
    <m/>
    <m/>
  </r>
  <r>
    <n v="1632"/>
    <x v="404"/>
    <x v="2"/>
    <x v="2"/>
    <x v="2"/>
    <n v="4070"/>
    <m/>
    <m/>
    <x v="4"/>
    <m/>
    <m/>
    <m/>
  </r>
  <r>
    <n v="1659"/>
    <x v="404"/>
    <x v="8"/>
    <x v="8"/>
    <x v="3"/>
    <n v="780"/>
    <m/>
    <m/>
    <x v="4"/>
    <m/>
    <m/>
    <m/>
  </r>
  <r>
    <n v="1612"/>
    <x v="405"/>
    <x v="1"/>
    <x v="1"/>
    <x v="1"/>
    <n v="880"/>
    <m/>
    <m/>
    <x v="4"/>
    <m/>
    <m/>
    <m/>
  </r>
  <r>
    <n v="1624"/>
    <x v="405"/>
    <x v="7"/>
    <x v="7"/>
    <x v="0"/>
    <n v="11010"/>
    <m/>
    <m/>
    <x v="4"/>
    <m/>
    <m/>
    <m/>
  </r>
  <r>
    <n v="1631"/>
    <x v="405"/>
    <x v="5"/>
    <x v="5"/>
    <x v="1"/>
    <n v="1110"/>
    <m/>
    <m/>
    <x v="4"/>
    <m/>
    <m/>
    <m/>
  </r>
  <r>
    <n v="1635"/>
    <x v="405"/>
    <x v="4"/>
    <x v="4"/>
    <x v="2"/>
    <n v="3910"/>
    <m/>
    <m/>
    <x v="4"/>
    <m/>
    <m/>
    <m/>
  </r>
  <r>
    <n v="1643"/>
    <x v="405"/>
    <x v="2"/>
    <x v="2"/>
    <x v="2"/>
    <n v="4070"/>
    <m/>
    <m/>
    <x v="4"/>
    <m/>
    <m/>
    <m/>
  </r>
  <r>
    <n v="1647"/>
    <x v="406"/>
    <x v="2"/>
    <x v="2"/>
    <x v="2"/>
    <n v="4070"/>
    <m/>
    <m/>
    <x v="4"/>
    <m/>
    <m/>
    <m/>
  </r>
  <r>
    <n v="1650"/>
    <x v="406"/>
    <x v="0"/>
    <x v="0"/>
    <x v="0"/>
    <n v="6750"/>
    <m/>
    <m/>
    <x v="4"/>
    <m/>
    <m/>
    <m/>
  </r>
  <r>
    <n v="1617"/>
    <x v="407"/>
    <x v="8"/>
    <x v="8"/>
    <x v="3"/>
    <n v="780"/>
    <m/>
    <m/>
    <x v="4"/>
    <m/>
    <m/>
    <m/>
  </r>
  <r>
    <n v="1621"/>
    <x v="407"/>
    <x v="4"/>
    <x v="4"/>
    <x v="2"/>
    <n v="3910"/>
    <m/>
    <m/>
    <x v="4"/>
    <m/>
    <m/>
    <m/>
  </r>
  <r>
    <n v="1651"/>
    <x v="408"/>
    <x v="5"/>
    <x v="5"/>
    <x v="1"/>
    <n v="1110"/>
    <m/>
    <m/>
    <x v="4"/>
    <m/>
    <m/>
    <m/>
  </r>
  <r>
    <n v="1655"/>
    <x v="408"/>
    <x v="6"/>
    <x v="6"/>
    <x v="3"/>
    <n v="7700"/>
    <m/>
    <m/>
    <x v="4"/>
    <m/>
    <m/>
    <m/>
  </r>
  <r>
    <n v="1626"/>
    <x v="409"/>
    <x v="4"/>
    <x v="4"/>
    <x v="2"/>
    <n v="3910"/>
    <m/>
    <m/>
    <x v="4"/>
    <m/>
    <m/>
    <m/>
  </r>
  <r>
    <n v="1627"/>
    <x v="410"/>
    <x v="1"/>
    <x v="1"/>
    <x v="1"/>
    <n v="880"/>
    <m/>
    <m/>
    <x v="4"/>
    <m/>
    <m/>
    <m/>
  </r>
  <r>
    <n v="1658"/>
    <x v="410"/>
    <x v="0"/>
    <x v="0"/>
    <x v="0"/>
    <n v="6750"/>
    <m/>
    <m/>
    <x v="4"/>
    <m/>
    <m/>
    <m/>
  </r>
  <r>
    <n v="1610"/>
    <x v="411"/>
    <x v="1"/>
    <x v="1"/>
    <x v="1"/>
    <n v="880"/>
    <m/>
    <m/>
    <x v="4"/>
    <m/>
    <m/>
    <m/>
  </r>
  <r>
    <n v="1653"/>
    <x v="411"/>
    <x v="5"/>
    <x v="5"/>
    <x v="1"/>
    <n v="1110"/>
    <m/>
    <m/>
    <x v="4"/>
    <m/>
    <m/>
    <m/>
  </r>
  <r>
    <n v="1654"/>
    <x v="411"/>
    <x v="6"/>
    <x v="6"/>
    <x v="3"/>
    <n v="7700"/>
    <m/>
    <m/>
    <x v="4"/>
    <m/>
    <m/>
    <m/>
  </r>
  <r>
    <n v="1642"/>
    <x v="412"/>
    <x v="1"/>
    <x v="1"/>
    <x v="1"/>
    <n v="880"/>
    <m/>
    <m/>
    <x v="4"/>
    <m/>
    <m/>
    <m/>
  </r>
  <r>
    <n v="1637"/>
    <x v="413"/>
    <x v="3"/>
    <x v="3"/>
    <x v="3"/>
    <n v="1430"/>
    <m/>
    <m/>
    <x v="4"/>
    <m/>
    <m/>
    <m/>
  </r>
  <r>
    <n v="1645"/>
    <x v="413"/>
    <x v="5"/>
    <x v="5"/>
    <x v="1"/>
    <n v="1110"/>
    <m/>
    <m/>
    <x v="4"/>
    <m/>
    <m/>
    <m/>
  </r>
  <r>
    <n v="1656"/>
    <x v="414"/>
    <x v="1"/>
    <x v="1"/>
    <x v="1"/>
    <n v="880"/>
    <m/>
    <m/>
    <x v="4"/>
    <m/>
    <m/>
    <m/>
  </r>
  <r>
    <n v="1630"/>
    <x v="415"/>
    <x v="0"/>
    <x v="0"/>
    <x v="0"/>
    <n v="6750"/>
    <m/>
    <m/>
    <x v="4"/>
    <m/>
    <m/>
    <m/>
  </r>
  <r>
    <n v="1638"/>
    <x v="415"/>
    <x v="5"/>
    <x v="5"/>
    <x v="1"/>
    <n v="1110"/>
    <m/>
    <m/>
    <x v="4"/>
    <m/>
    <m/>
    <m/>
  </r>
  <r>
    <n v="1622"/>
    <x v="416"/>
    <x v="0"/>
    <x v="0"/>
    <x v="0"/>
    <n v="6750"/>
    <m/>
    <m/>
    <x v="4"/>
    <m/>
    <m/>
    <m/>
  </r>
  <r>
    <n v="1640"/>
    <x v="417"/>
    <x v="3"/>
    <x v="3"/>
    <x v="3"/>
    <n v="1430"/>
    <m/>
    <m/>
    <x v="4"/>
    <m/>
    <m/>
    <m/>
  </r>
  <r>
    <n v="1641"/>
    <x v="417"/>
    <x v="0"/>
    <x v="0"/>
    <x v="0"/>
    <n v="6750"/>
    <m/>
    <m/>
    <x v="4"/>
    <m/>
    <m/>
    <m/>
  </r>
  <r>
    <n v="1652"/>
    <x v="418"/>
    <x v="7"/>
    <x v="7"/>
    <x v="0"/>
    <n v="11010"/>
    <m/>
    <m/>
    <x v="4"/>
    <m/>
    <m/>
    <m/>
  </r>
  <r>
    <n v="1661"/>
    <x v="419"/>
    <x v="5"/>
    <x v="5"/>
    <x v="1"/>
    <n v="1110"/>
    <m/>
    <m/>
    <x v="4"/>
    <m/>
    <m/>
    <m/>
  </r>
  <r>
    <n v="1663"/>
    <x v="419"/>
    <x v="1"/>
    <x v="1"/>
    <x v="1"/>
    <n v="880"/>
    <m/>
    <m/>
    <x v="4"/>
    <m/>
    <m/>
    <m/>
  </r>
  <r>
    <n v="1678"/>
    <x v="419"/>
    <x v="6"/>
    <x v="6"/>
    <x v="3"/>
    <n v="7700"/>
    <m/>
    <m/>
    <x v="4"/>
    <m/>
    <m/>
    <m/>
  </r>
  <r>
    <n v="1683"/>
    <x v="420"/>
    <x v="1"/>
    <x v="1"/>
    <x v="1"/>
    <n v="880"/>
    <m/>
    <m/>
    <x v="4"/>
    <m/>
    <m/>
    <m/>
  </r>
  <r>
    <n v="1667"/>
    <x v="421"/>
    <x v="7"/>
    <x v="7"/>
    <x v="0"/>
    <n v="11010"/>
    <m/>
    <m/>
    <x v="4"/>
    <m/>
    <m/>
    <m/>
  </r>
  <r>
    <n v="1672"/>
    <x v="421"/>
    <x v="8"/>
    <x v="8"/>
    <x v="3"/>
    <n v="780"/>
    <m/>
    <m/>
    <x v="4"/>
    <m/>
    <m/>
    <m/>
  </r>
  <r>
    <n v="1690"/>
    <x v="421"/>
    <x v="0"/>
    <x v="0"/>
    <x v="0"/>
    <n v="6750"/>
    <m/>
    <m/>
    <x v="4"/>
    <m/>
    <m/>
    <m/>
  </r>
  <r>
    <n v="1697"/>
    <x v="421"/>
    <x v="3"/>
    <x v="3"/>
    <x v="3"/>
    <n v="1430"/>
    <m/>
    <m/>
    <x v="4"/>
    <m/>
    <m/>
    <m/>
  </r>
  <r>
    <n v="1694"/>
    <x v="422"/>
    <x v="4"/>
    <x v="4"/>
    <x v="2"/>
    <n v="3910"/>
    <m/>
    <m/>
    <x v="4"/>
    <m/>
    <m/>
    <m/>
  </r>
  <r>
    <n v="1707"/>
    <x v="422"/>
    <x v="0"/>
    <x v="0"/>
    <x v="0"/>
    <n v="6750"/>
    <m/>
    <m/>
    <x v="4"/>
    <m/>
    <m/>
    <m/>
  </r>
  <r>
    <n v="1703"/>
    <x v="423"/>
    <x v="7"/>
    <x v="7"/>
    <x v="0"/>
    <n v="11010"/>
    <m/>
    <m/>
    <x v="4"/>
    <m/>
    <m/>
    <m/>
  </r>
  <r>
    <n v="1665"/>
    <x v="424"/>
    <x v="1"/>
    <x v="1"/>
    <x v="1"/>
    <n v="880"/>
    <m/>
    <m/>
    <x v="4"/>
    <m/>
    <m/>
    <m/>
  </r>
  <r>
    <n v="1687"/>
    <x v="424"/>
    <x v="5"/>
    <x v="5"/>
    <x v="1"/>
    <n v="1110"/>
    <m/>
    <m/>
    <x v="4"/>
    <m/>
    <m/>
    <m/>
  </r>
  <r>
    <n v="1706"/>
    <x v="424"/>
    <x v="4"/>
    <x v="4"/>
    <x v="2"/>
    <n v="3910"/>
    <m/>
    <m/>
    <x v="4"/>
    <m/>
    <m/>
    <m/>
  </r>
  <r>
    <n v="1702"/>
    <x v="425"/>
    <x v="6"/>
    <x v="6"/>
    <x v="3"/>
    <n v="7700"/>
    <m/>
    <m/>
    <x v="4"/>
    <m/>
    <m/>
    <m/>
  </r>
  <r>
    <n v="1704"/>
    <x v="425"/>
    <x v="6"/>
    <x v="6"/>
    <x v="3"/>
    <n v="7700"/>
    <m/>
    <m/>
    <x v="4"/>
    <m/>
    <m/>
    <m/>
  </r>
  <r>
    <n v="1693"/>
    <x v="426"/>
    <x v="3"/>
    <x v="3"/>
    <x v="3"/>
    <n v="1430"/>
    <m/>
    <m/>
    <x v="4"/>
    <m/>
    <m/>
    <m/>
  </r>
  <r>
    <n v="1699"/>
    <x v="426"/>
    <x v="2"/>
    <x v="2"/>
    <x v="2"/>
    <n v="4070"/>
    <m/>
    <m/>
    <x v="4"/>
    <m/>
    <m/>
    <m/>
  </r>
  <r>
    <n v="1692"/>
    <x v="427"/>
    <x v="2"/>
    <x v="2"/>
    <x v="2"/>
    <n v="4070"/>
    <m/>
    <m/>
    <x v="4"/>
    <m/>
    <m/>
    <m/>
  </r>
  <r>
    <n v="1670"/>
    <x v="428"/>
    <x v="8"/>
    <x v="8"/>
    <x v="3"/>
    <n v="780"/>
    <m/>
    <m/>
    <x v="4"/>
    <m/>
    <m/>
    <m/>
  </r>
  <r>
    <n v="1708"/>
    <x v="428"/>
    <x v="7"/>
    <x v="7"/>
    <x v="0"/>
    <n v="11010"/>
    <m/>
    <m/>
    <x v="4"/>
    <m/>
    <m/>
    <m/>
  </r>
  <r>
    <n v="1688"/>
    <x v="429"/>
    <x v="1"/>
    <x v="1"/>
    <x v="1"/>
    <n v="880"/>
    <m/>
    <m/>
    <x v="4"/>
    <m/>
    <m/>
    <m/>
  </r>
  <r>
    <n v="1695"/>
    <x v="429"/>
    <x v="3"/>
    <x v="3"/>
    <x v="3"/>
    <n v="1430"/>
    <m/>
    <m/>
    <x v="4"/>
    <m/>
    <m/>
    <m/>
  </r>
  <r>
    <n v="1671"/>
    <x v="430"/>
    <x v="2"/>
    <x v="2"/>
    <x v="2"/>
    <n v="4070"/>
    <m/>
    <m/>
    <x v="4"/>
    <m/>
    <m/>
    <m/>
  </r>
  <r>
    <n v="1662"/>
    <x v="431"/>
    <x v="8"/>
    <x v="8"/>
    <x v="3"/>
    <n v="780"/>
    <m/>
    <m/>
    <x v="4"/>
    <m/>
    <m/>
    <m/>
  </r>
  <r>
    <n v="1696"/>
    <x v="431"/>
    <x v="1"/>
    <x v="1"/>
    <x v="1"/>
    <n v="880"/>
    <m/>
    <m/>
    <x v="4"/>
    <m/>
    <m/>
    <m/>
  </r>
  <r>
    <n v="1668"/>
    <x v="432"/>
    <x v="2"/>
    <x v="2"/>
    <x v="2"/>
    <n v="4070"/>
    <m/>
    <m/>
    <x v="4"/>
    <m/>
    <m/>
    <m/>
  </r>
  <r>
    <n v="1677"/>
    <x v="432"/>
    <x v="7"/>
    <x v="7"/>
    <x v="0"/>
    <n v="11010"/>
    <m/>
    <m/>
    <x v="4"/>
    <m/>
    <m/>
    <m/>
  </r>
  <r>
    <n v="1680"/>
    <x v="432"/>
    <x v="7"/>
    <x v="7"/>
    <x v="0"/>
    <n v="11010"/>
    <m/>
    <m/>
    <x v="4"/>
    <m/>
    <m/>
    <m/>
  </r>
  <r>
    <n v="1698"/>
    <x v="433"/>
    <x v="1"/>
    <x v="1"/>
    <x v="1"/>
    <n v="880"/>
    <m/>
    <m/>
    <x v="4"/>
    <m/>
    <m/>
    <m/>
  </r>
  <r>
    <n v="1660"/>
    <x v="434"/>
    <x v="8"/>
    <x v="8"/>
    <x v="3"/>
    <n v="780"/>
    <m/>
    <m/>
    <x v="4"/>
    <m/>
    <m/>
    <m/>
  </r>
  <r>
    <n v="1686"/>
    <x v="434"/>
    <x v="4"/>
    <x v="4"/>
    <x v="2"/>
    <n v="3910"/>
    <m/>
    <m/>
    <x v="4"/>
    <m/>
    <m/>
    <m/>
  </r>
  <r>
    <n v="1669"/>
    <x v="435"/>
    <x v="0"/>
    <x v="0"/>
    <x v="0"/>
    <n v="6750"/>
    <m/>
    <m/>
    <x v="4"/>
    <m/>
    <m/>
    <m/>
  </r>
  <r>
    <n v="1701"/>
    <x v="435"/>
    <x v="1"/>
    <x v="1"/>
    <x v="1"/>
    <n v="880"/>
    <m/>
    <m/>
    <x v="4"/>
    <m/>
    <m/>
    <m/>
  </r>
  <r>
    <n v="1691"/>
    <x v="436"/>
    <x v="6"/>
    <x v="6"/>
    <x v="3"/>
    <n v="7700"/>
    <m/>
    <m/>
    <x v="4"/>
    <m/>
    <m/>
    <m/>
  </r>
  <r>
    <n v="1700"/>
    <x v="437"/>
    <x v="2"/>
    <x v="2"/>
    <x v="2"/>
    <n v="4070"/>
    <m/>
    <m/>
    <x v="4"/>
    <m/>
    <m/>
    <m/>
  </r>
  <r>
    <n v="1685"/>
    <x v="438"/>
    <x v="4"/>
    <x v="4"/>
    <x v="2"/>
    <n v="3910"/>
    <m/>
    <m/>
    <x v="4"/>
    <m/>
    <m/>
    <m/>
  </r>
  <r>
    <n v="1689"/>
    <x v="438"/>
    <x v="2"/>
    <x v="2"/>
    <x v="2"/>
    <n v="4070"/>
    <m/>
    <m/>
    <x v="4"/>
    <m/>
    <m/>
    <m/>
  </r>
  <r>
    <n v="1673"/>
    <x v="439"/>
    <x v="2"/>
    <x v="2"/>
    <x v="2"/>
    <n v="4070"/>
    <m/>
    <m/>
    <x v="4"/>
    <m/>
    <m/>
    <m/>
  </r>
  <r>
    <n v="1682"/>
    <x v="439"/>
    <x v="2"/>
    <x v="2"/>
    <x v="2"/>
    <n v="4070"/>
    <m/>
    <m/>
    <x v="4"/>
    <m/>
    <m/>
    <m/>
  </r>
  <r>
    <n v="1705"/>
    <x v="439"/>
    <x v="7"/>
    <x v="7"/>
    <x v="0"/>
    <n v="11010"/>
    <m/>
    <m/>
    <x v="4"/>
    <m/>
    <m/>
    <m/>
  </r>
  <r>
    <n v="1666"/>
    <x v="440"/>
    <x v="1"/>
    <x v="1"/>
    <x v="1"/>
    <n v="880"/>
    <m/>
    <m/>
    <x v="4"/>
    <m/>
    <m/>
    <m/>
  </r>
  <r>
    <n v="1684"/>
    <x v="440"/>
    <x v="2"/>
    <x v="2"/>
    <x v="2"/>
    <n v="4070"/>
    <m/>
    <m/>
    <x v="4"/>
    <m/>
    <m/>
    <m/>
  </r>
  <r>
    <n v="1675"/>
    <x v="441"/>
    <x v="0"/>
    <x v="0"/>
    <x v="0"/>
    <n v="6750"/>
    <m/>
    <m/>
    <x v="4"/>
    <m/>
    <m/>
    <m/>
  </r>
  <r>
    <n v="1681"/>
    <x v="441"/>
    <x v="2"/>
    <x v="2"/>
    <x v="2"/>
    <n v="4070"/>
    <m/>
    <m/>
    <x v="4"/>
    <m/>
    <m/>
    <m/>
  </r>
  <r>
    <n v="1664"/>
    <x v="442"/>
    <x v="6"/>
    <x v="6"/>
    <x v="3"/>
    <n v="7700"/>
    <m/>
    <m/>
    <x v="4"/>
    <m/>
    <m/>
    <m/>
  </r>
  <r>
    <n v="1674"/>
    <x v="442"/>
    <x v="3"/>
    <x v="3"/>
    <x v="3"/>
    <n v="1430"/>
    <m/>
    <m/>
    <x v="4"/>
    <m/>
    <m/>
    <m/>
  </r>
  <r>
    <n v="1676"/>
    <x v="442"/>
    <x v="7"/>
    <x v="7"/>
    <x v="0"/>
    <n v="11010"/>
    <m/>
    <m/>
    <x v="4"/>
    <m/>
    <m/>
    <m/>
  </r>
  <r>
    <n v="1679"/>
    <x v="442"/>
    <x v="6"/>
    <x v="6"/>
    <x v="3"/>
    <n v="7700"/>
    <m/>
    <m/>
    <x v="4"/>
    <m/>
    <m/>
    <m/>
  </r>
  <r>
    <n v="1714"/>
    <x v="443"/>
    <x v="2"/>
    <x v="2"/>
    <x v="2"/>
    <n v="4070"/>
    <m/>
    <m/>
    <x v="4"/>
    <m/>
    <m/>
    <m/>
  </r>
  <r>
    <n v="1727"/>
    <x v="443"/>
    <x v="3"/>
    <x v="3"/>
    <x v="3"/>
    <n v="1430"/>
    <m/>
    <m/>
    <x v="4"/>
    <m/>
    <m/>
    <m/>
  </r>
  <r>
    <n v="1719"/>
    <x v="444"/>
    <x v="7"/>
    <x v="7"/>
    <x v="0"/>
    <n v="11010"/>
    <m/>
    <m/>
    <x v="4"/>
    <m/>
    <m/>
    <m/>
  </r>
  <r>
    <n v="1711"/>
    <x v="445"/>
    <x v="5"/>
    <x v="5"/>
    <x v="1"/>
    <n v="1110"/>
    <m/>
    <m/>
    <x v="4"/>
    <m/>
    <m/>
    <m/>
  </r>
  <r>
    <n v="1739"/>
    <x v="445"/>
    <x v="0"/>
    <x v="0"/>
    <x v="0"/>
    <n v="6750"/>
    <m/>
    <m/>
    <x v="4"/>
    <m/>
    <m/>
    <m/>
  </r>
  <r>
    <n v="1718"/>
    <x v="446"/>
    <x v="6"/>
    <x v="6"/>
    <x v="3"/>
    <n v="7700"/>
    <m/>
    <m/>
    <x v="4"/>
    <m/>
    <m/>
    <m/>
  </r>
  <r>
    <n v="1731"/>
    <x v="446"/>
    <x v="5"/>
    <x v="5"/>
    <x v="1"/>
    <n v="1110"/>
    <m/>
    <m/>
    <x v="4"/>
    <m/>
    <m/>
    <m/>
  </r>
  <r>
    <n v="1736"/>
    <x v="446"/>
    <x v="4"/>
    <x v="4"/>
    <x v="2"/>
    <n v="3910"/>
    <m/>
    <m/>
    <x v="4"/>
    <m/>
    <m/>
    <m/>
  </r>
  <r>
    <n v="1709"/>
    <x v="447"/>
    <x v="4"/>
    <x v="4"/>
    <x v="2"/>
    <n v="3910"/>
    <m/>
    <m/>
    <x v="4"/>
    <m/>
    <m/>
    <m/>
  </r>
  <r>
    <n v="1710"/>
    <x v="447"/>
    <x v="6"/>
    <x v="6"/>
    <x v="3"/>
    <n v="7700"/>
    <m/>
    <m/>
    <x v="4"/>
    <m/>
    <m/>
    <m/>
  </r>
  <r>
    <n v="1733"/>
    <x v="447"/>
    <x v="4"/>
    <x v="4"/>
    <x v="2"/>
    <n v="3910"/>
    <m/>
    <m/>
    <x v="4"/>
    <m/>
    <m/>
    <m/>
  </r>
  <r>
    <n v="1730"/>
    <x v="448"/>
    <x v="1"/>
    <x v="1"/>
    <x v="1"/>
    <n v="880"/>
    <m/>
    <m/>
    <x v="4"/>
    <m/>
    <m/>
    <m/>
  </r>
  <r>
    <n v="1713"/>
    <x v="449"/>
    <x v="0"/>
    <x v="0"/>
    <x v="0"/>
    <n v="6750"/>
    <m/>
    <m/>
    <x v="4"/>
    <m/>
    <m/>
    <m/>
  </r>
  <r>
    <n v="1729"/>
    <x v="449"/>
    <x v="5"/>
    <x v="5"/>
    <x v="1"/>
    <n v="1110"/>
    <m/>
    <m/>
    <x v="4"/>
    <m/>
    <m/>
    <m/>
  </r>
  <r>
    <n v="1740"/>
    <x v="450"/>
    <x v="4"/>
    <x v="4"/>
    <x v="2"/>
    <n v="3910"/>
    <m/>
    <m/>
    <x v="4"/>
    <m/>
    <m/>
    <m/>
  </r>
  <r>
    <n v="1716"/>
    <x v="451"/>
    <x v="5"/>
    <x v="5"/>
    <x v="1"/>
    <n v="1110"/>
    <m/>
    <m/>
    <x v="4"/>
    <m/>
    <m/>
    <m/>
  </r>
  <r>
    <n v="1720"/>
    <x v="451"/>
    <x v="2"/>
    <x v="2"/>
    <x v="2"/>
    <n v="4070"/>
    <m/>
    <m/>
    <x v="4"/>
    <m/>
    <m/>
    <m/>
  </r>
  <r>
    <n v="1735"/>
    <x v="451"/>
    <x v="5"/>
    <x v="5"/>
    <x v="1"/>
    <n v="1110"/>
    <m/>
    <m/>
    <x v="4"/>
    <m/>
    <m/>
    <m/>
  </r>
  <r>
    <n v="1734"/>
    <x v="452"/>
    <x v="0"/>
    <x v="0"/>
    <x v="0"/>
    <n v="6750"/>
    <m/>
    <m/>
    <x v="4"/>
    <m/>
    <m/>
    <m/>
  </r>
  <r>
    <n v="1721"/>
    <x v="453"/>
    <x v="2"/>
    <x v="2"/>
    <x v="2"/>
    <n v="4070"/>
    <m/>
    <m/>
    <x v="4"/>
    <m/>
    <m/>
    <m/>
  </r>
  <r>
    <n v="1725"/>
    <x v="454"/>
    <x v="6"/>
    <x v="6"/>
    <x v="3"/>
    <n v="7700"/>
    <m/>
    <m/>
    <x v="4"/>
    <m/>
    <m/>
    <m/>
  </r>
  <r>
    <n v="1723"/>
    <x v="455"/>
    <x v="1"/>
    <x v="1"/>
    <x v="1"/>
    <n v="880"/>
    <m/>
    <m/>
    <x v="4"/>
    <m/>
    <m/>
    <m/>
  </r>
  <r>
    <n v="1741"/>
    <x v="455"/>
    <x v="0"/>
    <x v="0"/>
    <x v="0"/>
    <n v="6750"/>
    <m/>
    <m/>
    <x v="4"/>
    <m/>
    <m/>
    <m/>
  </r>
  <r>
    <n v="1715"/>
    <x v="456"/>
    <x v="1"/>
    <x v="1"/>
    <x v="1"/>
    <n v="880"/>
    <m/>
    <m/>
    <x v="4"/>
    <m/>
    <m/>
    <m/>
  </r>
  <r>
    <n v="1717"/>
    <x v="456"/>
    <x v="3"/>
    <x v="3"/>
    <x v="3"/>
    <n v="1430"/>
    <m/>
    <m/>
    <x v="4"/>
    <m/>
    <m/>
    <m/>
  </r>
  <r>
    <n v="1724"/>
    <x v="456"/>
    <x v="3"/>
    <x v="3"/>
    <x v="3"/>
    <n v="1430"/>
    <m/>
    <m/>
    <x v="4"/>
    <m/>
    <m/>
    <m/>
  </r>
  <r>
    <n v="1742"/>
    <x v="456"/>
    <x v="6"/>
    <x v="6"/>
    <x v="3"/>
    <n v="7700"/>
    <m/>
    <m/>
    <x v="4"/>
    <m/>
    <m/>
    <m/>
  </r>
  <r>
    <n v="1712"/>
    <x v="457"/>
    <x v="4"/>
    <x v="4"/>
    <x v="2"/>
    <n v="3910"/>
    <m/>
    <m/>
    <x v="4"/>
    <m/>
    <m/>
    <m/>
  </r>
  <r>
    <n v="1728"/>
    <x v="457"/>
    <x v="0"/>
    <x v="0"/>
    <x v="0"/>
    <n v="6750"/>
    <m/>
    <m/>
    <x v="4"/>
    <m/>
    <m/>
    <m/>
  </r>
  <r>
    <n v="1722"/>
    <x v="458"/>
    <x v="1"/>
    <x v="1"/>
    <x v="1"/>
    <n v="880"/>
    <m/>
    <m/>
    <x v="4"/>
    <m/>
    <m/>
    <m/>
  </r>
  <r>
    <n v="1738"/>
    <x v="458"/>
    <x v="3"/>
    <x v="3"/>
    <x v="3"/>
    <n v="1430"/>
    <m/>
    <m/>
    <x v="4"/>
    <m/>
    <m/>
    <m/>
  </r>
  <r>
    <n v="1732"/>
    <x v="459"/>
    <x v="3"/>
    <x v="3"/>
    <x v="3"/>
    <n v="1430"/>
    <m/>
    <m/>
    <x v="4"/>
    <m/>
    <m/>
    <m/>
  </r>
  <r>
    <n v="1737"/>
    <x v="460"/>
    <x v="3"/>
    <x v="3"/>
    <x v="3"/>
    <n v="1430"/>
    <m/>
    <m/>
    <x v="4"/>
    <m/>
    <m/>
    <m/>
  </r>
  <r>
    <n v="1726"/>
    <x v="461"/>
    <x v="2"/>
    <x v="2"/>
    <x v="2"/>
    <n v="4070"/>
    <m/>
    <m/>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2">
  <r>
    <n v="1009"/>
    <x v="0"/>
    <s v="P04"/>
    <s v="Ergo Office Chair"/>
    <x v="0"/>
    <n v="6750"/>
    <s v="E07"/>
    <s v="Aditya Kapoor"/>
    <x v="0"/>
    <s v="Mumbai"/>
    <n v="1"/>
    <n v="6750"/>
  </r>
  <r>
    <n v="1004"/>
    <x v="1"/>
    <s v="P04"/>
    <s v="Ergo Office Chair"/>
    <x v="0"/>
    <n v="6750"/>
    <s v="E06"/>
    <s v="Sneha Roy"/>
    <x v="1"/>
    <s v="Kolkata"/>
    <n v="1"/>
    <n v="6750"/>
  </r>
  <r>
    <n v="1001"/>
    <x v="2"/>
    <s v="P09"/>
    <s v="USB-C Hub"/>
    <x v="1"/>
    <n v="880"/>
    <s v="E08"/>
    <s v="Neha Joshi"/>
    <x v="0"/>
    <s v="Ahmedabad"/>
    <n v="6"/>
    <n v="5280"/>
  </r>
  <r>
    <n v="1003"/>
    <x v="3"/>
    <s v="P07"/>
    <s v="Filing Cabinet"/>
    <x v="2"/>
    <n v="4070"/>
    <s v="E08"/>
    <s v="Neha Joshi"/>
    <x v="0"/>
    <s v="Ahmedabad"/>
    <n v="6"/>
    <n v="24420"/>
  </r>
  <r>
    <n v="1011"/>
    <x v="3"/>
    <s v="P02"/>
    <s v="Bluetooth Speaker"/>
    <x v="3"/>
    <n v="1430"/>
    <s v="E06"/>
    <s v="Sneha Roy"/>
    <x v="1"/>
    <s v="Kolkata"/>
    <n v="10"/>
    <n v="14300"/>
  </r>
  <r>
    <n v="1013"/>
    <x v="3"/>
    <s v="P04"/>
    <s v="Ergo Office Chair"/>
    <x v="0"/>
    <n v="6750"/>
    <s v="E06"/>
    <s v="Sneha Roy"/>
    <x v="1"/>
    <s v="Kolkata"/>
    <n v="8"/>
    <n v="54000"/>
  </r>
  <r>
    <n v="1018"/>
    <x v="3"/>
    <s v="P06"/>
    <s v="Bookshelf Unit"/>
    <x v="2"/>
    <n v="3910"/>
    <s v="E08"/>
    <s v="Neha Joshi"/>
    <x v="0"/>
    <s v="Ahmedabad"/>
    <n v="4"/>
    <n v="15640"/>
  </r>
  <r>
    <n v="1021"/>
    <x v="3"/>
    <s v="P08"/>
    <s v="Laptop Backpack"/>
    <x v="1"/>
    <n v="1110"/>
    <s v="E04"/>
    <s v="Priya Nair"/>
    <x v="2"/>
    <s v="Bengaluru"/>
    <n v="1"/>
    <n v="1110"/>
  </r>
  <r>
    <n v="1008"/>
    <x v="4"/>
    <s v="P02"/>
    <s v="Bluetooth Speaker"/>
    <x v="3"/>
    <n v="1430"/>
    <s v="E05"/>
    <s v="Karan Malhotra"/>
    <x v="1"/>
    <s v="Kolkata"/>
    <n v="4"/>
    <n v="5720"/>
  </r>
  <r>
    <n v="1005"/>
    <x v="5"/>
    <s v="P07"/>
    <s v="Filing Cabinet"/>
    <x v="2"/>
    <n v="4070"/>
    <s v="E02"/>
    <s v="Ishita Verma"/>
    <x v="3"/>
    <s v="Chandigarh"/>
    <n v="2"/>
    <n v="8140"/>
  </r>
  <r>
    <n v="1012"/>
    <x v="5"/>
    <s v="P06"/>
    <s v="Bookshelf Unit"/>
    <x v="2"/>
    <n v="3910"/>
    <s v="E03"/>
    <s v="Rohan Mehta"/>
    <x v="2"/>
    <s v="Bengaluru"/>
    <n v="10"/>
    <n v="39100"/>
  </r>
  <r>
    <n v="1015"/>
    <x v="6"/>
    <s v="P03"/>
    <s v="LED Monitor 24&quot;"/>
    <x v="3"/>
    <n v="7700"/>
    <s v="E07"/>
    <s v="Aditya Kapoor"/>
    <x v="0"/>
    <s v="Mumbai"/>
    <n v="2"/>
    <n v="15400"/>
  </r>
  <r>
    <n v="1020"/>
    <x v="7"/>
    <s v="P04"/>
    <s v="Ergo Office Chair"/>
    <x v="0"/>
    <n v="6750"/>
    <s v="E05"/>
    <s v="Karan Malhotra"/>
    <x v="1"/>
    <s v="Kolkata"/>
    <n v="6"/>
    <n v="40500"/>
  </r>
  <r>
    <n v="1022"/>
    <x v="8"/>
    <s v="P04"/>
    <s v="Ergo Office Chair"/>
    <x v="0"/>
    <n v="6750"/>
    <s v="E07"/>
    <s v="Aditya Kapoor"/>
    <x v="0"/>
    <s v="Mumbai"/>
    <n v="1"/>
    <n v="6750"/>
  </r>
  <r>
    <n v="1016"/>
    <x v="9"/>
    <s v="P09"/>
    <s v="USB-C Hub"/>
    <x v="1"/>
    <n v="880"/>
    <s v="E06"/>
    <s v="Sneha Roy"/>
    <x v="1"/>
    <s v="Kolkata"/>
    <n v="10"/>
    <n v="8800"/>
  </r>
  <r>
    <n v="1006"/>
    <x v="10"/>
    <s v="P05"/>
    <s v="Standing Desk"/>
    <x v="0"/>
    <n v="11010"/>
    <s v="E07"/>
    <s v="Aditya Kapoor"/>
    <x v="0"/>
    <s v="Mumbai"/>
    <n v="1"/>
    <n v="11010"/>
  </r>
  <r>
    <n v="1014"/>
    <x v="10"/>
    <s v="P03"/>
    <s v="LED Monitor 24&quot;"/>
    <x v="3"/>
    <n v="7700"/>
    <s v="E01"/>
    <s v="Aarav Sharma"/>
    <x v="3"/>
    <s v="Lucknow"/>
    <n v="1"/>
    <n v="7700"/>
  </r>
  <r>
    <n v="1002"/>
    <x v="11"/>
    <s v="P05"/>
    <s v="Standing Desk"/>
    <x v="0"/>
    <n v="11010"/>
    <s v="E01"/>
    <s v="Aarav Sharma"/>
    <x v="3"/>
    <s v="Lucknow"/>
    <n v="3"/>
    <n v="33030"/>
  </r>
  <r>
    <n v="1017"/>
    <x v="12"/>
    <s v="P01"/>
    <s v="Wireless Mouse"/>
    <x v="3"/>
    <n v="780"/>
    <s v="E06"/>
    <s v="Sneha Roy"/>
    <x v="1"/>
    <s v="Kolkata"/>
    <n v="2"/>
    <n v="1560"/>
  </r>
  <r>
    <n v="1010"/>
    <x v="13"/>
    <s v="P05"/>
    <s v="Standing Desk"/>
    <x v="0"/>
    <n v="11010"/>
    <s v="E04"/>
    <s v="Priya Nair"/>
    <x v="2"/>
    <s v="Bengaluru"/>
    <n v="1"/>
    <n v="11010"/>
  </r>
  <r>
    <n v="1019"/>
    <x v="14"/>
    <s v="P04"/>
    <s v="Ergo Office Chair"/>
    <x v="0"/>
    <n v="6750"/>
    <s v="E02"/>
    <s v="Ishita Verma"/>
    <x v="3"/>
    <s v="Chandigarh"/>
    <n v="8"/>
    <n v="54000"/>
  </r>
  <r>
    <n v="1007"/>
    <x v="15"/>
    <s v="P09"/>
    <s v="USB-C Hub"/>
    <x v="1"/>
    <n v="880"/>
    <s v="E08"/>
    <s v="Neha Joshi"/>
    <x v="0"/>
    <s v="Ahmedabad"/>
    <n v="1"/>
    <n v="880"/>
  </r>
  <r>
    <n v="1035"/>
    <x v="16"/>
    <s v="P09"/>
    <s v="USB-C Hub"/>
    <x v="1"/>
    <n v="880"/>
    <s v="E03"/>
    <s v="Rohan Mehta"/>
    <x v="2"/>
    <s v="Bengaluru"/>
    <n v="6"/>
    <n v="5280"/>
  </r>
  <r>
    <n v="1037"/>
    <x v="17"/>
    <s v="P05"/>
    <s v="Standing Desk"/>
    <x v="0"/>
    <n v="11010"/>
    <s v="E06"/>
    <s v="Sneha Roy"/>
    <x v="1"/>
    <s v="Kolkata"/>
    <n v="2"/>
    <n v="22020"/>
  </r>
  <r>
    <n v="1048"/>
    <x v="17"/>
    <s v="P04"/>
    <s v="Ergo Office Chair"/>
    <x v="0"/>
    <n v="6750"/>
    <s v="E01"/>
    <s v="Aarav Sharma"/>
    <x v="3"/>
    <s v="Lucknow"/>
    <n v="1"/>
    <n v="6750"/>
  </r>
  <r>
    <n v="1024"/>
    <x v="18"/>
    <s v="P09"/>
    <s v="USB-C Hub"/>
    <x v="1"/>
    <n v="880"/>
    <s v="E03"/>
    <s v="Rohan Mehta"/>
    <x v="2"/>
    <s v="Bengaluru"/>
    <n v="5"/>
    <n v="4400"/>
  </r>
  <r>
    <n v="1026"/>
    <x v="18"/>
    <s v="P07"/>
    <s v="Filing Cabinet"/>
    <x v="2"/>
    <n v="4070"/>
    <s v="E03"/>
    <s v="Rohan Mehta"/>
    <x v="2"/>
    <s v="Bengaluru"/>
    <n v="8"/>
    <n v="32560"/>
  </r>
  <r>
    <n v="1045"/>
    <x v="18"/>
    <s v="P04"/>
    <s v="Ergo Office Chair"/>
    <x v="0"/>
    <n v="6750"/>
    <s v="E02"/>
    <s v="Ishita Verma"/>
    <x v="3"/>
    <s v="Chandigarh"/>
    <n v="2"/>
    <n v="13500"/>
  </r>
  <r>
    <n v="1047"/>
    <x v="18"/>
    <s v="P04"/>
    <s v="Ergo Office Chair"/>
    <x v="0"/>
    <n v="6750"/>
    <s v="E04"/>
    <s v="Priya Nair"/>
    <x v="2"/>
    <s v="Bengaluru"/>
    <n v="1"/>
    <n v="6750"/>
  </r>
  <r>
    <n v="1036"/>
    <x v="19"/>
    <s v="P08"/>
    <s v="Laptop Backpack"/>
    <x v="1"/>
    <n v="1110"/>
    <s v="E06"/>
    <s v="Sneha Roy"/>
    <x v="1"/>
    <s v="Kolkata"/>
    <n v="1"/>
    <n v="1110"/>
  </r>
  <r>
    <n v="1023"/>
    <x v="20"/>
    <s v="P07"/>
    <s v="Filing Cabinet"/>
    <x v="2"/>
    <n v="4070"/>
    <s v="E07"/>
    <s v="Aditya Kapoor"/>
    <x v="0"/>
    <s v="Mumbai"/>
    <n v="3"/>
    <n v="12210"/>
  </r>
  <r>
    <n v="1030"/>
    <x v="21"/>
    <s v="P02"/>
    <s v="Bluetooth Speaker"/>
    <x v="3"/>
    <n v="1430"/>
    <s v="E06"/>
    <s v="Sneha Roy"/>
    <x v="1"/>
    <s v="Kolkata"/>
    <n v="2"/>
    <n v="2860"/>
  </r>
  <r>
    <n v="1027"/>
    <x v="22"/>
    <s v="P07"/>
    <s v="Filing Cabinet"/>
    <x v="2"/>
    <n v="4070"/>
    <s v="E07"/>
    <s v="Aditya Kapoor"/>
    <x v="0"/>
    <s v="Mumbai"/>
    <n v="8"/>
    <n v="32560"/>
  </r>
  <r>
    <n v="1044"/>
    <x v="22"/>
    <s v="P08"/>
    <s v="Laptop Backpack"/>
    <x v="1"/>
    <n v="1110"/>
    <s v="E06"/>
    <s v="Sneha Roy"/>
    <x v="1"/>
    <s v="Kolkata"/>
    <n v="6"/>
    <n v="6660"/>
  </r>
  <r>
    <n v="1040"/>
    <x v="23"/>
    <s v="P03"/>
    <s v="LED Monitor 24&quot;"/>
    <x v="3"/>
    <n v="7700"/>
    <s v="E03"/>
    <s v="Rohan Mehta"/>
    <x v="2"/>
    <s v="Bengaluru"/>
    <n v="10"/>
    <n v="77000"/>
  </r>
  <r>
    <n v="1032"/>
    <x v="24"/>
    <s v="P09"/>
    <s v="USB-C Hub"/>
    <x v="1"/>
    <n v="880"/>
    <s v="E05"/>
    <s v="Karan Malhotra"/>
    <x v="1"/>
    <s v="Kolkata"/>
    <n v="1"/>
    <n v="880"/>
  </r>
  <r>
    <n v="1033"/>
    <x v="24"/>
    <s v="P05"/>
    <s v="Standing Desk"/>
    <x v="0"/>
    <n v="11010"/>
    <s v="E02"/>
    <s v="Ishita Verma"/>
    <x v="3"/>
    <s v="Chandigarh"/>
    <n v="10"/>
    <n v="110100"/>
  </r>
  <r>
    <n v="1046"/>
    <x v="25"/>
    <s v="P01"/>
    <s v="Wireless Mouse"/>
    <x v="3"/>
    <n v="780"/>
    <s v="E06"/>
    <s v="Sneha Roy"/>
    <x v="1"/>
    <s v="Kolkata"/>
    <n v="8"/>
    <n v="6240"/>
  </r>
  <r>
    <n v="1025"/>
    <x v="26"/>
    <s v="P02"/>
    <s v="Bluetooth Speaker"/>
    <x v="3"/>
    <n v="1430"/>
    <s v="E01"/>
    <s v="Aarav Sharma"/>
    <x v="3"/>
    <s v="Lucknow"/>
    <n v="1"/>
    <n v="1430"/>
  </r>
  <r>
    <n v="1028"/>
    <x v="27"/>
    <s v="P09"/>
    <s v="USB-C Hub"/>
    <x v="1"/>
    <n v="880"/>
    <s v="E05"/>
    <s v="Karan Malhotra"/>
    <x v="1"/>
    <s v="Kolkata"/>
    <n v="1"/>
    <n v="880"/>
  </r>
  <r>
    <n v="1043"/>
    <x v="27"/>
    <s v="P05"/>
    <s v="Standing Desk"/>
    <x v="0"/>
    <n v="11010"/>
    <s v="E04"/>
    <s v="Priya Nair"/>
    <x v="2"/>
    <s v="Bengaluru"/>
    <n v="4"/>
    <n v="44040"/>
  </r>
  <r>
    <n v="1031"/>
    <x v="28"/>
    <s v="P08"/>
    <s v="Laptop Backpack"/>
    <x v="1"/>
    <n v="1110"/>
    <s v="E03"/>
    <s v="Rohan Mehta"/>
    <x v="2"/>
    <s v="Bengaluru"/>
    <n v="1"/>
    <n v="1110"/>
  </r>
  <r>
    <n v="1038"/>
    <x v="28"/>
    <s v="P02"/>
    <s v="Bluetooth Speaker"/>
    <x v="3"/>
    <n v="1430"/>
    <s v="E04"/>
    <s v="Priya Nair"/>
    <x v="2"/>
    <s v="Bengaluru"/>
    <n v="1"/>
    <n v="1430"/>
  </r>
  <r>
    <n v="1029"/>
    <x v="29"/>
    <s v="P09"/>
    <s v="USB-C Hub"/>
    <x v="1"/>
    <n v="880"/>
    <s v="E02"/>
    <s v="Ishita Verma"/>
    <x v="3"/>
    <s v="Chandigarh"/>
    <n v="2"/>
    <n v="1760"/>
  </r>
  <r>
    <n v="1034"/>
    <x v="29"/>
    <s v="P03"/>
    <s v="LED Monitor 24&quot;"/>
    <x v="3"/>
    <n v="7700"/>
    <s v="E04"/>
    <s v="Priya Nair"/>
    <x v="2"/>
    <s v="Bengaluru"/>
    <n v="3"/>
    <n v="23100"/>
  </r>
  <r>
    <n v="1039"/>
    <x v="29"/>
    <s v="P02"/>
    <s v="Bluetooth Speaker"/>
    <x v="3"/>
    <n v="1430"/>
    <s v="E08"/>
    <s v="Neha Joshi"/>
    <x v="0"/>
    <s v="Ahmedabad"/>
    <n v="6"/>
    <n v="8580"/>
  </r>
  <r>
    <n v="1042"/>
    <x v="29"/>
    <s v="P04"/>
    <s v="Ergo Office Chair"/>
    <x v="0"/>
    <n v="6750"/>
    <s v="E07"/>
    <s v="Aditya Kapoor"/>
    <x v="0"/>
    <s v="Mumbai"/>
    <n v="6"/>
    <n v="40500"/>
  </r>
  <r>
    <n v="1041"/>
    <x v="30"/>
    <s v="P05"/>
    <s v="Standing Desk"/>
    <x v="0"/>
    <n v="11010"/>
    <s v="E03"/>
    <s v="Rohan Mehta"/>
    <x v="2"/>
    <s v="Bengaluru"/>
    <n v="6"/>
    <n v="66060"/>
  </r>
  <r>
    <n v="1068"/>
    <x v="31"/>
    <s v="P06"/>
    <s v="Bookshelf Unit"/>
    <x v="2"/>
    <n v="3910"/>
    <s v="E01"/>
    <s v="Aarav Sharma"/>
    <x v="3"/>
    <s v="Lucknow"/>
    <n v="1"/>
    <n v="3910"/>
  </r>
  <r>
    <n v="1071"/>
    <x v="32"/>
    <s v="P02"/>
    <s v="Bluetooth Speaker"/>
    <x v="3"/>
    <n v="1430"/>
    <s v="E03"/>
    <s v="Rohan Mehta"/>
    <x v="2"/>
    <s v="Bengaluru"/>
    <n v="8"/>
    <n v="11440"/>
  </r>
  <r>
    <n v="1073"/>
    <x v="32"/>
    <s v="P01"/>
    <s v="Wireless Mouse"/>
    <x v="3"/>
    <n v="780"/>
    <s v="E04"/>
    <s v="Priya Nair"/>
    <x v="2"/>
    <s v="Bengaluru"/>
    <n v="8"/>
    <n v="6240"/>
  </r>
  <r>
    <n v="1052"/>
    <x v="33"/>
    <s v="P04"/>
    <s v="Ergo Office Chair"/>
    <x v="0"/>
    <n v="6750"/>
    <s v="E07"/>
    <s v="Aditya Kapoor"/>
    <x v="0"/>
    <s v="Mumbai"/>
    <n v="1"/>
    <n v="6750"/>
  </r>
  <r>
    <n v="1050"/>
    <x v="34"/>
    <s v="P04"/>
    <s v="Ergo Office Chair"/>
    <x v="0"/>
    <n v="6750"/>
    <s v="E08"/>
    <s v="Neha Joshi"/>
    <x v="0"/>
    <s v="Ahmedabad"/>
    <n v="6"/>
    <n v="40500"/>
  </r>
  <r>
    <n v="1057"/>
    <x v="34"/>
    <s v="P09"/>
    <s v="USB-C Hub"/>
    <x v="1"/>
    <n v="880"/>
    <s v="E04"/>
    <s v="Priya Nair"/>
    <x v="2"/>
    <s v="Bengaluru"/>
    <n v="5"/>
    <n v="4400"/>
  </r>
  <r>
    <n v="1061"/>
    <x v="35"/>
    <s v="P02"/>
    <s v="Bluetooth Speaker"/>
    <x v="3"/>
    <n v="1430"/>
    <s v="E01"/>
    <s v="Aarav Sharma"/>
    <x v="3"/>
    <s v="Lucknow"/>
    <n v="2"/>
    <n v="2860"/>
  </r>
  <r>
    <n v="1069"/>
    <x v="35"/>
    <s v="P09"/>
    <s v="USB-C Hub"/>
    <x v="1"/>
    <n v="880"/>
    <s v="E08"/>
    <s v="Neha Joshi"/>
    <x v="0"/>
    <s v="Ahmedabad"/>
    <n v="6"/>
    <n v="5280"/>
  </r>
  <r>
    <n v="1056"/>
    <x v="36"/>
    <s v="P02"/>
    <s v="Bluetooth Speaker"/>
    <x v="3"/>
    <n v="1430"/>
    <s v="E06"/>
    <s v="Sneha Roy"/>
    <x v="1"/>
    <s v="Kolkata"/>
    <n v="2"/>
    <n v="2860"/>
  </r>
  <r>
    <n v="1062"/>
    <x v="36"/>
    <s v="P08"/>
    <s v="Laptop Backpack"/>
    <x v="1"/>
    <n v="1110"/>
    <s v="E07"/>
    <s v="Aditya Kapoor"/>
    <x v="0"/>
    <s v="Mumbai"/>
    <n v="5"/>
    <n v="5550"/>
  </r>
  <r>
    <n v="1049"/>
    <x v="37"/>
    <s v="P09"/>
    <s v="USB-C Hub"/>
    <x v="1"/>
    <n v="880"/>
    <s v="E02"/>
    <s v="Ishita Verma"/>
    <x v="3"/>
    <s v="Chandigarh"/>
    <n v="2"/>
    <n v="1760"/>
  </r>
  <r>
    <n v="1066"/>
    <x v="38"/>
    <s v="P03"/>
    <s v="LED Monitor 24&quot;"/>
    <x v="3"/>
    <n v="7700"/>
    <s v="E08"/>
    <s v="Neha Joshi"/>
    <x v="0"/>
    <s v="Ahmedabad"/>
    <n v="2"/>
    <n v="15400"/>
  </r>
  <r>
    <n v="1063"/>
    <x v="39"/>
    <s v="P01"/>
    <s v="Wireless Mouse"/>
    <x v="3"/>
    <n v="780"/>
    <s v="E07"/>
    <s v="Aditya Kapoor"/>
    <x v="0"/>
    <s v="Mumbai"/>
    <n v="1"/>
    <n v="780"/>
  </r>
  <r>
    <n v="1053"/>
    <x v="40"/>
    <s v="P06"/>
    <s v="Bookshelf Unit"/>
    <x v="2"/>
    <n v="3910"/>
    <s v="E07"/>
    <s v="Aditya Kapoor"/>
    <x v="0"/>
    <s v="Mumbai"/>
    <n v="4"/>
    <n v="15640"/>
  </r>
  <r>
    <n v="1058"/>
    <x v="41"/>
    <s v="P03"/>
    <s v="LED Monitor 24&quot;"/>
    <x v="3"/>
    <n v="7700"/>
    <s v="E07"/>
    <s v="Aditya Kapoor"/>
    <x v="0"/>
    <s v="Mumbai"/>
    <n v="2"/>
    <n v="15400"/>
  </r>
  <r>
    <n v="1060"/>
    <x v="42"/>
    <s v="P01"/>
    <s v="Wireless Mouse"/>
    <x v="3"/>
    <n v="780"/>
    <s v="E02"/>
    <s v="Ishita Verma"/>
    <x v="3"/>
    <s v="Chandigarh"/>
    <n v="10"/>
    <n v="7800"/>
  </r>
  <r>
    <n v="1054"/>
    <x v="43"/>
    <s v="P01"/>
    <s v="Wireless Mouse"/>
    <x v="3"/>
    <n v="780"/>
    <s v="E08"/>
    <s v="Neha Joshi"/>
    <x v="0"/>
    <s v="Ahmedabad"/>
    <n v="10"/>
    <n v="7800"/>
  </r>
  <r>
    <n v="1065"/>
    <x v="44"/>
    <s v="P05"/>
    <s v="Standing Desk"/>
    <x v="0"/>
    <n v="11010"/>
    <s v="E08"/>
    <s v="Neha Joshi"/>
    <x v="0"/>
    <s v="Ahmedabad"/>
    <n v="4"/>
    <n v="44040"/>
  </r>
  <r>
    <n v="1075"/>
    <x v="44"/>
    <s v="P04"/>
    <s v="Ergo Office Chair"/>
    <x v="0"/>
    <n v="6750"/>
    <s v="E05"/>
    <s v="Karan Malhotra"/>
    <x v="1"/>
    <s v="Kolkata"/>
    <n v="10"/>
    <n v="67500"/>
  </r>
  <r>
    <n v="1055"/>
    <x v="45"/>
    <s v="P01"/>
    <s v="Wireless Mouse"/>
    <x v="3"/>
    <n v="780"/>
    <s v="E02"/>
    <s v="Ishita Verma"/>
    <x v="3"/>
    <s v="Chandigarh"/>
    <n v="4"/>
    <n v="3120"/>
  </r>
  <r>
    <n v="1067"/>
    <x v="45"/>
    <s v="P01"/>
    <s v="Wireless Mouse"/>
    <x v="3"/>
    <n v="780"/>
    <s v="E04"/>
    <s v="Priya Nair"/>
    <x v="2"/>
    <s v="Bengaluru"/>
    <n v="8"/>
    <n v="6240"/>
  </r>
  <r>
    <n v="1051"/>
    <x v="46"/>
    <s v="P04"/>
    <s v="Ergo Office Chair"/>
    <x v="0"/>
    <n v="6750"/>
    <s v="E08"/>
    <s v="Neha Joshi"/>
    <x v="0"/>
    <s v="Ahmedabad"/>
    <n v="5"/>
    <n v="33750"/>
  </r>
  <r>
    <n v="1059"/>
    <x v="46"/>
    <s v="P02"/>
    <s v="Bluetooth Speaker"/>
    <x v="3"/>
    <n v="1430"/>
    <s v="E04"/>
    <s v="Priya Nair"/>
    <x v="2"/>
    <s v="Bengaluru"/>
    <n v="5"/>
    <n v="7150"/>
  </r>
  <r>
    <n v="1070"/>
    <x v="47"/>
    <s v="P09"/>
    <s v="USB-C Hub"/>
    <x v="1"/>
    <n v="880"/>
    <s v="E01"/>
    <s v="Aarav Sharma"/>
    <x v="3"/>
    <s v="Lucknow"/>
    <n v="1"/>
    <n v="880"/>
  </r>
  <r>
    <n v="1064"/>
    <x v="48"/>
    <s v="P07"/>
    <s v="Filing Cabinet"/>
    <x v="2"/>
    <n v="4070"/>
    <s v="E01"/>
    <s v="Aarav Sharma"/>
    <x v="3"/>
    <s v="Lucknow"/>
    <n v="2"/>
    <n v="8140"/>
  </r>
  <r>
    <n v="1074"/>
    <x v="48"/>
    <s v="P09"/>
    <s v="USB-C Hub"/>
    <x v="1"/>
    <n v="880"/>
    <s v="E07"/>
    <s v="Aditya Kapoor"/>
    <x v="0"/>
    <s v="Mumbai"/>
    <n v="3"/>
    <n v="2640"/>
  </r>
  <r>
    <n v="1072"/>
    <x v="49"/>
    <s v="P07"/>
    <s v="Filing Cabinet"/>
    <x v="2"/>
    <n v="4070"/>
    <s v="E04"/>
    <s v="Priya Nair"/>
    <x v="2"/>
    <s v="Bengaluru"/>
    <n v="1"/>
    <n v="4070"/>
  </r>
  <r>
    <n v="1100"/>
    <x v="50"/>
    <s v="P03"/>
    <s v="LED Monitor 24&quot;"/>
    <x v="3"/>
    <n v="7700"/>
    <s v="E03"/>
    <s v="Rohan Mehta"/>
    <x v="2"/>
    <s v="Bengaluru"/>
    <n v="4"/>
    <n v="30800"/>
  </r>
  <r>
    <n v="1076"/>
    <x v="51"/>
    <s v="P05"/>
    <s v="Standing Desk"/>
    <x v="0"/>
    <n v="11010"/>
    <s v="E04"/>
    <s v="Priya Nair"/>
    <x v="2"/>
    <s v="Bengaluru"/>
    <n v="4"/>
    <n v="44040"/>
  </r>
  <r>
    <n v="1085"/>
    <x v="51"/>
    <s v="P02"/>
    <s v="Bluetooth Speaker"/>
    <x v="3"/>
    <n v="1430"/>
    <s v="E02"/>
    <s v="Ishita Verma"/>
    <x v="3"/>
    <s v="Chandigarh"/>
    <n v="6"/>
    <n v="8580"/>
  </r>
  <r>
    <n v="1079"/>
    <x v="52"/>
    <s v="P02"/>
    <s v="Bluetooth Speaker"/>
    <x v="3"/>
    <n v="1430"/>
    <s v="E02"/>
    <s v="Ishita Verma"/>
    <x v="3"/>
    <s v="Chandigarh"/>
    <n v="6"/>
    <n v="8580"/>
  </r>
  <r>
    <n v="1086"/>
    <x v="52"/>
    <s v="P05"/>
    <s v="Standing Desk"/>
    <x v="0"/>
    <n v="11010"/>
    <s v="E05"/>
    <s v="Karan Malhotra"/>
    <x v="1"/>
    <s v="Kolkata"/>
    <n v="8"/>
    <n v="88080"/>
  </r>
  <r>
    <n v="1084"/>
    <x v="53"/>
    <s v="P02"/>
    <s v="Bluetooth Speaker"/>
    <x v="3"/>
    <n v="1430"/>
    <s v="E05"/>
    <s v="Karan Malhotra"/>
    <x v="1"/>
    <s v="Kolkata"/>
    <n v="1"/>
    <n v="1430"/>
  </r>
  <r>
    <n v="1088"/>
    <x v="53"/>
    <s v="P09"/>
    <s v="USB-C Hub"/>
    <x v="1"/>
    <n v="880"/>
    <s v="E05"/>
    <s v="Karan Malhotra"/>
    <x v="1"/>
    <s v="Kolkata"/>
    <n v="5"/>
    <n v="4400"/>
  </r>
  <r>
    <n v="1081"/>
    <x v="54"/>
    <s v="P04"/>
    <s v="Ergo Office Chair"/>
    <x v="0"/>
    <n v="6750"/>
    <s v="E02"/>
    <s v="Ishita Verma"/>
    <x v="3"/>
    <s v="Chandigarh"/>
    <n v="3"/>
    <n v="20250"/>
  </r>
  <r>
    <n v="1090"/>
    <x v="55"/>
    <s v="P01"/>
    <s v="Wireless Mouse"/>
    <x v="3"/>
    <n v="780"/>
    <s v="E05"/>
    <s v="Karan Malhotra"/>
    <x v="1"/>
    <s v="Kolkata"/>
    <n v="1"/>
    <n v="780"/>
  </r>
  <r>
    <n v="1096"/>
    <x v="56"/>
    <s v="P01"/>
    <s v="Wireless Mouse"/>
    <x v="3"/>
    <n v="780"/>
    <s v="E03"/>
    <s v="Rohan Mehta"/>
    <x v="2"/>
    <s v="Bengaluru"/>
    <n v="2"/>
    <n v="1560"/>
  </r>
  <r>
    <n v="1089"/>
    <x v="57"/>
    <s v="P02"/>
    <s v="Bluetooth Speaker"/>
    <x v="3"/>
    <n v="1430"/>
    <s v="E01"/>
    <s v="Aarav Sharma"/>
    <x v="3"/>
    <s v="Lucknow"/>
    <n v="10"/>
    <n v="14300"/>
  </r>
  <r>
    <n v="1095"/>
    <x v="57"/>
    <s v="P09"/>
    <s v="USB-C Hub"/>
    <x v="1"/>
    <n v="880"/>
    <s v="E06"/>
    <s v="Sneha Roy"/>
    <x v="1"/>
    <s v="Kolkata"/>
    <n v="1"/>
    <n v="880"/>
  </r>
  <r>
    <n v="1092"/>
    <x v="58"/>
    <s v="P09"/>
    <s v="USB-C Hub"/>
    <x v="1"/>
    <n v="880"/>
    <s v="E08"/>
    <s v="Neha Joshi"/>
    <x v="0"/>
    <s v="Ahmedabad"/>
    <n v="4"/>
    <n v="3520"/>
  </r>
  <r>
    <n v="1078"/>
    <x v="59"/>
    <s v="P01"/>
    <s v="Wireless Mouse"/>
    <x v="3"/>
    <n v="780"/>
    <s v="E02"/>
    <s v="Ishita Verma"/>
    <x v="3"/>
    <s v="Chandigarh"/>
    <n v="5"/>
    <n v="3900"/>
  </r>
  <r>
    <n v="1087"/>
    <x v="60"/>
    <s v="P04"/>
    <s v="Ergo Office Chair"/>
    <x v="0"/>
    <n v="6750"/>
    <s v="E06"/>
    <s v="Sneha Roy"/>
    <x v="1"/>
    <s v="Kolkata"/>
    <n v="10"/>
    <n v="67500"/>
  </r>
  <r>
    <n v="1083"/>
    <x v="61"/>
    <s v="P09"/>
    <s v="USB-C Hub"/>
    <x v="1"/>
    <n v="880"/>
    <s v="E05"/>
    <s v="Karan Malhotra"/>
    <x v="1"/>
    <s v="Kolkata"/>
    <n v="1"/>
    <n v="880"/>
  </r>
  <r>
    <n v="1097"/>
    <x v="61"/>
    <s v="P06"/>
    <s v="Bookshelf Unit"/>
    <x v="2"/>
    <n v="3910"/>
    <s v="E01"/>
    <s v="Aarav Sharma"/>
    <x v="3"/>
    <s v="Lucknow"/>
    <n v="2"/>
    <n v="7820"/>
  </r>
  <r>
    <n v="1082"/>
    <x v="62"/>
    <s v="P08"/>
    <s v="Laptop Backpack"/>
    <x v="1"/>
    <n v="1110"/>
    <s v="E03"/>
    <s v="Rohan Mehta"/>
    <x v="2"/>
    <s v="Bengaluru"/>
    <n v="6"/>
    <n v="6660"/>
  </r>
  <r>
    <n v="1091"/>
    <x v="63"/>
    <s v="P05"/>
    <s v="Standing Desk"/>
    <x v="0"/>
    <n v="11010"/>
    <s v="E03"/>
    <s v="Rohan Mehta"/>
    <x v="2"/>
    <s v="Bengaluru"/>
    <n v="1"/>
    <n v="11010"/>
  </r>
  <r>
    <n v="1098"/>
    <x v="64"/>
    <s v="P02"/>
    <s v="Bluetooth Speaker"/>
    <x v="3"/>
    <n v="1430"/>
    <s v="E04"/>
    <s v="Priya Nair"/>
    <x v="2"/>
    <s v="Bengaluru"/>
    <n v="3"/>
    <n v="4290"/>
  </r>
  <r>
    <n v="1101"/>
    <x v="65"/>
    <s v="P06"/>
    <s v="Bookshelf Unit"/>
    <x v="2"/>
    <n v="3910"/>
    <s v="E03"/>
    <s v="Rohan Mehta"/>
    <x v="2"/>
    <s v="Bengaluru"/>
    <n v="4"/>
    <n v="15640"/>
  </r>
  <r>
    <n v="1102"/>
    <x v="65"/>
    <s v="P05"/>
    <s v="Standing Desk"/>
    <x v="0"/>
    <n v="11010"/>
    <s v="E04"/>
    <s v="Priya Nair"/>
    <x v="2"/>
    <s v="Bengaluru"/>
    <n v="1"/>
    <n v="11010"/>
  </r>
  <r>
    <n v="1094"/>
    <x v="66"/>
    <s v="P09"/>
    <s v="USB-C Hub"/>
    <x v="1"/>
    <n v="880"/>
    <s v="E03"/>
    <s v="Rohan Mehta"/>
    <x v="2"/>
    <s v="Bengaluru"/>
    <n v="1"/>
    <n v="880"/>
  </r>
  <r>
    <n v="1099"/>
    <x v="67"/>
    <s v="P03"/>
    <s v="LED Monitor 24&quot;"/>
    <x v="3"/>
    <n v="7700"/>
    <s v="E07"/>
    <s v="Aditya Kapoor"/>
    <x v="0"/>
    <s v="Mumbai"/>
    <n v="2"/>
    <n v="15400"/>
  </r>
  <r>
    <n v="1080"/>
    <x v="68"/>
    <s v="P03"/>
    <s v="LED Monitor 24&quot;"/>
    <x v="3"/>
    <n v="7700"/>
    <s v="E05"/>
    <s v="Karan Malhotra"/>
    <x v="1"/>
    <s v="Kolkata"/>
    <n v="3"/>
    <n v="23100"/>
  </r>
  <r>
    <n v="1093"/>
    <x v="68"/>
    <s v="P02"/>
    <s v="Bluetooth Speaker"/>
    <x v="3"/>
    <n v="1430"/>
    <s v="E01"/>
    <s v="Aarav Sharma"/>
    <x v="3"/>
    <s v="Lucknow"/>
    <n v="1"/>
    <n v="1430"/>
  </r>
  <r>
    <n v="1077"/>
    <x v="69"/>
    <s v="P08"/>
    <s v="Laptop Backpack"/>
    <x v="1"/>
    <n v="1110"/>
    <s v="E05"/>
    <s v="Karan Malhotra"/>
    <x v="1"/>
    <s v="Kolkata"/>
    <n v="3"/>
    <n v="3330"/>
  </r>
  <r>
    <n v="1113"/>
    <x v="70"/>
    <s v="P01"/>
    <s v="Wireless Mouse"/>
    <x v="3"/>
    <n v="780"/>
    <s v="E05"/>
    <s v="Karan Malhotra"/>
    <x v="1"/>
    <s v="Kolkata"/>
    <n v="4"/>
    <n v="3120"/>
  </r>
  <r>
    <n v="1114"/>
    <x v="71"/>
    <s v="P06"/>
    <s v="Bookshelf Unit"/>
    <x v="2"/>
    <n v="3910"/>
    <s v="E04"/>
    <s v="Priya Nair"/>
    <x v="2"/>
    <s v="Bengaluru"/>
    <n v="4"/>
    <n v="15640"/>
  </r>
  <r>
    <n v="1109"/>
    <x v="72"/>
    <s v="P02"/>
    <s v="Bluetooth Speaker"/>
    <x v="3"/>
    <n v="1430"/>
    <s v="E01"/>
    <s v="Aarav Sharma"/>
    <x v="3"/>
    <s v="Lucknow"/>
    <n v="2"/>
    <n v="2860"/>
  </r>
  <r>
    <n v="1112"/>
    <x v="73"/>
    <s v="P07"/>
    <s v="Filing Cabinet"/>
    <x v="2"/>
    <n v="4070"/>
    <s v="E02"/>
    <s v="Ishita Verma"/>
    <x v="3"/>
    <s v="Chandigarh"/>
    <n v="8"/>
    <n v="32560"/>
  </r>
  <r>
    <n v="1118"/>
    <x v="73"/>
    <s v="P09"/>
    <s v="USB-C Hub"/>
    <x v="1"/>
    <n v="880"/>
    <s v="E05"/>
    <s v="Karan Malhotra"/>
    <x v="1"/>
    <s v="Kolkata"/>
    <n v="1"/>
    <n v="880"/>
  </r>
  <r>
    <n v="1121"/>
    <x v="73"/>
    <s v="P05"/>
    <s v="Standing Desk"/>
    <x v="0"/>
    <n v="11010"/>
    <s v="E01"/>
    <s v="Aarav Sharma"/>
    <x v="3"/>
    <s v="Lucknow"/>
    <n v="2"/>
    <n v="22020"/>
  </r>
  <r>
    <n v="1103"/>
    <x v="74"/>
    <s v="P01"/>
    <s v="Wireless Mouse"/>
    <x v="3"/>
    <n v="780"/>
    <s v="E07"/>
    <s v="Aditya Kapoor"/>
    <x v="0"/>
    <s v="Mumbai"/>
    <n v="5"/>
    <n v="3900"/>
  </r>
  <r>
    <n v="1106"/>
    <x v="75"/>
    <s v="P07"/>
    <s v="Filing Cabinet"/>
    <x v="2"/>
    <n v="4070"/>
    <s v="E04"/>
    <s v="Priya Nair"/>
    <x v="2"/>
    <s v="Bengaluru"/>
    <n v="3"/>
    <n v="12210"/>
  </r>
  <r>
    <n v="1104"/>
    <x v="76"/>
    <s v="P08"/>
    <s v="Laptop Backpack"/>
    <x v="1"/>
    <n v="1110"/>
    <s v="E04"/>
    <s v="Priya Nair"/>
    <x v="2"/>
    <s v="Bengaluru"/>
    <n v="3"/>
    <n v="3330"/>
  </r>
  <r>
    <n v="1116"/>
    <x v="76"/>
    <s v="P05"/>
    <s v="Standing Desk"/>
    <x v="0"/>
    <n v="11010"/>
    <s v="E02"/>
    <s v="Ishita Verma"/>
    <x v="3"/>
    <s v="Chandigarh"/>
    <n v="6"/>
    <n v="66060"/>
  </r>
  <r>
    <n v="1111"/>
    <x v="77"/>
    <s v="P06"/>
    <s v="Bookshelf Unit"/>
    <x v="2"/>
    <n v="3910"/>
    <s v="E07"/>
    <s v="Aditya Kapoor"/>
    <x v="0"/>
    <s v="Mumbai"/>
    <n v="3"/>
    <n v="11730"/>
  </r>
  <r>
    <n v="1122"/>
    <x v="78"/>
    <s v="P06"/>
    <s v="Bookshelf Unit"/>
    <x v="2"/>
    <n v="3910"/>
    <s v="E07"/>
    <s v="Aditya Kapoor"/>
    <x v="0"/>
    <s v="Mumbai"/>
    <n v="5"/>
    <n v="19550"/>
  </r>
  <r>
    <n v="1120"/>
    <x v="79"/>
    <s v="P05"/>
    <s v="Standing Desk"/>
    <x v="0"/>
    <n v="11010"/>
    <s v="E03"/>
    <s v="Rohan Mehta"/>
    <x v="2"/>
    <s v="Bengaluru"/>
    <n v="4"/>
    <n v="44040"/>
  </r>
  <r>
    <n v="1110"/>
    <x v="80"/>
    <s v="P01"/>
    <s v="Wireless Mouse"/>
    <x v="3"/>
    <n v="780"/>
    <s v="E05"/>
    <s v="Karan Malhotra"/>
    <x v="1"/>
    <s v="Kolkata"/>
    <n v="1"/>
    <n v="780"/>
  </r>
  <r>
    <n v="1107"/>
    <x v="81"/>
    <s v="P05"/>
    <s v="Standing Desk"/>
    <x v="0"/>
    <n v="11010"/>
    <s v="E02"/>
    <s v="Ishita Verma"/>
    <x v="3"/>
    <s v="Chandigarh"/>
    <n v="3"/>
    <n v="33030"/>
  </r>
  <r>
    <n v="1105"/>
    <x v="82"/>
    <s v="P04"/>
    <s v="Ergo Office Chair"/>
    <x v="0"/>
    <n v="6750"/>
    <s v="E04"/>
    <s v="Priya Nair"/>
    <x v="2"/>
    <s v="Bengaluru"/>
    <n v="1"/>
    <n v="6750"/>
  </r>
  <r>
    <n v="1117"/>
    <x v="83"/>
    <s v="P06"/>
    <s v="Bookshelf Unit"/>
    <x v="2"/>
    <n v="3910"/>
    <s v="E07"/>
    <s v="Aditya Kapoor"/>
    <x v="0"/>
    <s v="Mumbai"/>
    <n v="4"/>
    <n v="15640"/>
  </r>
  <r>
    <n v="1119"/>
    <x v="84"/>
    <s v="P07"/>
    <s v="Filing Cabinet"/>
    <x v="2"/>
    <n v="4070"/>
    <s v="E07"/>
    <s v="Aditya Kapoor"/>
    <x v="0"/>
    <s v="Mumbai"/>
    <n v="10"/>
    <n v="40700"/>
  </r>
  <r>
    <n v="1115"/>
    <x v="85"/>
    <s v="P06"/>
    <s v="Bookshelf Unit"/>
    <x v="2"/>
    <n v="3910"/>
    <s v="E06"/>
    <s v="Sneha Roy"/>
    <x v="1"/>
    <s v="Kolkata"/>
    <n v="10"/>
    <n v="39100"/>
  </r>
  <r>
    <n v="1108"/>
    <x v="86"/>
    <s v="P09"/>
    <s v="USB-C Hub"/>
    <x v="1"/>
    <n v="880"/>
    <s v="E07"/>
    <s v="Aditya Kapoor"/>
    <x v="0"/>
    <s v="Mumbai"/>
    <n v="3"/>
    <n v="2640"/>
  </r>
  <r>
    <n v="1147"/>
    <x v="87"/>
    <s v="P07"/>
    <s v="Filing Cabinet"/>
    <x v="2"/>
    <n v="4070"/>
    <s v="E01"/>
    <s v="Aarav Sharma"/>
    <x v="3"/>
    <s v="Lucknow"/>
    <n v="5"/>
    <n v="20350"/>
  </r>
  <r>
    <n v="1132"/>
    <x v="88"/>
    <s v="P09"/>
    <s v="USB-C Hub"/>
    <x v="1"/>
    <n v="880"/>
    <s v="E03"/>
    <s v="Rohan Mehta"/>
    <x v="2"/>
    <s v="Bengaluru"/>
    <n v="5"/>
    <n v="4400"/>
  </r>
  <r>
    <n v="1139"/>
    <x v="89"/>
    <s v="P05"/>
    <s v="Standing Desk"/>
    <x v="0"/>
    <n v="11010"/>
    <s v="E04"/>
    <s v="Priya Nair"/>
    <x v="2"/>
    <s v="Bengaluru"/>
    <n v="5"/>
    <n v="55050"/>
  </r>
  <r>
    <n v="1126"/>
    <x v="90"/>
    <s v="P04"/>
    <s v="Ergo Office Chair"/>
    <x v="0"/>
    <n v="6750"/>
    <s v="E05"/>
    <s v="Karan Malhotra"/>
    <x v="1"/>
    <s v="Kolkata"/>
    <n v="2"/>
    <n v="13500"/>
  </r>
  <r>
    <n v="1133"/>
    <x v="90"/>
    <s v="P02"/>
    <s v="Bluetooth Speaker"/>
    <x v="3"/>
    <n v="1430"/>
    <s v="E04"/>
    <s v="Priya Nair"/>
    <x v="2"/>
    <s v="Bengaluru"/>
    <n v="5"/>
    <n v="7150"/>
  </r>
  <r>
    <n v="1141"/>
    <x v="90"/>
    <s v="P09"/>
    <s v="USB-C Hub"/>
    <x v="1"/>
    <n v="880"/>
    <s v="E06"/>
    <s v="Sneha Roy"/>
    <x v="1"/>
    <s v="Kolkata"/>
    <n v="1"/>
    <n v="880"/>
  </r>
  <r>
    <n v="1131"/>
    <x v="91"/>
    <s v="P02"/>
    <s v="Bluetooth Speaker"/>
    <x v="3"/>
    <n v="1430"/>
    <s v="E01"/>
    <s v="Aarav Sharma"/>
    <x v="3"/>
    <s v="Lucknow"/>
    <n v="4"/>
    <n v="5720"/>
  </r>
  <r>
    <n v="1137"/>
    <x v="92"/>
    <s v="P08"/>
    <s v="Laptop Backpack"/>
    <x v="1"/>
    <n v="1110"/>
    <s v="E03"/>
    <s v="Rohan Mehta"/>
    <x v="2"/>
    <s v="Bengaluru"/>
    <n v="5"/>
    <n v="5550"/>
  </r>
  <r>
    <n v="1140"/>
    <x v="93"/>
    <s v="P04"/>
    <s v="Ergo Office Chair"/>
    <x v="0"/>
    <n v="6750"/>
    <s v="E05"/>
    <s v="Karan Malhotra"/>
    <x v="1"/>
    <s v="Kolkata"/>
    <n v="2"/>
    <n v="13500"/>
  </r>
  <r>
    <n v="1129"/>
    <x v="94"/>
    <s v="P07"/>
    <s v="Filing Cabinet"/>
    <x v="2"/>
    <n v="4070"/>
    <s v="E04"/>
    <s v="Priya Nair"/>
    <x v="2"/>
    <s v="Bengaluru"/>
    <n v="5"/>
    <n v="20350"/>
  </r>
  <r>
    <n v="1143"/>
    <x v="95"/>
    <s v="P04"/>
    <s v="Ergo Office Chair"/>
    <x v="0"/>
    <n v="6750"/>
    <s v="E03"/>
    <s v="Rohan Mehta"/>
    <x v="2"/>
    <s v="Bengaluru"/>
    <n v="1"/>
    <n v="6750"/>
  </r>
  <r>
    <n v="1144"/>
    <x v="96"/>
    <s v="P06"/>
    <s v="Bookshelf Unit"/>
    <x v="2"/>
    <n v="3910"/>
    <s v="E07"/>
    <s v="Aditya Kapoor"/>
    <x v="0"/>
    <s v="Mumbai"/>
    <n v="6"/>
    <n v="23460"/>
  </r>
  <r>
    <n v="1127"/>
    <x v="97"/>
    <s v="P01"/>
    <s v="Wireless Mouse"/>
    <x v="3"/>
    <n v="780"/>
    <s v="E01"/>
    <s v="Aarav Sharma"/>
    <x v="3"/>
    <s v="Lucknow"/>
    <n v="2"/>
    <n v="1560"/>
  </r>
  <r>
    <n v="1138"/>
    <x v="97"/>
    <s v="P05"/>
    <s v="Standing Desk"/>
    <x v="0"/>
    <n v="11010"/>
    <s v="E04"/>
    <s v="Priya Nair"/>
    <x v="2"/>
    <s v="Bengaluru"/>
    <n v="6"/>
    <n v="66060"/>
  </r>
  <r>
    <n v="1124"/>
    <x v="98"/>
    <s v="P02"/>
    <s v="Bluetooth Speaker"/>
    <x v="3"/>
    <n v="1430"/>
    <s v="E03"/>
    <s v="Rohan Mehta"/>
    <x v="2"/>
    <s v="Bengaluru"/>
    <n v="2"/>
    <n v="2860"/>
  </r>
  <r>
    <n v="1134"/>
    <x v="99"/>
    <s v="P09"/>
    <s v="USB-C Hub"/>
    <x v="1"/>
    <n v="880"/>
    <s v="E08"/>
    <s v="Neha Joshi"/>
    <x v="0"/>
    <s v="Ahmedabad"/>
    <n v="6"/>
    <n v="5280"/>
  </r>
  <r>
    <n v="1125"/>
    <x v="100"/>
    <s v="P02"/>
    <s v="Bluetooth Speaker"/>
    <x v="3"/>
    <n v="1430"/>
    <s v="E06"/>
    <s v="Sneha Roy"/>
    <x v="1"/>
    <s v="Kolkata"/>
    <n v="2"/>
    <n v="2860"/>
  </r>
  <r>
    <n v="1130"/>
    <x v="101"/>
    <s v="P03"/>
    <s v="LED Monitor 24&quot;"/>
    <x v="3"/>
    <n v="7700"/>
    <s v="E04"/>
    <s v="Priya Nair"/>
    <x v="2"/>
    <s v="Bengaluru"/>
    <n v="10"/>
    <n v="77000"/>
  </r>
  <r>
    <n v="1142"/>
    <x v="101"/>
    <s v="P04"/>
    <s v="Ergo Office Chair"/>
    <x v="0"/>
    <n v="6750"/>
    <s v="E03"/>
    <s v="Rohan Mehta"/>
    <x v="2"/>
    <s v="Bengaluru"/>
    <n v="4"/>
    <n v="27000"/>
  </r>
  <r>
    <n v="1146"/>
    <x v="101"/>
    <s v="P07"/>
    <s v="Filing Cabinet"/>
    <x v="2"/>
    <n v="4070"/>
    <s v="E07"/>
    <s v="Aditya Kapoor"/>
    <x v="0"/>
    <s v="Mumbai"/>
    <n v="8"/>
    <n v="32560"/>
  </r>
  <r>
    <n v="1123"/>
    <x v="102"/>
    <s v="P09"/>
    <s v="USB-C Hub"/>
    <x v="1"/>
    <n v="880"/>
    <s v="E04"/>
    <s v="Priya Nair"/>
    <x v="2"/>
    <s v="Bengaluru"/>
    <n v="5"/>
    <n v="4400"/>
  </r>
  <r>
    <n v="1135"/>
    <x v="103"/>
    <s v="P08"/>
    <s v="Laptop Backpack"/>
    <x v="1"/>
    <n v="1110"/>
    <s v="E06"/>
    <s v="Sneha Roy"/>
    <x v="1"/>
    <s v="Kolkata"/>
    <n v="8"/>
    <n v="8880"/>
  </r>
  <r>
    <n v="1145"/>
    <x v="103"/>
    <s v="P01"/>
    <s v="Wireless Mouse"/>
    <x v="3"/>
    <n v="780"/>
    <s v="E07"/>
    <s v="Aditya Kapoor"/>
    <x v="0"/>
    <s v="Mumbai"/>
    <n v="2"/>
    <n v="1560"/>
  </r>
  <r>
    <n v="1148"/>
    <x v="104"/>
    <s v="P05"/>
    <s v="Standing Desk"/>
    <x v="0"/>
    <n v="11010"/>
    <s v="E06"/>
    <s v="Sneha Roy"/>
    <x v="1"/>
    <s v="Kolkata"/>
    <n v="4"/>
    <n v="44040"/>
  </r>
  <r>
    <n v="1128"/>
    <x v="105"/>
    <s v="P08"/>
    <s v="Laptop Backpack"/>
    <x v="1"/>
    <n v="1110"/>
    <s v="E02"/>
    <s v="Ishita Verma"/>
    <x v="3"/>
    <s v="Chandigarh"/>
    <n v="4"/>
    <n v="4440"/>
  </r>
  <r>
    <n v="1136"/>
    <x v="105"/>
    <s v="P09"/>
    <s v="USB-C Hub"/>
    <x v="1"/>
    <n v="880"/>
    <s v="E07"/>
    <s v="Aditya Kapoor"/>
    <x v="0"/>
    <s v="Mumbai"/>
    <n v="5"/>
    <n v="4400"/>
  </r>
  <r>
    <n v="1155"/>
    <x v="106"/>
    <s v="P08"/>
    <s v="Laptop Backpack"/>
    <x v="1"/>
    <n v="1110"/>
    <s v="E03"/>
    <s v="Rohan Mehta"/>
    <x v="2"/>
    <s v="Bengaluru"/>
    <n v="1"/>
    <n v="1110"/>
  </r>
  <r>
    <n v="1168"/>
    <x v="107"/>
    <s v="P07"/>
    <s v="Filing Cabinet"/>
    <x v="2"/>
    <n v="4070"/>
    <s v="E07"/>
    <s v="Aditya Kapoor"/>
    <x v="0"/>
    <s v="Mumbai"/>
    <n v="2"/>
    <n v="8140"/>
  </r>
  <r>
    <n v="1166"/>
    <x v="108"/>
    <s v="P03"/>
    <s v="LED Monitor 24&quot;"/>
    <x v="3"/>
    <n v="7700"/>
    <s v="E02"/>
    <s v="Ishita Verma"/>
    <x v="3"/>
    <s v="Chandigarh"/>
    <n v="2"/>
    <n v="15400"/>
  </r>
  <r>
    <n v="1156"/>
    <x v="109"/>
    <s v="P07"/>
    <s v="Filing Cabinet"/>
    <x v="2"/>
    <n v="4070"/>
    <s v="E05"/>
    <s v="Karan Malhotra"/>
    <x v="1"/>
    <s v="Kolkata"/>
    <n v="3"/>
    <n v="12210"/>
  </r>
  <r>
    <n v="1178"/>
    <x v="110"/>
    <s v="P05"/>
    <s v="Standing Desk"/>
    <x v="0"/>
    <n v="11010"/>
    <s v="E02"/>
    <s v="Ishita Verma"/>
    <x v="3"/>
    <s v="Chandigarh"/>
    <n v="5"/>
    <n v="55050"/>
  </r>
  <r>
    <n v="1149"/>
    <x v="111"/>
    <s v="P08"/>
    <s v="Laptop Backpack"/>
    <x v="1"/>
    <n v="1110"/>
    <s v="E04"/>
    <s v="Priya Nair"/>
    <x v="2"/>
    <s v="Bengaluru"/>
    <n v="2"/>
    <n v="2220"/>
  </r>
  <r>
    <n v="1158"/>
    <x v="111"/>
    <s v="P05"/>
    <s v="Standing Desk"/>
    <x v="0"/>
    <n v="11010"/>
    <s v="E07"/>
    <s v="Aditya Kapoor"/>
    <x v="0"/>
    <s v="Mumbai"/>
    <n v="4"/>
    <n v="44040"/>
  </r>
  <r>
    <n v="1175"/>
    <x v="111"/>
    <s v="P09"/>
    <s v="USB-C Hub"/>
    <x v="1"/>
    <n v="880"/>
    <s v="E03"/>
    <s v="Rohan Mehta"/>
    <x v="2"/>
    <s v="Bengaluru"/>
    <n v="10"/>
    <n v="8800"/>
  </r>
  <r>
    <n v="1150"/>
    <x v="112"/>
    <s v="P08"/>
    <s v="Laptop Backpack"/>
    <x v="1"/>
    <n v="1110"/>
    <s v="E07"/>
    <s v="Aditya Kapoor"/>
    <x v="0"/>
    <s v="Mumbai"/>
    <n v="1"/>
    <n v="1110"/>
  </r>
  <r>
    <n v="1154"/>
    <x v="113"/>
    <s v="P02"/>
    <s v="Bluetooth Speaker"/>
    <x v="3"/>
    <n v="1430"/>
    <s v="E01"/>
    <s v="Aarav Sharma"/>
    <x v="3"/>
    <s v="Lucknow"/>
    <n v="10"/>
    <n v="14300"/>
  </r>
  <r>
    <n v="1174"/>
    <x v="113"/>
    <s v="P08"/>
    <s v="Laptop Backpack"/>
    <x v="1"/>
    <n v="1110"/>
    <s v="E06"/>
    <s v="Sneha Roy"/>
    <x v="1"/>
    <s v="Kolkata"/>
    <n v="1"/>
    <n v="1110"/>
  </r>
  <r>
    <n v="1163"/>
    <x v="114"/>
    <s v="P04"/>
    <s v="Ergo Office Chair"/>
    <x v="0"/>
    <n v="6750"/>
    <s v="E03"/>
    <s v="Rohan Mehta"/>
    <x v="2"/>
    <s v="Bengaluru"/>
    <n v="1"/>
    <n v="6750"/>
  </r>
  <r>
    <n v="1171"/>
    <x v="115"/>
    <s v="P06"/>
    <s v="Bookshelf Unit"/>
    <x v="2"/>
    <n v="3910"/>
    <s v="E07"/>
    <s v="Aditya Kapoor"/>
    <x v="0"/>
    <s v="Mumbai"/>
    <n v="1"/>
    <n v="3910"/>
  </r>
  <r>
    <n v="1152"/>
    <x v="116"/>
    <s v="P03"/>
    <s v="LED Monitor 24&quot;"/>
    <x v="3"/>
    <n v="7700"/>
    <s v="E08"/>
    <s v="Neha Joshi"/>
    <x v="0"/>
    <s v="Ahmedabad"/>
    <n v="8"/>
    <n v="61600"/>
  </r>
  <r>
    <n v="1170"/>
    <x v="116"/>
    <s v="P01"/>
    <s v="Wireless Mouse"/>
    <x v="3"/>
    <n v="780"/>
    <s v="E02"/>
    <s v="Ishita Verma"/>
    <x v="3"/>
    <s v="Chandigarh"/>
    <n v="3"/>
    <n v="2340"/>
  </r>
  <r>
    <n v="1153"/>
    <x v="117"/>
    <s v="P07"/>
    <s v="Filing Cabinet"/>
    <x v="2"/>
    <n v="4070"/>
    <s v="E01"/>
    <s v="Aarav Sharma"/>
    <x v="3"/>
    <s v="Lucknow"/>
    <n v="8"/>
    <n v="32560"/>
  </r>
  <r>
    <n v="1162"/>
    <x v="118"/>
    <s v="P04"/>
    <s v="Ergo Office Chair"/>
    <x v="0"/>
    <n v="6750"/>
    <s v="E04"/>
    <s v="Priya Nair"/>
    <x v="2"/>
    <s v="Bengaluru"/>
    <n v="1"/>
    <n v="6750"/>
  </r>
  <r>
    <n v="1165"/>
    <x v="118"/>
    <s v="P06"/>
    <s v="Bookshelf Unit"/>
    <x v="2"/>
    <n v="3910"/>
    <s v="E05"/>
    <s v="Karan Malhotra"/>
    <x v="1"/>
    <s v="Kolkata"/>
    <n v="1"/>
    <n v="3910"/>
  </r>
  <r>
    <n v="1160"/>
    <x v="119"/>
    <s v="P06"/>
    <s v="Bookshelf Unit"/>
    <x v="2"/>
    <n v="3910"/>
    <s v="E01"/>
    <s v="Aarav Sharma"/>
    <x v="3"/>
    <s v="Lucknow"/>
    <n v="2"/>
    <n v="7820"/>
  </r>
  <r>
    <n v="1167"/>
    <x v="120"/>
    <s v="P05"/>
    <s v="Standing Desk"/>
    <x v="0"/>
    <n v="11010"/>
    <s v="E01"/>
    <s v="Aarav Sharma"/>
    <x v="3"/>
    <s v="Lucknow"/>
    <n v="8"/>
    <n v="88080"/>
  </r>
  <r>
    <n v="1164"/>
    <x v="121"/>
    <s v="P04"/>
    <s v="Ergo Office Chair"/>
    <x v="0"/>
    <n v="6750"/>
    <s v="E02"/>
    <s v="Ishita Verma"/>
    <x v="3"/>
    <s v="Chandigarh"/>
    <n v="5"/>
    <n v="33750"/>
  </r>
  <r>
    <n v="1159"/>
    <x v="122"/>
    <s v="P08"/>
    <s v="Laptop Backpack"/>
    <x v="1"/>
    <n v="1110"/>
    <s v="E02"/>
    <s v="Ishita Verma"/>
    <x v="3"/>
    <s v="Chandigarh"/>
    <n v="1"/>
    <n v="1110"/>
  </r>
  <r>
    <n v="1157"/>
    <x v="123"/>
    <s v="P06"/>
    <s v="Bookshelf Unit"/>
    <x v="2"/>
    <n v="3910"/>
    <s v="E08"/>
    <s v="Neha Joshi"/>
    <x v="0"/>
    <s v="Ahmedabad"/>
    <n v="3"/>
    <n v="11730"/>
  </r>
  <r>
    <n v="1151"/>
    <x v="124"/>
    <s v="P07"/>
    <s v="Filing Cabinet"/>
    <x v="2"/>
    <n v="4070"/>
    <s v="E06"/>
    <s v="Sneha Roy"/>
    <x v="1"/>
    <s v="Kolkata"/>
    <n v="1"/>
    <n v="4070"/>
  </r>
  <r>
    <n v="1172"/>
    <x v="124"/>
    <s v="P01"/>
    <s v="Wireless Mouse"/>
    <x v="3"/>
    <n v="780"/>
    <s v="E06"/>
    <s v="Sneha Roy"/>
    <x v="1"/>
    <s v="Kolkata"/>
    <n v="4"/>
    <n v="3120"/>
  </r>
  <r>
    <n v="1176"/>
    <x v="124"/>
    <s v="P08"/>
    <s v="Laptop Backpack"/>
    <x v="1"/>
    <n v="1110"/>
    <s v="E08"/>
    <s v="Neha Joshi"/>
    <x v="0"/>
    <s v="Ahmedabad"/>
    <n v="4"/>
    <n v="4440"/>
  </r>
  <r>
    <n v="1177"/>
    <x v="124"/>
    <s v="P06"/>
    <s v="Bookshelf Unit"/>
    <x v="2"/>
    <n v="3910"/>
    <s v="E05"/>
    <s v="Karan Malhotra"/>
    <x v="1"/>
    <s v="Kolkata"/>
    <n v="2"/>
    <n v="7820"/>
  </r>
  <r>
    <n v="1169"/>
    <x v="125"/>
    <s v="P02"/>
    <s v="Bluetooth Speaker"/>
    <x v="3"/>
    <n v="1430"/>
    <s v="E04"/>
    <s v="Priya Nair"/>
    <x v="2"/>
    <s v="Bengaluru"/>
    <n v="2"/>
    <n v="2860"/>
  </r>
  <r>
    <n v="1161"/>
    <x v="126"/>
    <s v="P01"/>
    <s v="Wireless Mouse"/>
    <x v="3"/>
    <n v="780"/>
    <s v="E02"/>
    <s v="Ishita Verma"/>
    <x v="3"/>
    <s v="Chandigarh"/>
    <n v="1"/>
    <n v="780"/>
  </r>
  <r>
    <n v="1173"/>
    <x v="126"/>
    <s v="P02"/>
    <s v="Bluetooth Speaker"/>
    <x v="3"/>
    <n v="1430"/>
    <s v="E08"/>
    <s v="Neha Joshi"/>
    <x v="0"/>
    <s v="Ahmedabad"/>
    <n v="4"/>
    <n v="5720"/>
  </r>
  <r>
    <n v="1186"/>
    <x v="127"/>
    <s v="P08"/>
    <s v="Laptop Backpack"/>
    <x v="1"/>
    <n v="1110"/>
    <s v="E08"/>
    <s v="Neha Joshi"/>
    <x v="0"/>
    <s v="Ahmedabad"/>
    <n v="1"/>
    <n v="1110"/>
  </r>
  <r>
    <n v="1204"/>
    <x v="127"/>
    <s v="P07"/>
    <s v="Filing Cabinet"/>
    <x v="2"/>
    <n v="4070"/>
    <s v="E02"/>
    <s v="Ishita Verma"/>
    <x v="3"/>
    <s v="Chandigarh"/>
    <n v="5"/>
    <n v="20350"/>
  </r>
  <r>
    <n v="1203"/>
    <x v="128"/>
    <s v="P05"/>
    <s v="Standing Desk"/>
    <x v="0"/>
    <n v="11010"/>
    <s v="E01"/>
    <s v="Aarav Sharma"/>
    <x v="3"/>
    <s v="Lucknow"/>
    <n v="5"/>
    <n v="55050"/>
  </r>
  <r>
    <n v="1206"/>
    <x v="128"/>
    <s v="P02"/>
    <s v="Bluetooth Speaker"/>
    <x v="3"/>
    <n v="1430"/>
    <s v="E05"/>
    <s v="Karan Malhotra"/>
    <x v="1"/>
    <s v="Kolkata"/>
    <n v="2"/>
    <n v="2860"/>
  </r>
  <r>
    <n v="1180"/>
    <x v="129"/>
    <s v="P03"/>
    <s v="LED Monitor 24&quot;"/>
    <x v="3"/>
    <n v="7700"/>
    <s v="E06"/>
    <s v="Sneha Roy"/>
    <x v="1"/>
    <s v="Kolkata"/>
    <n v="5"/>
    <n v="38500"/>
  </r>
  <r>
    <n v="1181"/>
    <x v="130"/>
    <s v="P05"/>
    <s v="Standing Desk"/>
    <x v="0"/>
    <n v="11010"/>
    <s v="E06"/>
    <s v="Sneha Roy"/>
    <x v="1"/>
    <s v="Kolkata"/>
    <n v="3"/>
    <n v="33030"/>
  </r>
  <r>
    <n v="1198"/>
    <x v="130"/>
    <s v="P09"/>
    <s v="USB-C Hub"/>
    <x v="1"/>
    <n v="880"/>
    <s v="E01"/>
    <s v="Aarav Sharma"/>
    <x v="3"/>
    <s v="Lucknow"/>
    <n v="1"/>
    <n v="880"/>
  </r>
  <r>
    <n v="1191"/>
    <x v="131"/>
    <s v="P08"/>
    <s v="Laptop Backpack"/>
    <x v="1"/>
    <n v="1110"/>
    <s v="E06"/>
    <s v="Sneha Roy"/>
    <x v="1"/>
    <s v="Kolkata"/>
    <n v="2"/>
    <n v="2220"/>
  </r>
  <r>
    <n v="1196"/>
    <x v="131"/>
    <s v="P02"/>
    <s v="Bluetooth Speaker"/>
    <x v="3"/>
    <n v="1430"/>
    <s v="E05"/>
    <s v="Karan Malhotra"/>
    <x v="1"/>
    <s v="Kolkata"/>
    <n v="2"/>
    <n v="2860"/>
  </r>
  <r>
    <n v="1197"/>
    <x v="131"/>
    <s v="P06"/>
    <s v="Bookshelf Unit"/>
    <x v="2"/>
    <n v="3910"/>
    <s v="E04"/>
    <s v="Priya Nair"/>
    <x v="2"/>
    <s v="Bengaluru"/>
    <n v="1"/>
    <n v="3910"/>
  </r>
  <r>
    <n v="1199"/>
    <x v="131"/>
    <s v="P01"/>
    <s v="Wireless Mouse"/>
    <x v="3"/>
    <n v="780"/>
    <s v="E01"/>
    <s v="Aarav Sharma"/>
    <x v="3"/>
    <s v="Lucknow"/>
    <n v="6"/>
    <n v="4680"/>
  </r>
  <r>
    <n v="1190"/>
    <x v="132"/>
    <s v="P07"/>
    <s v="Filing Cabinet"/>
    <x v="2"/>
    <n v="4070"/>
    <s v="E06"/>
    <s v="Sneha Roy"/>
    <x v="1"/>
    <s v="Kolkata"/>
    <n v="6"/>
    <n v="24420"/>
  </r>
  <r>
    <n v="1207"/>
    <x v="133"/>
    <s v="P04"/>
    <s v="Ergo Office Chair"/>
    <x v="0"/>
    <n v="6750"/>
    <s v="E07"/>
    <s v="Aditya Kapoor"/>
    <x v="0"/>
    <s v="Mumbai"/>
    <n v="6"/>
    <n v="40500"/>
  </r>
  <r>
    <n v="1179"/>
    <x v="134"/>
    <s v="P06"/>
    <s v="Bookshelf Unit"/>
    <x v="2"/>
    <n v="3910"/>
    <s v="E07"/>
    <s v="Aditya Kapoor"/>
    <x v="0"/>
    <s v="Mumbai"/>
    <n v="1"/>
    <n v="3910"/>
  </r>
  <r>
    <n v="1201"/>
    <x v="134"/>
    <s v="P05"/>
    <s v="Standing Desk"/>
    <x v="0"/>
    <n v="11010"/>
    <s v="E01"/>
    <s v="Aarav Sharma"/>
    <x v="3"/>
    <s v="Lucknow"/>
    <n v="5"/>
    <n v="55050"/>
  </r>
  <r>
    <n v="1182"/>
    <x v="135"/>
    <s v="P09"/>
    <s v="USB-C Hub"/>
    <x v="1"/>
    <n v="880"/>
    <s v="E05"/>
    <s v="Karan Malhotra"/>
    <x v="1"/>
    <s v="Kolkata"/>
    <n v="1"/>
    <n v="880"/>
  </r>
  <r>
    <n v="1189"/>
    <x v="135"/>
    <s v="P08"/>
    <s v="Laptop Backpack"/>
    <x v="1"/>
    <n v="1110"/>
    <s v="E06"/>
    <s v="Sneha Roy"/>
    <x v="1"/>
    <s v="Kolkata"/>
    <n v="6"/>
    <n v="6660"/>
  </r>
  <r>
    <n v="1188"/>
    <x v="136"/>
    <s v="P05"/>
    <s v="Standing Desk"/>
    <x v="0"/>
    <n v="11010"/>
    <s v="E04"/>
    <s v="Priya Nair"/>
    <x v="2"/>
    <s v="Bengaluru"/>
    <n v="10"/>
    <n v="110100"/>
  </r>
  <r>
    <n v="1209"/>
    <x v="137"/>
    <s v="P05"/>
    <s v="Standing Desk"/>
    <x v="0"/>
    <n v="11010"/>
    <s v="E07"/>
    <s v="Aditya Kapoor"/>
    <x v="0"/>
    <s v="Mumbai"/>
    <n v="8"/>
    <n v="88080"/>
  </r>
  <r>
    <n v="1185"/>
    <x v="138"/>
    <s v="P08"/>
    <s v="Laptop Backpack"/>
    <x v="1"/>
    <n v="1110"/>
    <s v="E04"/>
    <s v="Priya Nair"/>
    <x v="2"/>
    <s v="Bengaluru"/>
    <n v="10"/>
    <n v="11100"/>
  </r>
  <r>
    <n v="1187"/>
    <x v="138"/>
    <s v="P04"/>
    <s v="Ergo Office Chair"/>
    <x v="0"/>
    <n v="6750"/>
    <s v="E05"/>
    <s v="Karan Malhotra"/>
    <x v="1"/>
    <s v="Kolkata"/>
    <n v="4"/>
    <n v="27000"/>
  </r>
  <r>
    <n v="1183"/>
    <x v="139"/>
    <s v="P02"/>
    <s v="Bluetooth Speaker"/>
    <x v="3"/>
    <n v="1430"/>
    <s v="E04"/>
    <s v="Priya Nair"/>
    <x v="2"/>
    <s v="Bengaluru"/>
    <n v="2"/>
    <n v="2860"/>
  </r>
  <r>
    <n v="1192"/>
    <x v="139"/>
    <s v="P04"/>
    <s v="Ergo Office Chair"/>
    <x v="0"/>
    <n v="6750"/>
    <s v="E05"/>
    <s v="Karan Malhotra"/>
    <x v="1"/>
    <s v="Kolkata"/>
    <n v="1"/>
    <n v="6750"/>
  </r>
  <r>
    <n v="1193"/>
    <x v="139"/>
    <s v="P06"/>
    <s v="Bookshelf Unit"/>
    <x v="2"/>
    <n v="3910"/>
    <s v="E04"/>
    <s v="Priya Nair"/>
    <x v="2"/>
    <s v="Bengaluru"/>
    <n v="1"/>
    <n v="3910"/>
  </r>
  <r>
    <n v="1194"/>
    <x v="139"/>
    <s v="P04"/>
    <s v="Ergo Office Chair"/>
    <x v="0"/>
    <n v="6750"/>
    <s v="E03"/>
    <s v="Rohan Mehta"/>
    <x v="2"/>
    <s v="Bengaluru"/>
    <n v="2"/>
    <n v="13500"/>
  </r>
  <r>
    <n v="1184"/>
    <x v="140"/>
    <s v="P08"/>
    <s v="Laptop Backpack"/>
    <x v="1"/>
    <n v="1110"/>
    <s v="E07"/>
    <s v="Aditya Kapoor"/>
    <x v="0"/>
    <s v="Mumbai"/>
    <n v="6"/>
    <n v="6660"/>
  </r>
  <r>
    <n v="1195"/>
    <x v="140"/>
    <s v="P05"/>
    <s v="Standing Desk"/>
    <x v="0"/>
    <n v="11010"/>
    <s v="E08"/>
    <s v="Neha Joshi"/>
    <x v="0"/>
    <s v="Ahmedabad"/>
    <n v="8"/>
    <n v="88080"/>
  </r>
  <r>
    <n v="1205"/>
    <x v="141"/>
    <s v="P03"/>
    <s v="LED Monitor 24&quot;"/>
    <x v="3"/>
    <n v="7700"/>
    <s v="E01"/>
    <s v="Aarav Sharma"/>
    <x v="3"/>
    <s v="Lucknow"/>
    <n v="1"/>
    <n v="7700"/>
  </r>
  <r>
    <n v="1200"/>
    <x v="142"/>
    <s v="P08"/>
    <s v="Laptop Backpack"/>
    <x v="1"/>
    <n v="1110"/>
    <s v="E03"/>
    <s v="Rohan Mehta"/>
    <x v="2"/>
    <s v="Bengaluru"/>
    <n v="1"/>
    <n v="1110"/>
  </r>
  <r>
    <n v="1208"/>
    <x v="142"/>
    <s v="P08"/>
    <s v="Laptop Backpack"/>
    <x v="1"/>
    <n v="1110"/>
    <s v="E08"/>
    <s v="Neha Joshi"/>
    <x v="0"/>
    <s v="Ahmedabad"/>
    <n v="2"/>
    <n v="2220"/>
  </r>
  <r>
    <n v="1202"/>
    <x v="143"/>
    <s v="P06"/>
    <s v="Bookshelf Unit"/>
    <x v="2"/>
    <n v="3910"/>
    <s v="E08"/>
    <s v="Neha Joshi"/>
    <x v="0"/>
    <s v="Ahmedabad"/>
    <n v="1"/>
    <n v="3910"/>
  </r>
  <r>
    <n v="1225"/>
    <x v="144"/>
    <s v="P05"/>
    <s v="Standing Desk"/>
    <x v="0"/>
    <n v="11010"/>
    <s v="E01"/>
    <s v="Aarav Sharma"/>
    <x v="3"/>
    <s v="Lucknow"/>
    <n v="8"/>
    <n v="88080"/>
  </r>
  <r>
    <n v="1215"/>
    <x v="145"/>
    <s v="P05"/>
    <s v="Standing Desk"/>
    <x v="0"/>
    <n v="11010"/>
    <s v="E05"/>
    <s v="Karan Malhotra"/>
    <x v="1"/>
    <s v="Kolkata"/>
    <n v="5"/>
    <n v="55050"/>
  </r>
  <r>
    <n v="1220"/>
    <x v="146"/>
    <s v="P05"/>
    <s v="Standing Desk"/>
    <x v="0"/>
    <n v="11010"/>
    <s v="E05"/>
    <s v="Karan Malhotra"/>
    <x v="1"/>
    <s v="Kolkata"/>
    <n v="5"/>
    <n v="55050"/>
  </r>
  <r>
    <n v="1212"/>
    <x v="147"/>
    <s v="P09"/>
    <s v="USB-C Hub"/>
    <x v="1"/>
    <n v="880"/>
    <s v="E03"/>
    <s v="Rohan Mehta"/>
    <x v="2"/>
    <s v="Bengaluru"/>
    <n v="1"/>
    <n v="880"/>
  </r>
  <r>
    <n v="1219"/>
    <x v="147"/>
    <s v="P02"/>
    <s v="Bluetooth Speaker"/>
    <x v="3"/>
    <n v="1430"/>
    <s v="E03"/>
    <s v="Rohan Mehta"/>
    <x v="2"/>
    <s v="Bengaluru"/>
    <n v="1"/>
    <n v="1430"/>
  </r>
  <r>
    <n v="1210"/>
    <x v="148"/>
    <s v="P04"/>
    <s v="Ergo Office Chair"/>
    <x v="0"/>
    <n v="6750"/>
    <s v="E02"/>
    <s v="Ishita Verma"/>
    <x v="3"/>
    <s v="Chandigarh"/>
    <n v="10"/>
    <n v="67500"/>
  </r>
  <r>
    <n v="1211"/>
    <x v="149"/>
    <s v="P02"/>
    <s v="Bluetooth Speaker"/>
    <x v="3"/>
    <n v="1430"/>
    <s v="E05"/>
    <s v="Karan Malhotra"/>
    <x v="1"/>
    <s v="Kolkata"/>
    <n v="1"/>
    <n v="1430"/>
  </r>
  <r>
    <n v="1214"/>
    <x v="149"/>
    <s v="P05"/>
    <s v="Standing Desk"/>
    <x v="0"/>
    <n v="11010"/>
    <s v="E08"/>
    <s v="Neha Joshi"/>
    <x v="0"/>
    <s v="Ahmedabad"/>
    <n v="1"/>
    <n v="11010"/>
  </r>
  <r>
    <n v="1224"/>
    <x v="149"/>
    <s v="P01"/>
    <s v="Wireless Mouse"/>
    <x v="3"/>
    <n v="780"/>
    <s v="E05"/>
    <s v="Karan Malhotra"/>
    <x v="1"/>
    <s v="Kolkata"/>
    <n v="1"/>
    <n v="780"/>
  </r>
  <r>
    <n v="1221"/>
    <x v="150"/>
    <s v="P05"/>
    <s v="Standing Desk"/>
    <x v="0"/>
    <n v="11010"/>
    <s v="E08"/>
    <s v="Neha Joshi"/>
    <x v="0"/>
    <s v="Ahmedabad"/>
    <n v="4"/>
    <n v="44040"/>
  </r>
  <r>
    <n v="1229"/>
    <x v="151"/>
    <s v="P07"/>
    <s v="Filing Cabinet"/>
    <x v="2"/>
    <n v="4070"/>
    <s v="E06"/>
    <s v="Sneha Roy"/>
    <x v="1"/>
    <s v="Kolkata"/>
    <n v="3"/>
    <n v="12210"/>
  </r>
  <r>
    <n v="1232"/>
    <x v="151"/>
    <s v="P08"/>
    <s v="Laptop Backpack"/>
    <x v="1"/>
    <n v="1110"/>
    <s v="E01"/>
    <s v="Aarav Sharma"/>
    <x v="3"/>
    <s v="Lucknow"/>
    <n v="1"/>
    <n v="1110"/>
  </r>
  <r>
    <n v="1231"/>
    <x v="152"/>
    <s v="P05"/>
    <s v="Standing Desk"/>
    <x v="0"/>
    <n v="11010"/>
    <s v="E08"/>
    <s v="Neha Joshi"/>
    <x v="0"/>
    <s v="Ahmedabad"/>
    <n v="10"/>
    <n v="110100"/>
  </r>
  <r>
    <n v="1230"/>
    <x v="153"/>
    <s v="P03"/>
    <s v="LED Monitor 24&quot;"/>
    <x v="3"/>
    <n v="7700"/>
    <s v="E02"/>
    <s v="Ishita Verma"/>
    <x v="3"/>
    <s v="Chandigarh"/>
    <n v="3"/>
    <n v="23100"/>
  </r>
  <r>
    <n v="1228"/>
    <x v="154"/>
    <s v="P08"/>
    <s v="Laptop Backpack"/>
    <x v="1"/>
    <n v="1110"/>
    <s v="E07"/>
    <s v="Aditya Kapoor"/>
    <x v="0"/>
    <s v="Mumbai"/>
    <n v="1"/>
    <n v="1110"/>
  </r>
  <r>
    <n v="1217"/>
    <x v="155"/>
    <s v="P07"/>
    <s v="Filing Cabinet"/>
    <x v="2"/>
    <n v="4070"/>
    <s v="E04"/>
    <s v="Priya Nair"/>
    <x v="2"/>
    <s v="Bengaluru"/>
    <n v="1"/>
    <n v="4070"/>
  </r>
  <r>
    <n v="1216"/>
    <x v="156"/>
    <s v="P05"/>
    <s v="Standing Desk"/>
    <x v="0"/>
    <n v="11010"/>
    <s v="E04"/>
    <s v="Priya Nair"/>
    <x v="2"/>
    <s v="Bengaluru"/>
    <n v="10"/>
    <n v="110100"/>
  </r>
  <r>
    <n v="1227"/>
    <x v="156"/>
    <s v="P05"/>
    <s v="Standing Desk"/>
    <x v="0"/>
    <n v="11010"/>
    <s v="E08"/>
    <s v="Neha Joshi"/>
    <x v="0"/>
    <s v="Ahmedabad"/>
    <n v="1"/>
    <n v="11010"/>
  </r>
  <r>
    <n v="1222"/>
    <x v="157"/>
    <s v="P08"/>
    <s v="Laptop Backpack"/>
    <x v="1"/>
    <n v="1110"/>
    <s v="E08"/>
    <s v="Neha Joshi"/>
    <x v="0"/>
    <s v="Ahmedabad"/>
    <n v="1"/>
    <n v="1110"/>
  </r>
  <r>
    <n v="1223"/>
    <x v="157"/>
    <s v="P07"/>
    <s v="Filing Cabinet"/>
    <x v="2"/>
    <n v="4070"/>
    <s v="E01"/>
    <s v="Aarav Sharma"/>
    <x v="3"/>
    <s v="Lucknow"/>
    <n v="3"/>
    <n v="12210"/>
  </r>
  <r>
    <n v="1226"/>
    <x v="158"/>
    <s v="P08"/>
    <s v="Laptop Backpack"/>
    <x v="1"/>
    <n v="1110"/>
    <s v="E03"/>
    <s v="Rohan Mehta"/>
    <x v="2"/>
    <s v="Bengaluru"/>
    <n v="6"/>
    <n v="6660"/>
  </r>
  <r>
    <n v="1213"/>
    <x v="159"/>
    <s v="P07"/>
    <s v="Filing Cabinet"/>
    <x v="2"/>
    <n v="4070"/>
    <s v="E01"/>
    <s v="Aarav Sharma"/>
    <x v="3"/>
    <s v="Lucknow"/>
    <n v="5"/>
    <n v="20350"/>
  </r>
  <r>
    <n v="1233"/>
    <x v="160"/>
    <s v="P06"/>
    <s v="Bookshelf Unit"/>
    <x v="2"/>
    <n v="3910"/>
    <s v="E05"/>
    <s v="Karan Malhotra"/>
    <x v="1"/>
    <s v="Kolkata"/>
    <n v="1"/>
    <n v="3910"/>
  </r>
  <r>
    <n v="1218"/>
    <x v="161"/>
    <s v="P03"/>
    <s v="LED Monitor 24&quot;"/>
    <x v="3"/>
    <n v="7700"/>
    <s v="E04"/>
    <s v="Priya Nair"/>
    <x v="2"/>
    <s v="Bengaluru"/>
    <n v="2"/>
    <n v="15400"/>
  </r>
  <r>
    <n v="1273"/>
    <x v="162"/>
    <s v="P05"/>
    <s v="Standing Desk"/>
    <x v="0"/>
    <n v="11010"/>
    <s v="E08"/>
    <s v="Neha Joshi"/>
    <x v="0"/>
    <s v="Ahmedabad"/>
    <n v="10"/>
    <n v="110100"/>
  </r>
  <r>
    <n v="1240"/>
    <x v="163"/>
    <s v="P09"/>
    <s v="USB-C Hub"/>
    <x v="1"/>
    <n v="880"/>
    <s v="E01"/>
    <s v="Aarav Sharma"/>
    <x v="3"/>
    <s v="Lucknow"/>
    <n v="4"/>
    <n v="3520"/>
  </r>
  <r>
    <n v="1238"/>
    <x v="164"/>
    <s v="P08"/>
    <s v="Laptop Backpack"/>
    <x v="1"/>
    <n v="1110"/>
    <s v="E05"/>
    <s v="Karan Malhotra"/>
    <x v="1"/>
    <s v="Kolkata"/>
    <n v="5"/>
    <n v="5550"/>
  </r>
  <r>
    <n v="1256"/>
    <x v="164"/>
    <s v="P02"/>
    <s v="Bluetooth Speaker"/>
    <x v="3"/>
    <n v="1430"/>
    <s v="E06"/>
    <s v="Sneha Roy"/>
    <x v="1"/>
    <s v="Kolkata"/>
    <n v="5"/>
    <n v="7150"/>
  </r>
  <r>
    <n v="1255"/>
    <x v="165"/>
    <s v="P08"/>
    <s v="Laptop Backpack"/>
    <x v="1"/>
    <n v="1110"/>
    <s v="E03"/>
    <s v="Rohan Mehta"/>
    <x v="2"/>
    <s v="Bengaluru"/>
    <n v="1"/>
    <n v="1110"/>
  </r>
  <r>
    <n v="1271"/>
    <x v="165"/>
    <s v="P08"/>
    <s v="Laptop Backpack"/>
    <x v="1"/>
    <n v="1110"/>
    <s v="E04"/>
    <s v="Priya Nair"/>
    <x v="2"/>
    <s v="Bengaluru"/>
    <n v="8"/>
    <n v="8880"/>
  </r>
  <r>
    <n v="1265"/>
    <x v="166"/>
    <s v="P02"/>
    <s v="Bluetooth Speaker"/>
    <x v="3"/>
    <n v="1430"/>
    <s v="E02"/>
    <s v="Ishita Verma"/>
    <x v="3"/>
    <s v="Chandigarh"/>
    <n v="5"/>
    <n v="7150"/>
  </r>
  <r>
    <n v="1269"/>
    <x v="166"/>
    <s v="P03"/>
    <s v="LED Monitor 24&quot;"/>
    <x v="3"/>
    <n v="7700"/>
    <s v="E07"/>
    <s v="Aditya Kapoor"/>
    <x v="0"/>
    <s v="Mumbai"/>
    <n v="1"/>
    <n v="7700"/>
  </r>
  <r>
    <n v="1236"/>
    <x v="167"/>
    <s v="P08"/>
    <s v="Laptop Backpack"/>
    <x v="1"/>
    <n v="1110"/>
    <s v="E08"/>
    <s v="Neha Joshi"/>
    <x v="0"/>
    <s v="Ahmedabad"/>
    <n v="1"/>
    <n v="1110"/>
  </r>
  <r>
    <n v="1247"/>
    <x v="168"/>
    <s v="P06"/>
    <s v="Bookshelf Unit"/>
    <x v="2"/>
    <n v="3910"/>
    <s v="E07"/>
    <s v="Aditya Kapoor"/>
    <x v="0"/>
    <s v="Mumbai"/>
    <n v="6"/>
    <n v="23460"/>
  </r>
  <r>
    <n v="1272"/>
    <x v="168"/>
    <s v="P08"/>
    <s v="Laptop Backpack"/>
    <x v="1"/>
    <n v="1110"/>
    <s v="E04"/>
    <s v="Priya Nair"/>
    <x v="2"/>
    <s v="Bengaluru"/>
    <n v="10"/>
    <n v="11100"/>
  </r>
  <r>
    <n v="1239"/>
    <x v="169"/>
    <s v="P04"/>
    <s v="Ergo Office Chair"/>
    <x v="0"/>
    <n v="6750"/>
    <s v="E01"/>
    <s v="Aarav Sharma"/>
    <x v="3"/>
    <s v="Lucknow"/>
    <n v="1"/>
    <n v="6750"/>
  </r>
  <r>
    <n v="1253"/>
    <x v="170"/>
    <s v="P07"/>
    <s v="Filing Cabinet"/>
    <x v="2"/>
    <n v="4070"/>
    <s v="E04"/>
    <s v="Priya Nair"/>
    <x v="2"/>
    <s v="Bengaluru"/>
    <n v="1"/>
    <n v="4070"/>
  </r>
  <r>
    <n v="1266"/>
    <x v="170"/>
    <s v="P01"/>
    <s v="Wireless Mouse"/>
    <x v="3"/>
    <n v="780"/>
    <s v="E05"/>
    <s v="Karan Malhotra"/>
    <x v="1"/>
    <s v="Kolkata"/>
    <n v="1"/>
    <n v="780"/>
  </r>
  <r>
    <n v="1235"/>
    <x v="171"/>
    <s v="P04"/>
    <s v="Ergo Office Chair"/>
    <x v="0"/>
    <n v="6750"/>
    <s v="E01"/>
    <s v="Aarav Sharma"/>
    <x v="3"/>
    <s v="Lucknow"/>
    <n v="6"/>
    <n v="40500"/>
  </r>
  <r>
    <n v="1267"/>
    <x v="171"/>
    <s v="P05"/>
    <s v="Standing Desk"/>
    <x v="0"/>
    <n v="11010"/>
    <s v="E01"/>
    <s v="Aarav Sharma"/>
    <x v="3"/>
    <s v="Lucknow"/>
    <n v="3"/>
    <n v="33030"/>
  </r>
  <r>
    <n v="1252"/>
    <x v="172"/>
    <s v="P04"/>
    <s v="Ergo Office Chair"/>
    <x v="0"/>
    <n v="6750"/>
    <s v="E04"/>
    <s v="Priya Nair"/>
    <x v="2"/>
    <s v="Bengaluru"/>
    <n v="8"/>
    <n v="54000"/>
  </r>
  <r>
    <n v="1234"/>
    <x v="173"/>
    <s v="P09"/>
    <s v="USB-C Hub"/>
    <x v="1"/>
    <n v="880"/>
    <s v="E01"/>
    <s v="Aarav Sharma"/>
    <x v="3"/>
    <s v="Lucknow"/>
    <n v="5"/>
    <n v="4400"/>
  </r>
  <r>
    <n v="1243"/>
    <x v="173"/>
    <s v="P09"/>
    <s v="USB-C Hub"/>
    <x v="1"/>
    <n v="880"/>
    <s v="E05"/>
    <s v="Karan Malhotra"/>
    <x v="1"/>
    <s v="Kolkata"/>
    <n v="2"/>
    <n v="1760"/>
  </r>
  <r>
    <n v="1257"/>
    <x v="173"/>
    <s v="P01"/>
    <s v="Wireless Mouse"/>
    <x v="3"/>
    <n v="780"/>
    <s v="E08"/>
    <s v="Neha Joshi"/>
    <x v="0"/>
    <s v="Ahmedabad"/>
    <n v="1"/>
    <n v="780"/>
  </r>
  <r>
    <n v="1264"/>
    <x v="173"/>
    <s v="P04"/>
    <s v="Ergo Office Chair"/>
    <x v="0"/>
    <n v="6750"/>
    <s v="E05"/>
    <s v="Karan Malhotra"/>
    <x v="1"/>
    <s v="Kolkata"/>
    <n v="1"/>
    <n v="6750"/>
  </r>
  <r>
    <n v="1244"/>
    <x v="174"/>
    <s v="P08"/>
    <s v="Laptop Backpack"/>
    <x v="1"/>
    <n v="1110"/>
    <s v="E08"/>
    <s v="Neha Joshi"/>
    <x v="0"/>
    <s v="Ahmedabad"/>
    <n v="2"/>
    <n v="2220"/>
  </r>
  <r>
    <n v="1268"/>
    <x v="175"/>
    <s v="P03"/>
    <s v="LED Monitor 24&quot;"/>
    <x v="3"/>
    <n v="7700"/>
    <s v="E07"/>
    <s v="Aditya Kapoor"/>
    <x v="0"/>
    <s v="Mumbai"/>
    <n v="2"/>
    <n v="15400"/>
  </r>
  <r>
    <n v="1249"/>
    <x v="176"/>
    <s v="P03"/>
    <s v="LED Monitor 24&quot;"/>
    <x v="3"/>
    <n v="7700"/>
    <s v="E08"/>
    <s v="Neha Joshi"/>
    <x v="0"/>
    <s v="Ahmedabad"/>
    <n v="5"/>
    <n v="38500"/>
  </r>
  <r>
    <n v="1250"/>
    <x v="176"/>
    <s v="P06"/>
    <s v="Bookshelf Unit"/>
    <x v="2"/>
    <n v="3910"/>
    <s v="E08"/>
    <s v="Neha Joshi"/>
    <x v="0"/>
    <s v="Ahmedabad"/>
    <n v="3"/>
    <n v="11730"/>
  </r>
  <r>
    <n v="1274"/>
    <x v="176"/>
    <s v="P05"/>
    <s v="Standing Desk"/>
    <x v="0"/>
    <n v="11010"/>
    <s v="E08"/>
    <s v="Neha Joshi"/>
    <x v="0"/>
    <s v="Ahmedabad"/>
    <n v="10"/>
    <n v="110100"/>
  </r>
  <r>
    <n v="1262"/>
    <x v="177"/>
    <s v="P09"/>
    <s v="USB-C Hub"/>
    <x v="1"/>
    <n v="880"/>
    <s v="E08"/>
    <s v="Neha Joshi"/>
    <x v="0"/>
    <s v="Ahmedabad"/>
    <n v="1"/>
    <n v="880"/>
  </r>
  <r>
    <n v="1254"/>
    <x v="178"/>
    <s v="P07"/>
    <s v="Filing Cabinet"/>
    <x v="2"/>
    <n v="4070"/>
    <s v="E08"/>
    <s v="Neha Joshi"/>
    <x v="0"/>
    <s v="Ahmedabad"/>
    <n v="4"/>
    <n v="16280"/>
  </r>
  <r>
    <n v="1263"/>
    <x v="178"/>
    <s v="P04"/>
    <s v="Ergo Office Chair"/>
    <x v="0"/>
    <n v="6750"/>
    <s v="E02"/>
    <s v="Ishita Verma"/>
    <x v="3"/>
    <s v="Chandigarh"/>
    <n v="10"/>
    <n v="67500"/>
  </r>
  <r>
    <n v="1270"/>
    <x v="178"/>
    <s v="P07"/>
    <s v="Filing Cabinet"/>
    <x v="2"/>
    <n v="4070"/>
    <s v="E02"/>
    <s v="Ishita Verma"/>
    <x v="3"/>
    <s v="Chandigarh"/>
    <n v="8"/>
    <n v="32560"/>
  </r>
  <r>
    <n v="1259"/>
    <x v="179"/>
    <s v="P06"/>
    <s v="Bookshelf Unit"/>
    <x v="2"/>
    <n v="3910"/>
    <s v="E05"/>
    <s v="Karan Malhotra"/>
    <x v="1"/>
    <s v="Kolkata"/>
    <n v="8"/>
    <n v="31280"/>
  </r>
  <r>
    <n v="1261"/>
    <x v="179"/>
    <s v="P06"/>
    <s v="Bookshelf Unit"/>
    <x v="2"/>
    <n v="3910"/>
    <s v="E07"/>
    <s v="Aditya Kapoor"/>
    <x v="0"/>
    <s v="Mumbai"/>
    <n v="10"/>
    <n v="39100"/>
  </r>
  <r>
    <n v="1246"/>
    <x v="180"/>
    <s v="P02"/>
    <s v="Bluetooth Speaker"/>
    <x v="3"/>
    <n v="1430"/>
    <s v="E03"/>
    <s v="Rohan Mehta"/>
    <x v="2"/>
    <s v="Bengaluru"/>
    <n v="2"/>
    <n v="2860"/>
  </r>
  <r>
    <n v="1258"/>
    <x v="181"/>
    <s v="P02"/>
    <s v="Bluetooth Speaker"/>
    <x v="3"/>
    <n v="1430"/>
    <s v="E03"/>
    <s v="Rohan Mehta"/>
    <x v="2"/>
    <s v="Bengaluru"/>
    <n v="5"/>
    <n v="7150"/>
  </r>
  <r>
    <n v="1248"/>
    <x v="182"/>
    <s v="P05"/>
    <s v="Standing Desk"/>
    <x v="0"/>
    <n v="11010"/>
    <s v="E01"/>
    <s v="Aarav Sharma"/>
    <x v="3"/>
    <s v="Lucknow"/>
    <n v="2"/>
    <n v="22020"/>
  </r>
  <r>
    <n v="1251"/>
    <x v="183"/>
    <s v="P08"/>
    <s v="Laptop Backpack"/>
    <x v="1"/>
    <n v="1110"/>
    <s v="E07"/>
    <s v="Aditya Kapoor"/>
    <x v="0"/>
    <s v="Mumbai"/>
    <n v="3"/>
    <n v="3330"/>
  </r>
  <r>
    <n v="1260"/>
    <x v="183"/>
    <s v="P02"/>
    <s v="Bluetooth Speaker"/>
    <x v="3"/>
    <n v="1430"/>
    <s v="E07"/>
    <s v="Aditya Kapoor"/>
    <x v="0"/>
    <s v="Mumbai"/>
    <n v="3"/>
    <n v="4290"/>
  </r>
  <r>
    <n v="1237"/>
    <x v="184"/>
    <s v="P09"/>
    <s v="USB-C Hub"/>
    <x v="1"/>
    <n v="880"/>
    <s v="E05"/>
    <s v="Karan Malhotra"/>
    <x v="1"/>
    <s v="Kolkata"/>
    <n v="1"/>
    <n v="880"/>
  </r>
  <r>
    <n v="1242"/>
    <x v="184"/>
    <s v="P03"/>
    <s v="LED Monitor 24&quot;"/>
    <x v="3"/>
    <n v="7700"/>
    <s v="E02"/>
    <s v="Ishita Verma"/>
    <x v="3"/>
    <s v="Chandigarh"/>
    <n v="5"/>
    <n v="38500"/>
  </r>
  <r>
    <n v="1245"/>
    <x v="184"/>
    <s v="P07"/>
    <s v="Filing Cabinet"/>
    <x v="2"/>
    <n v="4070"/>
    <s v="E03"/>
    <s v="Rohan Mehta"/>
    <x v="2"/>
    <s v="Bengaluru"/>
    <n v="2"/>
    <n v="8140"/>
  </r>
  <r>
    <n v="1241"/>
    <x v="185"/>
    <s v="P02"/>
    <s v="Bluetooth Speaker"/>
    <x v="3"/>
    <n v="1430"/>
    <s v="E04"/>
    <s v="Priya Nair"/>
    <x v="2"/>
    <s v="Bengaluru"/>
    <n v="5"/>
    <n v="7150"/>
  </r>
  <r>
    <n v="1279"/>
    <x v="186"/>
    <s v="P05"/>
    <s v="Standing Desk"/>
    <x v="0"/>
    <n v="11010"/>
    <s v="E06"/>
    <s v="Sneha Roy"/>
    <x v="1"/>
    <s v="Kolkata"/>
    <n v="2"/>
    <n v="22020"/>
  </r>
  <r>
    <n v="1297"/>
    <x v="186"/>
    <s v="P04"/>
    <s v="Ergo Office Chair"/>
    <x v="0"/>
    <n v="6750"/>
    <s v="E02"/>
    <s v="Ishita Verma"/>
    <x v="3"/>
    <s v="Chandigarh"/>
    <n v="5"/>
    <n v="33750"/>
  </r>
  <r>
    <n v="1285"/>
    <x v="187"/>
    <s v="P05"/>
    <s v="Standing Desk"/>
    <x v="0"/>
    <n v="11010"/>
    <s v="E01"/>
    <s v="Aarav Sharma"/>
    <x v="3"/>
    <s v="Lucknow"/>
    <n v="5"/>
    <n v="55050"/>
  </r>
  <r>
    <n v="1300"/>
    <x v="187"/>
    <s v="P03"/>
    <s v="LED Monitor 24&quot;"/>
    <x v="3"/>
    <n v="7700"/>
    <s v="E02"/>
    <s v="Ishita Verma"/>
    <x v="3"/>
    <s v="Chandigarh"/>
    <n v="1"/>
    <n v="7700"/>
  </r>
  <r>
    <n v="1298"/>
    <x v="188"/>
    <s v="P04"/>
    <s v="Ergo Office Chair"/>
    <x v="0"/>
    <n v="6750"/>
    <s v="E06"/>
    <s v="Sneha Roy"/>
    <x v="1"/>
    <s v="Kolkata"/>
    <n v="10"/>
    <n v="67500"/>
  </r>
  <r>
    <n v="1310"/>
    <x v="188"/>
    <s v="P02"/>
    <s v="Bluetooth Speaker"/>
    <x v="3"/>
    <n v="1430"/>
    <s v="E04"/>
    <s v="Priya Nair"/>
    <x v="2"/>
    <s v="Bengaluru"/>
    <n v="5"/>
    <n v="7150"/>
  </r>
  <r>
    <n v="1301"/>
    <x v="189"/>
    <s v="P08"/>
    <s v="Laptop Backpack"/>
    <x v="1"/>
    <n v="1110"/>
    <s v="E05"/>
    <s v="Karan Malhotra"/>
    <x v="1"/>
    <s v="Kolkata"/>
    <n v="1"/>
    <n v="1110"/>
  </r>
  <r>
    <n v="1292"/>
    <x v="190"/>
    <s v="P08"/>
    <s v="Laptop Backpack"/>
    <x v="1"/>
    <n v="1110"/>
    <s v="E02"/>
    <s v="Ishita Verma"/>
    <x v="3"/>
    <s v="Chandigarh"/>
    <n v="1"/>
    <n v="1110"/>
  </r>
  <r>
    <n v="1287"/>
    <x v="191"/>
    <s v="P06"/>
    <s v="Bookshelf Unit"/>
    <x v="2"/>
    <n v="3910"/>
    <s v="E05"/>
    <s v="Karan Malhotra"/>
    <x v="1"/>
    <s v="Kolkata"/>
    <n v="4"/>
    <n v="15640"/>
  </r>
  <r>
    <n v="1306"/>
    <x v="192"/>
    <s v="P01"/>
    <s v="Wireless Mouse"/>
    <x v="3"/>
    <n v="780"/>
    <s v="E05"/>
    <s v="Karan Malhotra"/>
    <x v="1"/>
    <s v="Kolkata"/>
    <n v="3"/>
    <n v="2340"/>
  </r>
  <r>
    <n v="1294"/>
    <x v="193"/>
    <s v="P07"/>
    <s v="Filing Cabinet"/>
    <x v="2"/>
    <n v="4070"/>
    <s v="E02"/>
    <s v="Ishita Verma"/>
    <x v="3"/>
    <s v="Chandigarh"/>
    <n v="1"/>
    <n v="4070"/>
  </r>
  <r>
    <n v="1309"/>
    <x v="193"/>
    <s v="P01"/>
    <s v="Wireless Mouse"/>
    <x v="3"/>
    <n v="780"/>
    <s v="E06"/>
    <s v="Sneha Roy"/>
    <x v="1"/>
    <s v="Kolkata"/>
    <n v="4"/>
    <n v="3120"/>
  </r>
  <r>
    <n v="1293"/>
    <x v="194"/>
    <s v="P07"/>
    <s v="Filing Cabinet"/>
    <x v="2"/>
    <n v="4070"/>
    <s v="E04"/>
    <s v="Priya Nair"/>
    <x v="2"/>
    <s v="Bengaluru"/>
    <n v="6"/>
    <n v="24420"/>
  </r>
  <r>
    <n v="1296"/>
    <x v="194"/>
    <s v="P07"/>
    <s v="Filing Cabinet"/>
    <x v="2"/>
    <n v="4070"/>
    <s v="E05"/>
    <s v="Karan Malhotra"/>
    <x v="1"/>
    <s v="Kolkata"/>
    <n v="10"/>
    <n v="40700"/>
  </r>
  <r>
    <n v="1308"/>
    <x v="194"/>
    <s v="P02"/>
    <s v="Bluetooth Speaker"/>
    <x v="3"/>
    <n v="1430"/>
    <s v="E06"/>
    <s v="Sneha Roy"/>
    <x v="1"/>
    <s v="Kolkata"/>
    <n v="10"/>
    <n v="14300"/>
  </r>
  <r>
    <n v="1278"/>
    <x v="195"/>
    <s v="P02"/>
    <s v="Bluetooth Speaker"/>
    <x v="3"/>
    <n v="1430"/>
    <s v="E08"/>
    <s v="Neha Joshi"/>
    <x v="0"/>
    <s v="Ahmedabad"/>
    <n v="2"/>
    <n v="2860"/>
  </r>
  <r>
    <n v="1302"/>
    <x v="195"/>
    <s v="P09"/>
    <s v="USB-C Hub"/>
    <x v="1"/>
    <n v="880"/>
    <s v="E04"/>
    <s v="Priya Nair"/>
    <x v="2"/>
    <s v="Bengaluru"/>
    <n v="1"/>
    <n v="880"/>
  </r>
  <r>
    <n v="1299"/>
    <x v="196"/>
    <s v="P05"/>
    <s v="Standing Desk"/>
    <x v="0"/>
    <n v="11010"/>
    <s v="E08"/>
    <s v="Neha Joshi"/>
    <x v="0"/>
    <s v="Ahmedabad"/>
    <n v="10"/>
    <n v="110100"/>
  </r>
  <r>
    <n v="1305"/>
    <x v="196"/>
    <s v="P08"/>
    <s v="Laptop Backpack"/>
    <x v="1"/>
    <n v="1110"/>
    <s v="E02"/>
    <s v="Ishita Verma"/>
    <x v="3"/>
    <s v="Chandigarh"/>
    <n v="8"/>
    <n v="8880"/>
  </r>
  <r>
    <n v="1276"/>
    <x v="197"/>
    <s v="P07"/>
    <s v="Filing Cabinet"/>
    <x v="2"/>
    <n v="4070"/>
    <s v="E05"/>
    <s v="Karan Malhotra"/>
    <x v="1"/>
    <s v="Kolkata"/>
    <n v="2"/>
    <n v="8140"/>
  </r>
  <r>
    <n v="1275"/>
    <x v="198"/>
    <s v="P08"/>
    <s v="Laptop Backpack"/>
    <x v="1"/>
    <n v="1110"/>
    <s v="E02"/>
    <s v="Ishita Verma"/>
    <x v="3"/>
    <s v="Chandigarh"/>
    <n v="3"/>
    <n v="3330"/>
  </r>
  <r>
    <n v="1280"/>
    <x v="198"/>
    <s v="P05"/>
    <s v="Standing Desk"/>
    <x v="0"/>
    <n v="11010"/>
    <s v="E07"/>
    <s v="Aditya Kapoor"/>
    <x v="0"/>
    <s v="Mumbai"/>
    <n v="1"/>
    <n v="11010"/>
  </r>
  <r>
    <n v="1282"/>
    <x v="199"/>
    <s v="P06"/>
    <s v="Bookshelf Unit"/>
    <x v="2"/>
    <n v="3910"/>
    <s v="E04"/>
    <s v="Priya Nair"/>
    <x v="2"/>
    <s v="Bengaluru"/>
    <n v="2"/>
    <n v="7820"/>
  </r>
  <r>
    <n v="1284"/>
    <x v="199"/>
    <s v="P02"/>
    <s v="Bluetooth Speaker"/>
    <x v="3"/>
    <n v="1430"/>
    <s v="E03"/>
    <s v="Rohan Mehta"/>
    <x v="2"/>
    <s v="Bengaluru"/>
    <n v="10"/>
    <n v="14300"/>
  </r>
  <r>
    <n v="1304"/>
    <x v="199"/>
    <s v="P03"/>
    <s v="LED Monitor 24&quot;"/>
    <x v="3"/>
    <n v="7700"/>
    <s v="E07"/>
    <s v="Aditya Kapoor"/>
    <x v="0"/>
    <s v="Mumbai"/>
    <n v="4"/>
    <n v="30800"/>
  </r>
  <r>
    <n v="1295"/>
    <x v="200"/>
    <s v="P08"/>
    <s v="Laptop Backpack"/>
    <x v="1"/>
    <n v="1110"/>
    <s v="E02"/>
    <s v="Ishita Verma"/>
    <x v="3"/>
    <s v="Chandigarh"/>
    <n v="3"/>
    <n v="3330"/>
  </r>
  <r>
    <n v="1303"/>
    <x v="201"/>
    <s v="P06"/>
    <s v="Bookshelf Unit"/>
    <x v="2"/>
    <n v="3910"/>
    <s v="E08"/>
    <s v="Neha Joshi"/>
    <x v="0"/>
    <s v="Ahmedabad"/>
    <n v="10"/>
    <n v="39100"/>
  </r>
  <r>
    <n v="1281"/>
    <x v="202"/>
    <s v="P08"/>
    <s v="Laptop Backpack"/>
    <x v="1"/>
    <n v="1110"/>
    <s v="E01"/>
    <s v="Aarav Sharma"/>
    <x v="3"/>
    <s v="Lucknow"/>
    <n v="2"/>
    <n v="2220"/>
  </r>
  <r>
    <n v="1283"/>
    <x v="202"/>
    <s v="P05"/>
    <s v="Standing Desk"/>
    <x v="0"/>
    <n v="11010"/>
    <s v="E04"/>
    <s v="Priya Nair"/>
    <x v="2"/>
    <s v="Bengaluru"/>
    <n v="10"/>
    <n v="110100"/>
  </r>
  <r>
    <n v="1291"/>
    <x v="203"/>
    <s v="P05"/>
    <s v="Standing Desk"/>
    <x v="0"/>
    <n v="11010"/>
    <s v="E08"/>
    <s v="Neha Joshi"/>
    <x v="0"/>
    <s v="Ahmedabad"/>
    <n v="3"/>
    <n v="33030"/>
  </r>
  <r>
    <n v="1277"/>
    <x v="204"/>
    <s v="P04"/>
    <s v="Ergo Office Chair"/>
    <x v="0"/>
    <n v="6750"/>
    <s v="E05"/>
    <s v="Karan Malhotra"/>
    <x v="1"/>
    <s v="Kolkata"/>
    <n v="4"/>
    <n v="27000"/>
  </r>
  <r>
    <n v="1307"/>
    <x v="204"/>
    <s v="P08"/>
    <s v="Laptop Backpack"/>
    <x v="1"/>
    <n v="1110"/>
    <s v="E08"/>
    <s v="Neha Joshi"/>
    <x v="0"/>
    <s v="Ahmedabad"/>
    <n v="2"/>
    <n v="2220"/>
  </r>
  <r>
    <n v="1288"/>
    <x v="205"/>
    <s v="P03"/>
    <s v="LED Monitor 24&quot;"/>
    <x v="3"/>
    <n v="7700"/>
    <s v="E04"/>
    <s v="Priya Nair"/>
    <x v="2"/>
    <s v="Bengaluru"/>
    <n v="6"/>
    <n v="46200"/>
  </r>
  <r>
    <n v="1286"/>
    <x v="206"/>
    <s v="P03"/>
    <s v="LED Monitor 24&quot;"/>
    <x v="3"/>
    <n v="7700"/>
    <s v="E06"/>
    <s v="Sneha Roy"/>
    <x v="1"/>
    <s v="Kolkata"/>
    <n v="1"/>
    <n v="7700"/>
  </r>
  <r>
    <n v="1289"/>
    <x v="206"/>
    <s v="P09"/>
    <s v="USB-C Hub"/>
    <x v="1"/>
    <n v="880"/>
    <s v="E06"/>
    <s v="Sneha Roy"/>
    <x v="1"/>
    <s v="Kolkata"/>
    <n v="6"/>
    <n v="5280"/>
  </r>
  <r>
    <n v="1290"/>
    <x v="206"/>
    <s v="P03"/>
    <s v="LED Monitor 24&quot;"/>
    <x v="3"/>
    <n v="7700"/>
    <s v="E05"/>
    <s v="Karan Malhotra"/>
    <x v="1"/>
    <s v="Kolkata"/>
    <n v="2"/>
    <n v="15400"/>
  </r>
  <r>
    <n v="1322"/>
    <x v="207"/>
    <s v="P09"/>
    <s v="USB-C Hub"/>
    <x v="1"/>
    <n v="880"/>
    <s v="E06"/>
    <s v="Sneha Roy"/>
    <x v="1"/>
    <s v="Kolkata"/>
    <n v="8"/>
    <n v="7040"/>
  </r>
  <r>
    <n v="1326"/>
    <x v="207"/>
    <s v="P07"/>
    <s v="Filing Cabinet"/>
    <x v="2"/>
    <n v="4070"/>
    <s v="E07"/>
    <s v="Aditya Kapoor"/>
    <x v="0"/>
    <s v="Mumbai"/>
    <n v="10"/>
    <n v="40700"/>
  </r>
  <r>
    <n v="1328"/>
    <x v="208"/>
    <s v="P06"/>
    <s v="Bookshelf Unit"/>
    <x v="2"/>
    <n v="3910"/>
    <s v="E02"/>
    <s v="Ishita Verma"/>
    <x v="3"/>
    <s v="Chandigarh"/>
    <n v="8"/>
    <n v="31280"/>
  </r>
  <r>
    <n v="1318"/>
    <x v="209"/>
    <s v="P06"/>
    <s v="Bookshelf Unit"/>
    <x v="2"/>
    <n v="3910"/>
    <s v="E04"/>
    <s v="Priya Nair"/>
    <x v="2"/>
    <s v="Bengaluru"/>
    <n v="1"/>
    <n v="3910"/>
  </r>
  <r>
    <n v="1311"/>
    <x v="210"/>
    <s v="P01"/>
    <s v="Wireless Mouse"/>
    <x v="3"/>
    <n v="780"/>
    <s v="E01"/>
    <s v="Aarav Sharma"/>
    <x v="3"/>
    <s v="Lucknow"/>
    <n v="3"/>
    <n v="2340"/>
  </r>
  <r>
    <n v="1315"/>
    <x v="211"/>
    <s v="P03"/>
    <s v="LED Monitor 24&quot;"/>
    <x v="3"/>
    <n v="7700"/>
    <s v="E03"/>
    <s v="Rohan Mehta"/>
    <x v="2"/>
    <s v="Bengaluru"/>
    <n v="6"/>
    <n v="46200"/>
  </r>
  <r>
    <n v="1313"/>
    <x v="212"/>
    <s v="P04"/>
    <s v="Ergo Office Chair"/>
    <x v="0"/>
    <n v="6750"/>
    <s v="E04"/>
    <s v="Priya Nair"/>
    <x v="2"/>
    <s v="Bengaluru"/>
    <n v="2"/>
    <n v="13500"/>
  </r>
  <r>
    <n v="1336"/>
    <x v="212"/>
    <s v="P06"/>
    <s v="Bookshelf Unit"/>
    <x v="2"/>
    <n v="3910"/>
    <s v="E02"/>
    <s v="Ishita Verma"/>
    <x v="3"/>
    <s v="Chandigarh"/>
    <n v="4"/>
    <n v="15640"/>
  </r>
  <r>
    <n v="1317"/>
    <x v="213"/>
    <s v="P03"/>
    <s v="LED Monitor 24&quot;"/>
    <x v="3"/>
    <n v="7700"/>
    <s v="E01"/>
    <s v="Aarav Sharma"/>
    <x v="3"/>
    <s v="Lucknow"/>
    <n v="1"/>
    <n v="7700"/>
  </r>
  <r>
    <n v="1324"/>
    <x v="214"/>
    <s v="P09"/>
    <s v="USB-C Hub"/>
    <x v="1"/>
    <n v="880"/>
    <s v="E01"/>
    <s v="Aarav Sharma"/>
    <x v="3"/>
    <s v="Lucknow"/>
    <n v="2"/>
    <n v="1760"/>
  </r>
  <r>
    <n v="1330"/>
    <x v="215"/>
    <s v="P07"/>
    <s v="Filing Cabinet"/>
    <x v="2"/>
    <n v="4070"/>
    <s v="E06"/>
    <s v="Sneha Roy"/>
    <x v="1"/>
    <s v="Kolkata"/>
    <n v="8"/>
    <n v="32560"/>
  </r>
  <r>
    <n v="1329"/>
    <x v="216"/>
    <s v="P03"/>
    <s v="LED Monitor 24&quot;"/>
    <x v="3"/>
    <n v="7700"/>
    <s v="E02"/>
    <s v="Ishita Verma"/>
    <x v="3"/>
    <s v="Chandigarh"/>
    <n v="2"/>
    <n v="15400"/>
  </r>
  <r>
    <n v="1331"/>
    <x v="216"/>
    <s v="P08"/>
    <s v="Laptop Backpack"/>
    <x v="1"/>
    <n v="1110"/>
    <s v="E05"/>
    <s v="Karan Malhotra"/>
    <x v="1"/>
    <s v="Kolkata"/>
    <n v="6"/>
    <n v="6660"/>
  </r>
  <r>
    <n v="1337"/>
    <x v="217"/>
    <s v="P06"/>
    <s v="Bookshelf Unit"/>
    <x v="2"/>
    <n v="3910"/>
    <s v="E05"/>
    <s v="Karan Malhotra"/>
    <x v="1"/>
    <s v="Kolkata"/>
    <n v="1"/>
    <n v="3910"/>
  </r>
  <r>
    <n v="1319"/>
    <x v="218"/>
    <s v="P01"/>
    <s v="Wireless Mouse"/>
    <x v="3"/>
    <n v="780"/>
    <s v="E05"/>
    <s v="Karan Malhotra"/>
    <x v="1"/>
    <s v="Kolkata"/>
    <n v="1"/>
    <n v="780"/>
  </r>
  <r>
    <n v="1320"/>
    <x v="218"/>
    <s v="P09"/>
    <s v="USB-C Hub"/>
    <x v="1"/>
    <n v="880"/>
    <s v="E07"/>
    <s v="Aditya Kapoor"/>
    <x v="0"/>
    <s v="Mumbai"/>
    <n v="1"/>
    <n v="880"/>
  </r>
  <r>
    <n v="1335"/>
    <x v="218"/>
    <s v="P07"/>
    <s v="Filing Cabinet"/>
    <x v="2"/>
    <n v="4070"/>
    <s v="E08"/>
    <s v="Neha Joshi"/>
    <x v="0"/>
    <s v="Ahmedabad"/>
    <n v="4"/>
    <n v="16280"/>
  </r>
  <r>
    <n v="1321"/>
    <x v="219"/>
    <s v="P08"/>
    <s v="Laptop Backpack"/>
    <x v="1"/>
    <n v="1110"/>
    <s v="E02"/>
    <s v="Ishita Verma"/>
    <x v="3"/>
    <s v="Chandigarh"/>
    <n v="5"/>
    <n v="5550"/>
  </r>
  <r>
    <n v="1312"/>
    <x v="220"/>
    <s v="P04"/>
    <s v="Ergo Office Chair"/>
    <x v="0"/>
    <n v="6750"/>
    <s v="E03"/>
    <s v="Rohan Mehta"/>
    <x v="2"/>
    <s v="Bengaluru"/>
    <n v="1"/>
    <n v="6750"/>
  </r>
  <r>
    <n v="1334"/>
    <x v="220"/>
    <s v="P07"/>
    <s v="Filing Cabinet"/>
    <x v="2"/>
    <n v="4070"/>
    <s v="E04"/>
    <s v="Priya Nair"/>
    <x v="2"/>
    <s v="Bengaluru"/>
    <n v="3"/>
    <n v="12210"/>
  </r>
  <r>
    <n v="1338"/>
    <x v="220"/>
    <s v="P02"/>
    <s v="Bluetooth Speaker"/>
    <x v="3"/>
    <n v="1430"/>
    <s v="E08"/>
    <s v="Neha Joshi"/>
    <x v="0"/>
    <s v="Ahmedabad"/>
    <n v="1"/>
    <n v="1430"/>
  </r>
  <r>
    <n v="1314"/>
    <x v="221"/>
    <s v="P01"/>
    <s v="Wireless Mouse"/>
    <x v="3"/>
    <n v="780"/>
    <s v="E03"/>
    <s v="Rohan Mehta"/>
    <x v="2"/>
    <s v="Bengaluru"/>
    <n v="2"/>
    <n v="1560"/>
  </r>
  <r>
    <n v="1316"/>
    <x v="221"/>
    <s v="P02"/>
    <s v="Bluetooth Speaker"/>
    <x v="3"/>
    <n v="1430"/>
    <s v="E03"/>
    <s v="Rohan Mehta"/>
    <x v="2"/>
    <s v="Bengaluru"/>
    <n v="10"/>
    <n v="14300"/>
  </r>
  <r>
    <n v="1325"/>
    <x v="221"/>
    <s v="P01"/>
    <s v="Wireless Mouse"/>
    <x v="3"/>
    <n v="780"/>
    <s v="E01"/>
    <s v="Aarav Sharma"/>
    <x v="3"/>
    <s v="Lucknow"/>
    <n v="5"/>
    <n v="3900"/>
  </r>
  <r>
    <n v="1332"/>
    <x v="221"/>
    <s v="P02"/>
    <s v="Bluetooth Speaker"/>
    <x v="3"/>
    <n v="1430"/>
    <s v="E07"/>
    <s v="Aditya Kapoor"/>
    <x v="0"/>
    <s v="Mumbai"/>
    <n v="1"/>
    <n v="1430"/>
  </r>
  <r>
    <n v="1327"/>
    <x v="222"/>
    <s v="P08"/>
    <s v="Laptop Backpack"/>
    <x v="1"/>
    <n v="1110"/>
    <s v="E08"/>
    <s v="Neha Joshi"/>
    <x v="0"/>
    <s v="Ahmedabad"/>
    <n v="1"/>
    <n v="1110"/>
  </r>
  <r>
    <n v="1333"/>
    <x v="222"/>
    <s v="P07"/>
    <s v="Filing Cabinet"/>
    <x v="2"/>
    <n v="4070"/>
    <s v="E04"/>
    <s v="Priya Nair"/>
    <x v="2"/>
    <s v="Bengaluru"/>
    <n v="5"/>
    <n v="20350"/>
  </r>
  <r>
    <n v="1323"/>
    <x v="223"/>
    <s v="P09"/>
    <s v="USB-C Hub"/>
    <x v="1"/>
    <n v="880"/>
    <s v="E08"/>
    <s v="Neha Joshi"/>
    <x v="0"/>
    <s v="Ahmedabad"/>
    <n v="2"/>
    <n v="1760"/>
  </r>
  <r>
    <n v="1340"/>
    <x v="224"/>
    <s v="P03"/>
    <s v="LED Monitor 24&quot;"/>
    <x v="3"/>
    <n v="7700"/>
    <s v="E06"/>
    <s v="Sneha Roy"/>
    <x v="1"/>
    <s v="Kolkata"/>
    <n v="6"/>
    <n v="46200"/>
  </r>
  <r>
    <n v="1356"/>
    <x v="225"/>
    <s v="P01"/>
    <s v="Wireless Mouse"/>
    <x v="3"/>
    <n v="780"/>
    <s v="E03"/>
    <s v="Rohan Mehta"/>
    <x v="2"/>
    <s v="Bengaluru"/>
    <n v="10"/>
    <n v="7800"/>
  </r>
  <r>
    <n v="1355"/>
    <x v="226"/>
    <s v="P02"/>
    <s v="Bluetooth Speaker"/>
    <x v="3"/>
    <n v="1430"/>
    <s v="E06"/>
    <s v="Sneha Roy"/>
    <x v="1"/>
    <s v="Kolkata"/>
    <n v="1"/>
    <n v="1430"/>
  </r>
  <r>
    <n v="1348"/>
    <x v="227"/>
    <s v="P05"/>
    <s v="Standing Desk"/>
    <x v="0"/>
    <n v="11010"/>
    <s v="E01"/>
    <s v="Aarav Sharma"/>
    <x v="3"/>
    <s v="Lucknow"/>
    <n v="1"/>
    <n v="11010"/>
  </r>
  <r>
    <n v="1352"/>
    <x v="228"/>
    <s v="P02"/>
    <s v="Bluetooth Speaker"/>
    <x v="3"/>
    <n v="1430"/>
    <s v="E01"/>
    <s v="Aarav Sharma"/>
    <x v="3"/>
    <s v="Lucknow"/>
    <n v="6"/>
    <n v="8580"/>
  </r>
  <r>
    <n v="1358"/>
    <x v="229"/>
    <s v="P08"/>
    <s v="Laptop Backpack"/>
    <x v="1"/>
    <n v="1110"/>
    <s v="E08"/>
    <s v="Neha Joshi"/>
    <x v="0"/>
    <s v="Ahmedabad"/>
    <n v="4"/>
    <n v="4440"/>
  </r>
  <r>
    <n v="1361"/>
    <x v="230"/>
    <s v="P09"/>
    <s v="USB-C Hub"/>
    <x v="1"/>
    <n v="880"/>
    <s v="E08"/>
    <s v="Neha Joshi"/>
    <x v="0"/>
    <s v="Ahmedabad"/>
    <n v="10"/>
    <n v="8800"/>
  </r>
  <r>
    <n v="1363"/>
    <x v="230"/>
    <s v="P01"/>
    <s v="Wireless Mouse"/>
    <x v="3"/>
    <n v="780"/>
    <s v="E01"/>
    <s v="Aarav Sharma"/>
    <x v="3"/>
    <s v="Lucknow"/>
    <n v="2"/>
    <n v="1560"/>
  </r>
  <r>
    <n v="1364"/>
    <x v="230"/>
    <s v="P03"/>
    <s v="LED Monitor 24&quot;"/>
    <x v="3"/>
    <n v="7700"/>
    <s v="E04"/>
    <s v="Priya Nair"/>
    <x v="2"/>
    <s v="Bengaluru"/>
    <n v="2"/>
    <n v="15400"/>
  </r>
  <r>
    <n v="1353"/>
    <x v="231"/>
    <s v="P07"/>
    <s v="Filing Cabinet"/>
    <x v="2"/>
    <n v="4070"/>
    <s v="E07"/>
    <s v="Aditya Kapoor"/>
    <x v="0"/>
    <s v="Mumbai"/>
    <n v="5"/>
    <n v="20350"/>
  </r>
  <r>
    <n v="1341"/>
    <x v="232"/>
    <s v="P02"/>
    <s v="Bluetooth Speaker"/>
    <x v="3"/>
    <n v="1430"/>
    <s v="E06"/>
    <s v="Sneha Roy"/>
    <x v="1"/>
    <s v="Kolkata"/>
    <n v="4"/>
    <n v="5720"/>
  </r>
  <r>
    <n v="1349"/>
    <x v="232"/>
    <s v="P05"/>
    <s v="Standing Desk"/>
    <x v="0"/>
    <n v="11010"/>
    <s v="E05"/>
    <s v="Karan Malhotra"/>
    <x v="1"/>
    <s v="Kolkata"/>
    <n v="3"/>
    <n v="33030"/>
  </r>
  <r>
    <n v="1359"/>
    <x v="232"/>
    <s v="P09"/>
    <s v="USB-C Hub"/>
    <x v="1"/>
    <n v="880"/>
    <s v="E04"/>
    <s v="Priya Nair"/>
    <x v="2"/>
    <s v="Bengaluru"/>
    <n v="1"/>
    <n v="880"/>
  </r>
  <r>
    <n v="1357"/>
    <x v="233"/>
    <s v="P08"/>
    <s v="Laptop Backpack"/>
    <x v="1"/>
    <n v="1110"/>
    <s v="E05"/>
    <s v="Karan Malhotra"/>
    <x v="1"/>
    <s v="Kolkata"/>
    <n v="10"/>
    <n v="11100"/>
  </r>
  <r>
    <n v="1344"/>
    <x v="234"/>
    <s v="P03"/>
    <s v="LED Monitor 24&quot;"/>
    <x v="3"/>
    <n v="7700"/>
    <s v="E04"/>
    <s v="Priya Nair"/>
    <x v="2"/>
    <s v="Bengaluru"/>
    <n v="10"/>
    <n v="77000"/>
  </r>
  <r>
    <n v="1343"/>
    <x v="235"/>
    <s v="P06"/>
    <s v="Bookshelf Unit"/>
    <x v="2"/>
    <n v="3910"/>
    <s v="E05"/>
    <s v="Karan Malhotra"/>
    <x v="1"/>
    <s v="Kolkata"/>
    <n v="1"/>
    <n v="3910"/>
  </r>
  <r>
    <n v="1346"/>
    <x v="235"/>
    <s v="P02"/>
    <s v="Bluetooth Speaker"/>
    <x v="3"/>
    <n v="1430"/>
    <s v="E06"/>
    <s v="Sneha Roy"/>
    <x v="1"/>
    <s v="Kolkata"/>
    <n v="2"/>
    <n v="2860"/>
  </r>
  <r>
    <n v="1350"/>
    <x v="235"/>
    <s v="P03"/>
    <s v="LED Monitor 24&quot;"/>
    <x v="3"/>
    <n v="7700"/>
    <s v="E01"/>
    <s v="Aarav Sharma"/>
    <x v="3"/>
    <s v="Lucknow"/>
    <n v="1"/>
    <n v="7700"/>
  </r>
  <r>
    <n v="1342"/>
    <x v="236"/>
    <s v="P01"/>
    <s v="Wireless Mouse"/>
    <x v="3"/>
    <n v="780"/>
    <s v="E07"/>
    <s v="Aditya Kapoor"/>
    <x v="0"/>
    <s v="Mumbai"/>
    <n v="2"/>
    <n v="1560"/>
  </r>
  <r>
    <n v="1362"/>
    <x v="236"/>
    <s v="P04"/>
    <s v="Ergo Office Chair"/>
    <x v="0"/>
    <n v="6750"/>
    <s v="E01"/>
    <s v="Aarav Sharma"/>
    <x v="3"/>
    <s v="Lucknow"/>
    <n v="4"/>
    <n v="27000"/>
  </r>
  <r>
    <n v="1360"/>
    <x v="237"/>
    <s v="P02"/>
    <s v="Bluetooth Speaker"/>
    <x v="3"/>
    <n v="1430"/>
    <s v="E07"/>
    <s v="Aditya Kapoor"/>
    <x v="0"/>
    <s v="Mumbai"/>
    <n v="2"/>
    <n v="2860"/>
  </r>
  <r>
    <n v="1339"/>
    <x v="238"/>
    <s v="P07"/>
    <s v="Filing Cabinet"/>
    <x v="2"/>
    <n v="4070"/>
    <s v="E02"/>
    <s v="Ishita Verma"/>
    <x v="3"/>
    <s v="Chandigarh"/>
    <n v="1"/>
    <n v="4070"/>
  </r>
  <r>
    <n v="1351"/>
    <x v="238"/>
    <s v="P02"/>
    <s v="Bluetooth Speaker"/>
    <x v="3"/>
    <n v="1430"/>
    <s v="E07"/>
    <s v="Aditya Kapoor"/>
    <x v="0"/>
    <s v="Mumbai"/>
    <n v="1"/>
    <n v="1430"/>
  </r>
  <r>
    <n v="1354"/>
    <x v="238"/>
    <s v="P06"/>
    <s v="Bookshelf Unit"/>
    <x v="2"/>
    <n v="3910"/>
    <s v="E03"/>
    <s v="Rohan Mehta"/>
    <x v="2"/>
    <s v="Bengaluru"/>
    <n v="2"/>
    <n v="7820"/>
  </r>
  <r>
    <n v="1347"/>
    <x v="239"/>
    <s v="P07"/>
    <s v="Filing Cabinet"/>
    <x v="2"/>
    <n v="4070"/>
    <s v="E04"/>
    <s v="Priya Nair"/>
    <x v="2"/>
    <s v="Bengaluru"/>
    <n v="6"/>
    <n v="24420"/>
  </r>
  <r>
    <n v="1345"/>
    <x v="240"/>
    <s v="P02"/>
    <s v="Bluetooth Speaker"/>
    <x v="3"/>
    <n v="1430"/>
    <s v="E04"/>
    <s v="Priya Nair"/>
    <x v="2"/>
    <s v="Bengaluru"/>
    <n v="3"/>
    <n v="4290"/>
  </r>
  <r>
    <n v="1388"/>
    <x v="241"/>
    <s v="P08"/>
    <s v="Laptop Backpack"/>
    <x v="1"/>
    <n v="1110"/>
    <s v="E05"/>
    <s v="Karan Malhotra"/>
    <x v="1"/>
    <s v="Kolkata"/>
    <n v="5"/>
    <n v="5550"/>
  </r>
  <r>
    <n v="1387"/>
    <x v="242"/>
    <s v="P06"/>
    <s v="Bookshelf Unit"/>
    <x v="2"/>
    <n v="3910"/>
    <s v="E01"/>
    <s v="Aarav Sharma"/>
    <x v="3"/>
    <s v="Lucknow"/>
    <n v="6"/>
    <n v="23460"/>
  </r>
  <r>
    <n v="1389"/>
    <x v="242"/>
    <s v="P06"/>
    <s v="Bookshelf Unit"/>
    <x v="2"/>
    <n v="3910"/>
    <s v="E01"/>
    <s v="Aarav Sharma"/>
    <x v="3"/>
    <s v="Lucknow"/>
    <n v="2"/>
    <n v="7820"/>
  </r>
  <r>
    <n v="1371"/>
    <x v="243"/>
    <s v="P07"/>
    <s v="Filing Cabinet"/>
    <x v="2"/>
    <n v="4070"/>
    <s v="E07"/>
    <s v="Aditya Kapoor"/>
    <x v="0"/>
    <s v="Mumbai"/>
    <n v="2"/>
    <n v="8140"/>
  </r>
  <r>
    <n v="1393"/>
    <x v="243"/>
    <s v="P01"/>
    <s v="Wireless Mouse"/>
    <x v="3"/>
    <n v="780"/>
    <s v="E03"/>
    <s v="Rohan Mehta"/>
    <x v="2"/>
    <s v="Bengaluru"/>
    <n v="5"/>
    <n v="3900"/>
  </r>
  <r>
    <n v="1380"/>
    <x v="244"/>
    <s v="P04"/>
    <s v="Ergo Office Chair"/>
    <x v="0"/>
    <n v="6750"/>
    <s v="E03"/>
    <s v="Rohan Mehta"/>
    <x v="2"/>
    <s v="Bengaluru"/>
    <n v="1"/>
    <n v="6750"/>
  </r>
  <r>
    <n v="1372"/>
    <x v="245"/>
    <s v="P01"/>
    <s v="Wireless Mouse"/>
    <x v="3"/>
    <n v="780"/>
    <s v="E07"/>
    <s v="Aditya Kapoor"/>
    <x v="0"/>
    <s v="Mumbai"/>
    <n v="3"/>
    <n v="2340"/>
  </r>
  <r>
    <n v="1378"/>
    <x v="246"/>
    <s v="P09"/>
    <s v="USB-C Hub"/>
    <x v="1"/>
    <n v="880"/>
    <s v="E02"/>
    <s v="Ishita Verma"/>
    <x v="3"/>
    <s v="Chandigarh"/>
    <n v="6"/>
    <n v="5280"/>
  </r>
  <r>
    <n v="1376"/>
    <x v="247"/>
    <s v="P06"/>
    <s v="Bookshelf Unit"/>
    <x v="2"/>
    <n v="3910"/>
    <s v="E05"/>
    <s v="Karan Malhotra"/>
    <x v="1"/>
    <s v="Kolkata"/>
    <n v="2"/>
    <n v="7820"/>
  </r>
  <r>
    <n v="1384"/>
    <x v="247"/>
    <s v="P06"/>
    <s v="Bookshelf Unit"/>
    <x v="2"/>
    <n v="3910"/>
    <s v="E08"/>
    <s v="Neha Joshi"/>
    <x v="0"/>
    <s v="Ahmedabad"/>
    <n v="10"/>
    <n v="39100"/>
  </r>
  <r>
    <n v="1366"/>
    <x v="248"/>
    <s v="P03"/>
    <s v="LED Monitor 24&quot;"/>
    <x v="3"/>
    <n v="7700"/>
    <s v="E07"/>
    <s v="Aditya Kapoor"/>
    <x v="0"/>
    <s v="Mumbai"/>
    <n v="1"/>
    <n v="7700"/>
  </r>
  <r>
    <n v="1375"/>
    <x v="248"/>
    <s v="P09"/>
    <s v="USB-C Hub"/>
    <x v="1"/>
    <n v="880"/>
    <s v="E07"/>
    <s v="Aditya Kapoor"/>
    <x v="0"/>
    <s v="Mumbai"/>
    <n v="1"/>
    <n v="880"/>
  </r>
  <r>
    <n v="1370"/>
    <x v="249"/>
    <s v="P06"/>
    <s v="Bookshelf Unit"/>
    <x v="2"/>
    <n v="3910"/>
    <s v="E02"/>
    <s v="Ishita Verma"/>
    <x v="3"/>
    <s v="Chandigarh"/>
    <n v="8"/>
    <n v="31280"/>
  </r>
  <r>
    <n v="1373"/>
    <x v="249"/>
    <s v="P06"/>
    <s v="Bookshelf Unit"/>
    <x v="2"/>
    <n v="3910"/>
    <s v="E08"/>
    <s v="Neha Joshi"/>
    <x v="0"/>
    <s v="Ahmedabad"/>
    <n v="1"/>
    <n v="3910"/>
  </r>
  <r>
    <n v="1369"/>
    <x v="250"/>
    <s v="P07"/>
    <s v="Filing Cabinet"/>
    <x v="2"/>
    <n v="4070"/>
    <s v="E01"/>
    <s v="Aarav Sharma"/>
    <x v="3"/>
    <s v="Lucknow"/>
    <n v="1"/>
    <n v="4070"/>
  </r>
  <r>
    <n v="1390"/>
    <x v="250"/>
    <s v="P09"/>
    <s v="USB-C Hub"/>
    <x v="1"/>
    <n v="880"/>
    <s v="E02"/>
    <s v="Ishita Verma"/>
    <x v="3"/>
    <s v="Chandigarh"/>
    <n v="4"/>
    <n v="3520"/>
  </r>
  <r>
    <n v="1385"/>
    <x v="251"/>
    <s v="P08"/>
    <s v="Laptop Backpack"/>
    <x v="1"/>
    <n v="1110"/>
    <s v="E03"/>
    <s v="Rohan Mehta"/>
    <x v="2"/>
    <s v="Bengaluru"/>
    <n v="1"/>
    <n v="1110"/>
  </r>
  <r>
    <n v="1392"/>
    <x v="251"/>
    <s v="P06"/>
    <s v="Bookshelf Unit"/>
    <x v="2"/>
    <n v="3910"/>
    <s v="E04"/>
    <s v="Priya Nair"/>
    <x v="2"/>
    <s v="Bengaluru"/>
    <n v="8"/>
    <n v="31280"/>
  </r>
  <r>
    <n v="1374"/>
    <x v="252"/>
    <s v="P04"/>
    <s v="Ergo Office Chair"/>
    <x v="0"/>
    <n v="6750"/>
    <s v="E02"/>
    <s v="Ishita Verma"/>
    <x v="3"/>
    <s v="Chandigarh"/>
    <n v="4"/>
    <n v="27000"/>
  </r>
  <r>
    <n v="1386"/>
    <x v="252"/>
    <s v="P05"/>
    <s v="Standing Desk"/>
    <x v="0"/>
    <n v="11010"/>
    <s v="E08"/>
    <s v="Neha Joshi"/>
    <x v="0"/>
    <s v="Ahmedabad"/>
    <n v="2"/>
    <n v="22020"/>
  </r>
  <r>
    <n v="1381"/>
    <x v="253"/>
    <s v="P04"/>
    <s v="Ergo Office Chair"/>
    <x v="0"/>
    <n v="6750"/>
    <s v="E05"/>
    <s v="Karan Malhotra"/>
    <x v="1"/>
    <s v="Kolkata"/>
    <n v="1"/>
    <n v="6750"/>
  </r>
  <r>
    <n v="1377"/>
    <x v="254"/>
    <s v="P02"/>
    <s v="Bluetooth Speaker"/>
    <x v="3"/>
    <n v="1430"/>
    <s v="E03"/>
    <s v="Rohan Mehta"/>
    <x v="2"/>
    <s v="Bengaluru"/>
    <n v="6"/>
    <n v="8580"/>
  </r>
  <r>
    <n v="1391"/>
    <x v="254"/>
    <s v="P08"/>
    <s v="Laptop Backpack"/>
    <x v="1"/>
    <n v="1110"/>
    <s v="E01"/>
    <s v="Aarav Sharma"/>
    <x v="3"/>
    <s v="Lucknow"/>
    <n v="8"/>
    <n v="8880"/>
  </r>
  <r>
    <n v="1394"/>
    <x v="254"/>
    <s v="P02"/>
    <s v="Bluetooth Speaker"/>
    <x v="3"/>
    <n v="1430"/>
    <s v="E06"/>
    <s v="Sneha Roy"/>
    <x v="1"/>
    <s v="Kolkata"/>
    <n v="6"/>
    <n v="8580"/>
  </r>
  <r>
    <n v="1395"/>
    <x v="255"/>
    <s v="P01"/>
    <s v="Wireless Mouse"/>
    <x v="3"/>
    <n v="780"/>
    <s v="E03"/>
    <s v="Rohan Mehta"/>
    <x v="2"/>
    <s v="Bengaluru"/>
    <n v="2"/>
    <n v="1560"/>
  </r>
  <r>
    <n v="1365"/>
    <x v="256"/>
    <s v="P01"/>
    <s v="Wireless Mouse"/>
    <x v="3"/>
    <n v="780"/>
    <s v="E02"/>
    <s v="Ishita Verma"/>
    <x v="3"/>
    <s v="Chandigarh"/>
    <n v="5"/>
    <n v="3900"/>
  </r>
  <r>
    <n v="1382"/>
    <x v="257"/>
    <s v="P02"/>
    <s v="Bluetooth Speaker"/>
    <x v="3"/>
    <n v="1430"/>
    <s v="E03"/>
    <s v="Rohan Mehta"/>
    <x v="2"/>
    <s v="Bengaluru"/>
    <n v="1"/>
    <n v="1430"/>
  </r>
  <r>
    <n v="1383"/>
    <x v="257"/>
    <s v="P08"/>
    <s v="Laptop Backpack"/>
    <x v="1"/>
    <n v="1110"/>
    <s v="E08"/>
    <s v="Neha Joshi"/>
    <x v="0"/>
    <s v="Ahmedabad"/>
    <n v="8"/>
    <n v="8880"/>
  </r>
  <r>
    <n v="1367"/>
    <x v="258"/>
    <s v="P09"/>
    <s v="USB-C Hub"/>
    <x v="1"/>
    <n v="880"/>
    <s v="E04"/>
    <s v="Priya Nair"/>
    <x v="2"/>
    <s v="Bengaluru"/>
    <n v="6"/>
    <n v="5280"/>
  </r>
  <r>
    <n v="1379"/>
    <x v="258"/>
    <s v="P06"/>
    <s v="Bookshelf Unit"/>
    <x v="2"/>
    <n v="3910"/>
    <s v="E06"/>
    <s v="Sneha Roy"/>
    <x v="1"/>
    <s v="Kolkata"/>
    <n v="10"/>
    <n v="39100"/>
  </r>
  <r>
    <n v="1368"/>
    <x v="259"/>
    <s v="P02"/>
    <s v="Bluetooth Speaker"/>
    <x v="3"/>
    <n v="1430"/>
    <s v="E06"/>
    <s v="Sneha Roy"/>
    <x v="1"/>
    <s v="Kolkata"/>
    <n v="4"/>
    <n v="5720"/>
  </r>
  <r>
    <n v="1410"/>
    <x v="260"/>
    <s v="P03"/>
    <s v="LED Monitor 24&quot;"/>
    <x v="3"/>
    <n v="7700"/>
    <s v="E04"/>
    <s v="Priya Nair"/>
    <x v="2"/>
    <s v="Bengaluru"/>
    <n v="1"/>
    <n v="7700"/>
  </r>
  <r>
    <n v="1400"/>
    <x v="261"/>
    <s v="P02"/>
    <s v="Bluetooth Speaker"/>
    <x v="3"/>
    <n v="1430"/>
    <s v="E06"/>
    <s v="Sneha Roy"/>
    <x v="1"/>
    <s v="Kolkata"/>
    <n v="3"/>
    <n v="4290"/>
  </r>
  <r>
    <n v="1412"/>
    <x v="262"/>
    <s v="P06"/>
    <s v="Bookshelf Unit"/>
    <x v="2"/>
    <n v="3910"/>
    <s v="E01"/>
    <s v="Aarav Sharma"/>
    <x v="3"/>
    <s v="Lucknow"/>
    <n v="8"/>
    <n v="31280"/>
  </r>
  <r>
    <n v="1421"/>
    <x v="262"/>
    <s v="P04"/>
    <s v="Ergo Office Chair"/>
    <x v="0"/>
    <n v="6750"/>
    <s v="E03"/>
    <s v="Rohan Mehta"/>
    <x v="2"/>
    <s v="Bengaluru"/>
    <n v="8"/>
    <n v="54000"/>
  </r>
  <r>
    <n v="1408"/>
    <x v="263"/>
    <s v="P06"/>
    <s v="Bookshelf Unit"/>
    <x v="2"/>
    <n v="3910"/>
    <s v="E01"/>
    <s v="Aarav Sharma"/>
    <x v="3"/>
    <s v="Lucknow"/>
    <n v="2"/>
    <n v="7820"/>
  </r>
  <r>
    <n v="1413"/>
    <x v="263"/>
    <s v="P03"/>
    <s v="LED Monitor 24&quot;"/>
    <x v="3"/>
    <n v="7700"/>
    <s v="E07"/>
    <s v="Aditya Kapoor"/>
    <x v="0"/>
    <s v="Mumbai"/>
    <n v="1"/>
    <n v="7700"/>
  </r>
  <r>
    <n v="1409"/>
    <x v="264"/>
    <s v="P06"/>
    <s v="Bookshelf Unit"/>
    <x v="2"/>
    <n v="3910"/>
    <s v="E04"/>
    <s v="Priya Nair"/>
    <x v="2"/>
    <s v="Bengaluru"/>
    <n v="5"/>
    <n v="19550"/>
  </r>
  <r>
    <n v="1407"/>
    <x v="265"/>
    <s v="P07"/>
    <s v="Filing Cabinet"/>
    <x v="2"/>
    <n v="4070"/>
    <s v="E02"/>
    <s v="Ishita Verma"/>
    <x v="3"/>
    <s v="Chandigarh"/>
    <n v="6"/>
    <n v="24420"/>
  </r>
  <r>
    <n v="1405"/>
    <x v="266"/>
    <s v="P05"/>
    <s v="Standing Desk"/>
    <x v="0"/>
    <n v="11010"/>
    <s v="E02"/>
    <s v="Ishita Verma"/>
    <x v="3"/>
    <s v="Chandigarh"/>
    <n v="6"/>
    <n v="66060"/>
  </r>
  <r>
    <n v="1428"/>
    <x v="266"/>
    <s v="P07"/>
    <s v="Filing Cabinet"/>
    <x v="2"/>
    <n v="4070"/>
    <s v="E01"/>
    <s v="Aarav Sharma"/>
    <x v="3"/>
    <s v="Lucknow"/>
    <n v="1"/>
    <n v="4070"/>
  </r>
  <r>
    <n v="1414"/>
    <x v="267"/>
    <s v="P08"/>
    <s v="Laptop Backpack"/>
    <x v="1"/>
    <n v="1110"/>
    <s v="E03"/>
    <s v="Rohan Mehta"/>
    <x v="2"/>
    <s v="Bengaluru"/>
    <n v="1"/>
    <n v="1110"/>
  </r>
  <r>
    <n v="1420"/>
    <x v="267"/>
    <s v="P09"/>
    <s v="USB-C Hub"/>
    <x v="1"/>
    <n v="880"/>
    <s v="E07"/>
    <s v="Aditya Kapoor"/>
    <x v="0"/>
    <s v="Mumbai"/>
    <n v="6"/>
    <n v="5280"/>
  </r>
  <r>
    <n v="1422"/>
    <x v="268"/>
    <s v="P01"/>
    <s v="Wireless Mouse"/>
    <x v="3"/>
    <n v="780"/>
    <s v="E05"/>
    <s v="Karan Malhotra"/>
    <x v="1"/>
    <s v="Kolkata"/>
    <n v="10"/>
    <n v="7800"/>
  </r>
  <r>
    <n v="1416"/>
    <x v="269"/>
    <s v="P08"/>
    <s v="Laptop Backpack"/>
    <x v="1"/>
    <n v="1110"/>
    <s v="E05"/>
    <s v="Karan Malhotra"/>
    <x v="1"/>
    <s v="Kolkata"/>
    <n v="2"/>
    <n v="2220"/>
  </r>
  <r>
    <n v="1402"/>
    <x v="270"/>
    <s v="P06"/>
    <s v="Bookshelf Unit"/>
    <x v="2"/>
    <n v="3910"/>
    <s v="E03"/>
    <s v="Rohan Mehta"/>
    <x v="2"/>
    <s v="Bengaluru"/>
    <n v="1"/>
    <n v="3910"/>
  </r>
  <r>
    <n v="1396"/>
    <x v="271"/>
    <s v="P09"/>
    <s v="USB-C Hub"/>
    <x v="1"/>
    <n v="880"/>
    <s v="E08"/>
    <s v="Neha Joshi"/>
    <x v="0"/>
    <s v="Ahmedabad"/>
    <n v="6"/>
    <n v="5280"/>
  </r>
  <r>
    <n v="1415"/>
    <x v="271"/>
    <s v="P04"/>
    <s v="Ergo Office Chair"/>
    <x v="0"/>
    <n v="6750"/>
    <s v="E06"/>
    <s v="Sneha Roy"/>
    <x v="1"/>
    <s v="Kolkata"/>
    <n v="5"/>
    <n v="33750"/>
  </r>
  <r>
    <n v="1399"/>
    <x v="272"/>
    <s v="P01"/>
    <s v="Wireless Mouse"/>
    <x v="3"/>
    <n v="780"/>
    <s v="E06"/>
    <s v="Sneha Roy"/>
    <x v="1"/>
    <s v="Kolkata"/>
    <n v="10"/>
    <n v="7800"/>
  </r>
  <r>
    <n v="1404"/>
    <x v="273"/>
    <s v="P03"/>
    <s v="LED Monitor 24&quot;"/>
    <x v="3"/>
    <n v="7700"/>
    <s v="E07"/>
    <s v="Aditya Kapoor"/>
    <x v="0"/>
    <s v="Mumbai"/>
    <n v="8"/>
    <n v="61600"/>
  </r>
  <r>
    <n v="1406"/>
    <x v="273"/>
    <s v="P03"/>
    <s v="LED Monitor 24&quot;"/>
    <x v="3"/>
    <n v="7700"/>
    <s v="E06"/>
    <s v="Sneha Roy"/>
    <x v="1"/>
    <s v="Kolkata"/>
    <n v="10"/>
    <n v="77000"/>
  </r>
  <r>
    <n v="1423"/>
    <x v="273"/>
    <s v="P09"/>
    <s v="USB-C Hub"/>
    <x v="1"/>
    <n v="880"/>
    <s v="E06"/>
    <s v="Sneha Roy"/>
    <x v="1"/>
    <s v="Kolkata"/>
    <n v="1"/>
    <n v="880"/>
  </r>
  <r>
    <n v="1401"/>
    <x v="274"/>
    <s v="P05"/>
    <s v="Standing Desk"/>
    <x v="0"/>
    <n v="11010"/>
    <s v="E07"/>
    <s v="Aditya Kapoor"/>
    <x v="0"/>
    <s v="Mumbai"/>
    <n v="2"/>
    <n v="22020"/>
  </r>
  <r>
    <n v="1398"/>
    <x v="275"/>
    <s v="P07"/>
    <s v="Filing Cabinet"/>
    <x v="2"/>
    <n v="4070"/>
    <s v="E05"/>
    <s v="Karan Malhotra"/>
    <x v="1"/>
    <s v="Kolkata"/>
    <n v="4"/>
    <n v="16280"/>
  </r>
  <r>
    <n v="1411"/>
    <x v="275"/>
    <s v="P02"/>
    <s v="Bluetooth Speaker"/>
    <x v="3"/>
    <n v="1430"/>
    <s v="E05"/>
    <s v="Karan Malhotra"/>
    <x v="1"/>
    <s v="Kolkata"/>
    <n v="6"/>
    <n v="8580"/>
  </r>
  <r>
    <n v="1419"/>
    <x v="275"/>
    <s v="P08"/>
    <s v="Laptop Backpack"/>
    <x v="1"/>
    <n v="1110"/>
    <s v="E08"/>
    <s v="Neha Joshi"/>
    <x v="0"/>
    <s v="Ahmedabad"/>
    <n v="2"/>
    <n v="2220"/>
  </r>
  <r>
    <n v="1424"/>
    <x v="275"/>
    <s v="P05"/>
    <s v="Standing Desk"/>
    <x v="0"/>
    <n v="11010"/>
    <s v="E02"/>
    <s v="Ishita Verma"/>
    <x v="3"/>
    <s v="Chandigarh"/>
    <n v="1"/>
    <n v="11010"/>
  </r>
  <r>
    <n v="1417"/>
    <x v="276"/>
    <s v="P05"/>
    <s v="Standing Desk"/>
    <x v="0"/>
    <n v="11010"/>
    <s v="E04"/>
    <s v="Priya Nair"/>
    <x v="2"/>
    <s v="Bengaluru"/>
    <n v="5"/>
    <n v="55050"/>
  </r>
  <r>
    <n v="1425"/>
    <x v="276"/>
    <s v="P05"/>
    <s v="Standing Desk"/>
    <x v="0"/>
    <n v="11010"/>
    <s v="E03"/>
    <s v="Rohan Mehta"/>
    <x v="2"/>
    <s v="Bengaluru"/>
    <n v="5"/>
    <n v="55050"/>
  </r>
  <r>
    <n v="1397"/>
    <x v="277"/>
    <s v="P06"/>
    <s v="Bookshelf Unit"/>
    <x v="2"/>
    <n v="3910"/>
    <s v="E03"/>
    <s v="Rohan Mehta"/>
    <x v="2"/>
    <s v="Bengaluru"/>
    <n v="3"/>
    <n v="11730"/>
  </r>
  <r>
    <n v="1427"/>
    <x v="277"/>
    <s v="P08"/>
    <s v="Laptop Backpack"/>
    <x v="1"/>
    <n v="1110"/>
    <s v="E04"/>
    <s v="Priya Nair"/>
    <x v="2"/>
    <s v="Bengaluru"/>
    <n v="3"/>
    <n v="3330"/>
  </r>
  <r>
    <n v="1403"/>
    <x v="278"/>
    <s v="P06"/>
    <s v="Bookshelf Unit"/>
    <x v="2"/>
    <n v="3910"/>
    <s v="E03"/>
    <s v="Rohan Mehta"/>
    <x v="2"/>
    <s v="Bengaluru"/>
    <n v="2"/>
    <n v="7820"/>
  </r>
  <r>
    <n v="1418"/>
    <x v="278"/>
    <s v="P06"/>
    <s v="Bookshelf Unit"/>
    <x v="2"/>
    <n v="3910"/>
    <s v="E04"/>
    <s v="Priya Nair"/>
    <x v="2"/>
    <s v="Bengaluru"/>
    <n v="10"/>
    <n v="39100"/>
  </r>
  <r>
    <n v="1426"/>
    <x v="278"/>
    <s v="P07"/>
    <s v="Filing Cabinet"/>
    <x v="2"/>
    <n v="4070"/>
    <s v="E03"/>
    <s v="Rohan Mehta"/>
    <x v="2"/>
    <s v="Bengaluru"/>
    <n v="1"/>
    <n v="4070"/>
  </r>
  <r>
    <n v="1444"/>
    <x v="279"/>
    <s v="P07"/>
    <s v="Filing Cabinet"/>
    <x v="2"/>
    <n v="4070"/>
    <s v="E01"/>
    <s v="Aarav Sharma"/>
    <x v="3"/>
    <s v="Lucknow"/>
    <n v="5"/>
    <n v="20350"/>
  </r>
  <r>
    <n v="1429"/>
    <x v="280"/>
    <s v="P04"/>
    <s v="Ergo Office Chair"/>
    <x v="0"/>
    <n v="6750"/>
    <s v="E06"/>
    <s v="Sneha Roy"/>
    <x v="1"/>
    <s v="Kolkata"/>
    <n v="4"/>
    <n v="27000"/>
  </r>
  <r>
    <n v="1443"/>
    <x v="280"/>
    <s v="P09"/>
    <s v="USB-C Hub"/>
    <x v="1"/>
    <n v="880"/>
    <s v="E02"/>
    <s v="Ishita Verma"/>
    <x v="3"/>
    <s v="Chandigarh"/>
    <n v="3"/>
    <n v="2640"/>
  </r>
  <r>
    <n v="1450"/>
    <x v="280"/>
    <s v="P03"/>
    <s v="LED Monitor 24&quot;"/>
    <x v="3"/>
    <n v="7700"/>
    <s v="E08"/>
    <s v="Neha Joshi"/>
    <x v="0"/>
    <s v="Ahmedabad"/>
    <n v="1"/>
    <n v="7700"/>
  </r>
  <r>
    <n v="1460"/>
    <x v="280"/>
    <s v="P02"/>
    <s v="Bluetooth Speaker"/>
    <x v="3"/>
    <n v="1430"/>
    <s v="E05"/>
    <s v="Karan Malhotra"/>
    <x v="1"/>
    <s v="Kolkata"/>
    <n v="4"/>
    <n v="5720"/>
  </r>
  <r>
    <n v="1438"/>
    <x v="281"/>
    <s v="P08"/>
    <s v="Laptop Backpack"/>
    <x v="1"/>
    <n v="1110"/>
    <s v="E07"/>
    <s v="Aditya Kapoor"/>
    <x v="0"/>
    <s v="Mumbai"/>
    <n v="1"/>
    <n v="1110"/>
  </r>
  <r>
    <n v="1456"/>
    <x v="281"/>
    <s v="P06"/>
    <s v="Bookshelf Unit"/>
    <x v="2"/>
    <n v="3910"/>
    <s v="E01"/>
    <s v="Aarav Sharma"/>
    <x v="3"/>
    <s v="Lucknow"/>
    <n v="2"/>
    <n v="7820"/>
  </r>
  <r>
    <n v="1431"/>
    <x v="282"/>
    <s v="P06"/>
    <s v="Bookshelf Unit"/>
    <x v="2"/>
    <n v="3910"/>
    <s v="E02"/>
    <s v="Ishita Verma"/>
    <x v="3"/>
    <s v="Chandigarh"/>
    <n v="1"/>
    <n v="3910"/>
  </r>
  <r>
    <n v="1458"/>
    <x v="283"/>
    <s v="P07"/>
    <s v="Filing Cabinet"/>
    <x v="2"/>
    <n v="4070"/>
    <s v="E08"/>
    <s v="Neha Joshi"/>
    <x v="0"/>
    <s v="Ahmedabad"/>
    <n v="3"/>
    <n v="12210"/>
  </r>
  <r>
    <n v="1451"/>
    <x v="284"/>
    <s v="P01"/>
    <s v="Wireless Mouse"/>
    <x v="3"/>
    <n v="780"/>
    <s v="E08"/>
    <s v="Neha Joshi"/>
    <x v="0"/>
    <s v="Ahmedabad"/>
    <n v="2"/>
    <n v="1560"/>
  </r>
  <r>
    <n v="1436"/>
    <x v="285"/>
    <s v="P02"/>
    <s v="Bluetooth Speaker"/>
    <x v="3"/>
    <n v="1430"/>
    <s v="E07"/>
    <s v="Aditya Kapoor"/>
    <x v="0"/>
    <s v="Mumbai"/>
    <n v="2"/>
    <n v="2860"/>
  </r>
  <r>
    <n v="1437"/>
    <x v="285"/>
    <s v="P02"/>
    <s v="Bluetooth Speaker"/>
    <x v="3"/>
    <n v="1430"/>
    <s v="E05"/>
    <s v="Karan Malhotra"/>
    <x v="1"/>
    <s v="Kolkata"/>
    <n v="1"/>
    <n v="1430"/>
  </r>
  <r>
    <n v="1434"/>
    <x v="286"/>
    <s v="P02"/>
    <s v="Bluetooth Speaker"/>
    <x v="3"/>
    <n v="1430"/>
    <s v="E01"/>
    <s v="Aarav Sharma"/>
    <x v="3"/>
    <s v="Lucknow"/>
    <n v="1"/>
    <n v="1430"/>
  </r>
  <r>
    <n v="1461"/>
    <x v="287"/>
    <s v="P03"/>
    <s v="LED Monitor 24&quot;"/>
    <x v="3"/>
    <n v="7700"/>
    <s v="E07"/>
    <s v="Aditya Kapoor"/>
    <x v="0"/>
    <s v="Mumbai"/>
    <n v="6"/>
    <n v="46200"/>
  </r>
  <r>
    <n v="1430"/>
    <x v="288"/>
    <s v="P04"/>
    <s v="Ergo Office Chair"/>
    <x v="0"/>
    <n v="6750"/>
    <s v="E06"/>
    <s v="Sneha Roy"/>
    <x v="1"/>
    <s v="Kolkata"/>
    <n v="1"/>
    <n v="6750"/>
  </r>
  <r>
    <n v="1452"/>
    <x v="288"/>
    <s v="P04"/>
    <s v="Ergo Office Chair"/>
    <x v="0"/>
    <n v="6750"/>
    <s v="E01"/>
    <s v="Aarav Sharma"/>
    <x v="3"/>
    <s v="Lucknow"/>
    <n v="1"/>
    <n v="6750"/>
  </r>
  <r>
    <n v="1462"/>
    <x v="288"/>
    <s v="P02"/>
    <s v="Bluetooth Speaker"/>
    <x v="3"/>
    <n v="1430"/>
    <s v="E06"/>
    <s v="Sneha Roy"/>
    <x v="1"/>
    <s v="Kolkata"/>
    <n v="1"/>
    <n v="1430"/>
  </r>
  <r>
    <n v="1446"/>
    <x v="289"/>
    <s v="P06"/>
    <s v="Bookshelf Unit"/>
    <x v="2"/>
    <n v="3910"/>
    <s v="E01"/>
    <s v="Aarav Sharma"/>
    <x v="3"/>
    <s v="Lucknow"/>
    <n v="1"/>
    <n v="3910"/>
  </r>
  <r>
    <n v="1448"/>
    <x v="289"/>
    <s v="P03"/>
    <s v="LED Monitor 24&quot;"/>
    <x v="3"/>
    <n v="7700"/>
    <s v="E06"/>
    <s v="Sneha Roy"/>
    <x v="1"/>
    <s v="Kolkata"/>
    <n v="1"/>
    <n v="7700"/>
  </r>
  <r>
    <n v="1440"/>
    <x v="290"/>
    <s v="P03"/>
    <s v="LED Monitor 24&quot;"/>
    <x v="3"/>
    <n v="7700"/>
    <s v="E04"/>
    <s v="Priya Nair"/>
    <x v="2"/>
    <s v="Bengaluru"/>
    <n v="2"/>
    <n v="15400"/>
  </r>
  <r>
    <n v="1449"/>
    <x v="291"/>
    <s v="P03"/>
    <s v="LED Monitor 24&quot;"/>
    <x v="3"/>
    <n v="7700"/>
    <s v="E06"/>
    <s v="Sneha Roy"/>
    <x v="1"/>
    <s v="Kolkata"/>
    <n v="10"/>
    <n v="77000"/>
  </r>
  <r>
    <n v="1441"/>
    <x v="292"/>
    <s v="P06"/>
    <s v="Bookshelf Unit"/>
    <x v="2"/>
    <n v="3910"/>
    <s v="E01"/>
    <s v="Aarav Sharma"/>
    <x v="3"/>
    <s v="Lucknow"/>
    <n v="2"/>
    <n v="7820"/>
  </r>
  <r>
    <n v="1433"/>
    <x v="293"/>
    <s v="P08"/>
    <s v="Laptop Backpack"/>
    <x v="1"/>
    <n v="1110"/>
    <s v="E03"/>
    <s v="Rohan Mehta"/>
    <x v="2"/>
    <s v="Bengaluru"/>
    <n v="5"/>
    <n v="5550"/>
  </r>
  <r>
    <n v="1463"/>
    <x v="293"/>
    <s v="P05"/>
    <s v="Standing Desk"/>
    <x v="0"/>
    <n v="11010"/>
    <s v="E05"/>
    <s v="Karan Malhotra"/>
    <x v="1"/>
    <s v="Kolkata"/>
    <n v="5"/>
    <n v="55050"/>
  </r>
  <r>
    <n v="1439"/>
    <x v="294"/>
    <s v="P09"/>
    <s v="USB-C Hub"/>
    <x v="1"/>
    <n v="880"/>
    <s v="E08"/>
    <s v="Neha Joshi"/>
    <x v="0"/>
    <s v="Ahmedabad"/>
    <n v="1"/>
    <n v="880"/>
  </r>
  <r>
    <n v="1442"/>
    <x v="295"/>
    <s v="P03"/>
    <s v="LED Monitor 24&quot;"/>
    <x v="3"/>
    <n v="7700"/>
    <s v="E07"/>
    <s v="Aditya Kapoor"/>
    <x v="0"/>
    <s v="Mumbai"/>
    <n v="10"/>
    <n v="77000"/>
  </r>
  <r>
    <n v="1432"/>
    <x v="296"/>
    <s v="P05"/>
    <s v="Standing Desk"/>
    <x v="0"/>
    <n v="11010"/>
    <s v="E01"/>
    <s v="Aarav Sharma"/>
    <x v="3"/>
    <s v="Lucknow"/>
    <n v="5"/>
    <n v="55050"/>
  </r>
  <r>
    <n v="1435"/>
    <x v="297"/>
    <s v="P03"/>
    <s v="LED Monitor 24&quot;"/>
    <x v="3"/>
    <n v="7700"/>
    <s v="E04"/>
    <s v="Priya Nair"/>
    <x v="2"/>
    <s v="Bengaluru"/>
    <n v="6"/>
    <n v="46200"/>
  </r>
  <r>
    <n v="1445"/>
    <x v="297"/>
    <s v="P06"/>
    <s v="Bookshelf Unit"/>
    <x v="2"/>
    <n v="3910"/>
    <s v="E07"/>
    <s v="Aditya Kapoor"/>
    <x v="0"/>
    <s v="Mumbai"/>
    <n v="2"/>
    <n v="7820"/>
  </r>
  <r>
    <n v="1447"/>
    <x v="297"/>
    <s v="P02"/>
    <s v="Bluetooth Speaker"/>
    <x v="3"/>
    <n v="1430"/>
    <s v="E04"/>
    <s v="Priya Nair"/>
    <x v="2"/>
    <s v="Bengaluru"/>
    <n v="8"/>
    <n v="11440"/>
  </r>
  <r>
    <n v="1457"/>
    <x v="297"/>
    <s v="P07"/>
    <s v="Filing Cabinet"/>
    <x v="2"/>
    <n v="4070"/>
    <s v="E06"/>
    <s v="Sneha Roy"/>
    <x v="1"/>
    <s v="Kolkata"/>
    <n v="4"/>
    <n v="16280"/>
  </r>
  <r>
    <n v="1454"/>
    <x v="298"/>
    <s v="P05"/>
    <s v="Standing Desk"/>
    <x v="0"/>
    <n v="11010"/>
    <s v="E08"/>
    <s v="Neha Joshi"/>
    <x v="0"/>
    <s v="Ahmedabad"/>
    <n v="1"/>
    <n v="11010"/>
  </r>
  <r>
    <n v="1453"/>
    <x v="299"/>
    <s v="P09"/>
    <s v="USB-C Hub"/>
    <x v="1"/>
    <n v="880"/>
    <s v="E05"/>
    <s v="Karan Malhotra"/>
    <x v="1"/>
    <s v="Kolkata"/>
    <n v="4"/>
    <n v="3520"/>
  </r>
  <r>
    <n v="1455"/>
    <x v="300"/>
    <s v="P05"/>
    <s v="Standing Desk"/>
    <x v="0"/>
    <n v="11010"/>
    <s v="E04"/>
    <s v="Priya Nair"/>
    <x v="2"/>
    <s v="Bengaluru"/>
    <n v="3"/>
    <n v="33030"/>
  </r>
  <r>
    <n v="1459"/>
    <x v="301"/>
    <s v="P08"/>
    <s v="Laptop Backpack"/>
    <x v="1"/>
    <n v="1110"/>
    <s v="E08"/>
    <s v="Neha Joshi"/>
    <x v="0"/>
    <s v="Ahmedabad"/>
    <n v="3"/>
    <n v="3330"/>
  </r>
  <r>
    <n v="1469"/>
    <x v="302"/>
    <s v="P01"/>
    <s v="Wireless Mouse"/>
    <x v="3"/>
    <n v="780"/>
    <s v="E08"/>
    <s v="Neha Joshi"/>
    <x v="0"/>
    <s v="Ahmedabad"/>
    <n v="1"/>
    <n v="780"/>
  </r>
  <r>
    <n v="1479"/>
    <x v="303"/>
    <s v="P04"/>
    <s v="Ergo Office Chair"/>
    <x v="0"/>
    <n v="6750"/>
    <s v="E08"/>
    <s v="Neha Joshi"/>
    <x v="0"/>
    <s v="Ahmedabad"/>
    <n v="1"/>
    <n v="6750"/>
  </r>
  <r>
    <n v="1487"/>
    <x v="303"/>
    <s v="P08"/>
    <s v="Laptop Backpack"/>
    <x v="1"/>
    <n v="1110"/>
    <s v="E06"/>
    <s v="Sneha Roy"/>
    <x v="1"/>
    <s v="Kolkata"/>
    <n v="6"/>
    <n v="6660"/>
  </r>
  <r>
    <n v="1484"/>
    <x v="304"/>
    <s v="P06"/>
    <s v="Bookshelf Unit"/>
    <x v="2"/>
    <n v="3910"/>
    <s v="E03"/>
    <s v="Rohan Mehta"/>
    <x v="2"/>
    <s v="Bengaluru"/>
    <n v="6"/>
    <n v="23460"/>
  </r>
  <r>
    <n v="1485"/>
    <x v="304"/>
    <s v="P04"/>
    <s v="Ergo Office Chair"/>
    <x v="0"/>
    <n v="6750"/>
    <s v="E02"/>
    <s v="Ishita Verma"/>
    <x v="3"/>
    <s v="Chandigarh"/>
    <n v="1"/>
    <n v="6750"/>
  </r>
  <r>
    <n v="1474"/>
    <x v="305"/>
    <s v="P06"/>
    <s v="Bookshelf Unit"/>
    <x v="2"/>
    <n v="3910"/>
    <s v="E07"/>
    <s v="Aditya Kapoor"/>
    <x v="0"/>
    <s v="Mumbai"/>
    <n v="10"/>
    <n v="39100"/>
  </r>
  <r>
    <n v="1478"/>
    <x v="306"/>
    <s v="P04"/>
    <s v="Ergo Office Chair"/>
    <x v="0"/>
    <n v="6750"/>
    <s v="E08"/>
    <s v="Neha Joshi"/>
    <x v="0"/>
    <s v="Ahmedabad"/>
    <n v="8"/>
    <n v="54000"/>
  </r>
  <r>
    <n v="1490"/>
    <x v="307"/>
    <s v="P02"/>
    <s v="Bluetooth Speaker"/>
    <x v="3"/>
    <n v="1430"/>
    <s v="E07"/>
    <s v="Aditya Kapoor"/>
    <x v="0"/>
    <s v="Mumbai"/>
    <n v="1"/>
    <n v="1430"/>
  </r>
  <r>
    <n v="1473"/>
    <x v="308"/>
    <s v="P03"/>
    <s v="LED Monitor 24&quot;"/>
    <x v="3"/>
    <n v="7700"/>
    <s v="E02"/>
    <s v="Ishita Verma"/>
    <x v="3"/>
    <s v="Chandigarh"/>
    <n v="6"/>
    <n v="46200"/>
  </r>
  <r>
    <n v="1470"/>
    <x v="309"/>
    <s v="P06"/>
    <s v="Bookshelf Unit"/>
    <x v="2"/>
    <n v="3910"/>
    <s v="E04"/>
    <s v="Priya Nair"/>
    <x v="2"/>
    <s v="Bengaluru"/>
    <n v="3"/>
    <n v="11730"/>
  </r>
  <r>
    <n v="1476"/>
    <x v="309"/>
    <s v="P08"/>
    <s v="Laptop Backpack"/>
    <x v="1"/>
    <n v="1110"/>
    <s v="E03"/>
    <s v="Rohan Mehta"/>
    <x v="2"/>
    <s v="Bengaluru"/>
    <n v="6"/>
    <n v="6660"/>
  </r>
  <r>
    <n v="1488"/>
    <x v="309"/>
    <s v="P02"/>
    <s v="Bluetooth Speaker"/>
    <x v="3"/>
    <n v="1430"/>
    <s v="E02"/>
    <s v="Ishita Verma"/>
    <x v="3"/>
    <s v="Chandigarh"/>
    <n v="2"/>
    <n v="2860"/>
  </r>
  <r>
    <n v="1465"/>
    <x v="310"/>
    <s v="P06"/>
    <s v="Bookshelf Unit"/>
    <x v="2"/>
    <n v="3910"/>
    <s v="E01"/>
    <s v="Aarav Sharma"/>
    <x v="3"/>
    <s v="Lucknow"/>
    <n v="8"/>
    <n v="31280"/>
  </r>
  <r>
    <n v="1464"/>
    <x v="311"/>
    <s v="P08"/>
    <s v="Laptop Backpack"/>
    <x v="1"/>
    <n v="1110"/>
    <s v="E03"/>
    <s v="Rohan Mehta"/>
    <x v="2"/>
    <s v="Bengaluru"/>
    <n v="3"/>
    <n v="3330"/>
  </r>
  <r>
    <n v="1471"/>
    <x v="311"/>
    <s v="P03"/>
    <s v="LED Monitor 24&quot;"/>
    <x v="3"/>
    <n v="7700"/>
    <s v="E01"/>
    <s v="Aarav Sharma"/>
    <x v="3"/>
    <s v="Lucknow"/>
    <n v="10"/>
    <n v="77000"/>
  </r>
  <r>
    <n v="1482"/>
    <x v="312"/>
    <s v="P06"/>
    <s v="Bookshelf Unit"/>
    <x v="2"/>
    <n v="3910"/>
    <s v="E06"/>
    <s v="Sneha Roy"/>
    <x v="1"/>
    <s v="Kolkata"/>
    <n v="1"/>
    <n v="3910"/>
  </r>
  <r>
    <n v="1486"/>
    <x v="312"/>
    <s v="P01"/>
    <s v="Wireless Mouse"/>
    <x v="3"/>
    <n v="780"/>
    <s v="E08"/>
    <s v="Neha Joshi"/>
    <x v="0"/>
    <s v="Ahmedabad"/>
    <n v="3"/>
    <n v="2340"/>
  </r>
  <r>
    <n v="1466"/>
    <x v="313"/>
    <s v="P01"/>
    <s v="Wireless Mouse"/>
    <x v="3"/>
    <n v="780"/>
    <s v="E05"/>
    <s v="Karan Malhotra"/>
    <x v="1"/>
    <s v="Kolkata"/>
    <n v="1"/>
    <n v="780"/>
  </r>
  <r>
    <n v="1491"/>
    <x v="313"/>
    <s v="P08"/>
    <s v="Laptop Backpack"/>
    <x v="1"/>
    <n v="1110"/>
    <s v="E02"/>
    <s v="Ishita Verma"/>
    <x v="3"/>
    <s v="Chandigarh"/>
    <n v="5"/>
    <n v="5550"/>
  </r>
  <r>
    <n v="1477"/>
    <x v="314"/>
    <s v="P05"/>
    <s v="Standing Desk"/>
    <x v="0"/>
    <n v="11010"/>
    <s v="E02"/>
    <s v="Ishita Verma"/>
    <x v="3"/>
    <s v="Chandigarh"/>
    <n v="2"/>
    <n v="22020"/>
  </r>
  <r>
    <n v="1483"/>
    <x v="314"/>
    <s v="P05"/>
    <s v="Standing Desk"/>
    <x v="0"/>
    <n v="11010"/>
    <s v="E05"/>
    <s v="Karan Malhotra"/>
    <x v="1"/>
    <s v="Kolkata"/>
    <n v="1"/>
    <n v="11010"/>
  </r>
  <r>
    <n v="1475"/>
    <x v="315"/>
    <s v="P02"/>
    <s v="Bluetooth Speaker"/>
    <x v="3"/>
    <n v="1430"/>
    <s v="E04"/>
    <s v="Priya Nair"/>
    <x v="2"/>
    <s v="Bengaluru"/>
    <n v="1"/>
    <n v="1430"/>
  </r>
  <r>
    <n v="1472"/>
    <x v="316"/>
    <s v="P06"/>
    <s v="Bookshelf Unit"/>
    <x v="2"/>
    <n v="3910"/>
    <s v="E06"/>
    <s v="Sneha Roy"/>
    <x v="1"/>
    <s v="Kolkata"/>
    <n v="5"/>
    <n v="19550"/>
  </r>
  <r>
    <n v="1489"/>
    <x v="316"/>
    <s v="P09"/>
    <s v="USB-C Hub"/>
    <x v="1"/>
    <n v="880"/>
    <s v="E08"/>
    <s v="Neha Joshi"/>
    <x v="0"/>
    <s v="Ahmedabad"/>
    <n v="4"/>
    <n v="3520"/>
  </r>
  <r>
    <n v="1467"/>
    <x v="317"/>
    <s v="P06"/>
    <s v="Bookshelf Unit"/>
    <x v="2"/>
    <n v="3910"/>
    <s v="E07"/>
    <s v="Aditya Kapoor"/>
    <x v="0"/>
    <s v="Mumbai"/>
    <n v="6"/>
    <n v="23460"/>
  </r>
  <r>
    <n v="1468"/>
    <x v="318"/>
    <s v="P01"/>
    <s v="Wireless Mouse"/>
    <x v="3"/>
    <n v="780"/>
    <s v="E03"/>
    <s v="Rohan Mehta"/>
    <x v="2"/>
    <s v="Bengaluru"/>
    <n v="1"/>
    <n v="780"/>
  </r>
  <r>
    <n v="1480"/>
    <x v="319"/>
    <s v="P08"/>
    <s v="Laptop Backpack"/>
    <x v="1"/>
    <n v="1110"/>
    <s v="E02"/>
    <s v="Ishita Verma"/>
    <x v="3"/>
    <s v="Chandigarh"/>
    <n v="1"/>
    <n v="1110"/>
  </r>
  <r>
    <n v="1481"/>
    <x v="320"/>
    <s v="P02"/>
    <s v="Bluetooth Speaker"/>
    <x v="3"/>
    <n v="1430"/>
    <s v="E08"/>
    <s v="Neha Joshi"/>
    <x v="0"/>
    <s v="Ahmedabad"/>
    <n v="10"/>
    <n v="14300"/>
  </r>
  <r>
    <n v="1517"/>
    <x v="321"/>
    <s v="P05"/>
    <s v="Standing Desk"/>
    <x v="0"/>
    <n v="11010"/>
    <s v="E08"/>
    <s v="Neha Joshi"/>
    <x v="0"/>
    <s v="Ahmedabad"/>
    <n v="5"/>
    <n v="55050"/>
  </r>
  <r>
    <n v="1521"/>
    <x v="321"/>
    <s v="P05"/>
    <s v="Standing Desk"/>
    <x v="0"/>
    <n v="11010"/>
    <s v="E08"/>
    <s v="Neha Joshi"/>
    <x v="0"/>
    <s v="Ahmedabad"/>
    <n v="6"/>
    <n v="66060"/>
  </r>
  <r>
    <n v="1501"/>
    <x v="322"/>
    <s v="P01"/>
    <s v="Wireless Mouse"/>
    <x v="3"/>
    <n v="780"/>
    <s v="E06"/>
    <s v="Sneha Roy"/>
    <x v="1"/>
    <s v="Kolkata"/>
    <n v="1"/>
    <n v="780"/>
  </r>
  <r>
    <n v="1505"/>
    <x v="322"/>
    <s v="P05"/>
    <s v="Standing Desk"/>
    <x v="0"/>
    <n v="11010"/>
    <s v="E07"/>
    <s v="Aditya Kapoor"/>
    <x v="0"/>
    <s v="Mumbai"/>
    <n v="5"/>
    <n v="55050"/>
  </r>
  <r>
    <n v="1510"/>
    <x v="323"/>
    <s v="P09"/>
    <s v="USB-C Hub"/>
    <x v="1"/>
    <n v="880"/>
    <s v="E06"/>
    <s v="Sneha Roy"/>
    <x v="1"/>
    <s v="Kolkata"/>
    <n v="6"/>
    <n v="5280"/>
  </r>
  <r>
    <n v="1511"/>
    <x v="323"/>
    <s v="P04"/>
    <s v="Ergo Office Chair"/>
    <x v="0"/>
    <n v="6750"/>
    <s v="E06"/>
    <s v="Sneha Roy"/>
    <x v="1"/>
    <s v="Kolkata"/>
    <n v="5"/>
    <n v="33750"/>
  </r>
  <r>
    <n v="1494"/>
    <x v="324"/>
    <s v="P02"/>
    <s v="Bluetooth Speaker"/>
    <x v="3"/>
    <n v="1430"/>
    <s v="E01"/>
    <s v="Aarav Sharma"/>
    <x v="3"/>
    <s v="Lucknow"/>
    <n v="6"/>
    <n v="8580"/>
  </r>
  <r>
    <n v="1512"/>
    <x v="324"/>
    <s v="P08"/>
    <s v="Laptop Backpack"/>
    <x v="1"/>
    <n v="1110"/>
    <s v="E05"/>
    <s v="Karan Malhotra"/>
    <x v="1"/>
    <s v="Kolkata"/>
    <n v="2"/>
    <n v="2220"/>
  </r>
  <r>
    <n v="1499"/>
    <x v="325"/>
    <s v="P09"/>
    <s v="USB-C Hub"/>
    <x v="1"/>
    <n v="880"/>
    <s v="E02"/>
    <s v="Ishita Verma"/>
    <x v="3"/>
    <s v="Chandigarh"/>
    <n v="10"/>
    <n v="8800"/>
  </r>
  <r>
    <n v="1497"/>
    <x v="326"/>
    <s v="P02"/>
    <s v="Bluetooth Speaker"/>
    <x v="3"/>
    <n v="1430"/>
    <s v="E05"/>
    <s v="Karan Malhotra"/>
    <x v="1"/>
    <s v="Kolkata"/>
    <n v="2"/>
    <n v="2860"/>
  </r>
  <r>
    <n v="1502"/>
    <x v="326"/>
    <s v="P05"/>
    <s v="Standing Desk"/>
    <x v="0"/>
    <n v="11010"/>
    <s v="E01"/>
    <s v="Aarav Sharma"/>
    <x v="3"/>
    <s v="Lucknow"/>
    <n v="10"/>
    <n v="110100"/>
  </r>
  <r>
    <n v="1504"/>
    <x v="327"/>
    <s v="P05"/>
    <s v="Standing Desk"/>
    <x v="0"/>
    <n v="11010"/>
    <s v="E05"/>
    <s v="Karan Malhotra"/>
    <x v="1"/>
    <s v="Kolkata"/>
    <n v="5"/>
    <n v="55050"/>
  </r>
  <r>
    <n v="1498"/>
    <x v="328"/>
    <s v="P03"/>
    <s v="LED Monitor 24&quot;"/>
    <x v="3"/>
    <n v="7700"/>
    <s v="E05"/>
    <s v="Karan Malhotra"/>
    <x v="1"/>
    <s v="Kolkata"/>
    <n v="10"/>
    <n v="77000"/>
  </r>
  <r>
    <n v="1495"/>
    <x v="329"/>
    <s v="P03"/>
    <s v="LED Monitor 24&quot;"/>
    <x v="3"/>
    <n v="7700"/>
    <s v="E05"/>
    <s v="Karan Malhotra"/>
    <x v="1"/>
    <s v="Kolkata"/>
    <n v="1"/>
    <n v="7700"/>
  </r>
  <r>
    <n v="1507"/>
    <x v="329"/>
    <s v="P08"/>
    <s v="Laptop Backpack"/>
    <x v="1"/>
    <n v="1110"/>
    <s v="E08"/>
    <s v="Neha Joshi"/>
    <x v="0"/>
    <s v="Ahmedabad"/>
    <n v="2"/>
    <n v="2220"/>
  </r>
  <r>
    <n v="1519"/>
    <x v="330"/>
    <s v="P04"/>
    <s v="Ergo Office Chair"/>
    <x v="0"/>
    <n v="6750"/>
    <s v="E04"/>
    <s v="Priya Nair"/>
    <x v="2"/>
    <s v="Bengaluru"/>
    <n v="8"/>
    <n v="54000"/>
  </r>
  <r>
    <n v="1513"/>
    <x v="331"/>
    <s v="P01"/>
    <s v="Wireless Mouse"/>
    <x v="3"/>
    <n v="780"/>
    <s v="E02"/>
    <s v="Ishita Verma"/>
    <x v="3"/>
    <s v="Chandigarh"/>
    <n v="2"/>
    <n v="1560"/>
  </r>
  <r>
    <n v="1506"/>
    <x v="332"/>
    <s v="P03"/>
    <s v="LED Monitor 24&quot;"/>
    <x v="3"/>
    <n v="7700"/>
    <s v="E01"/>
    <s v="Aarav Sharma"/>
    <x v="3"/>
    <s v="Lucknow"/>
    <n v="5"/>
    <n v="38500"/>
  </r>
  <r>
    <n v="1516"/>
    <x v="333"/>
    <s v="P08"/>
    <s v="Laptop Backpack"/>
    <x v="1"/>
    <n v="1110"/>
    <s v="E03"/>
    <s v="Rohan Mehta"/>
    <x v="2"/>
    <s v="Bengaluru"/>
    <n v="6"/>
    <n v="6660"/>
  </r>
  <r>
    <n v="1518"/>
    <x v="333"/>
    <s v="P07"/>
    <s v="Filing Cabinet"/>
    <x v="2"/>
    <n v="4070"/>
    <s v="E02"/>
    <s v="Ishita Verma"/>
    <x v="3"/>
    <s v="Chandigarh"/>
    <n v="6"/>
    <n v="24420"/>
  </r>
  <r>
    <n v="1520"/>
    <x v="334"/>
    <s v="P01"/>
    <s v="Wireless Mouse"/>
    <x v="3"/>
    <n v="780"/>
    <s v="E01"/>
    <s v="Aarav Sharma"/>
    <x v="3"/>
    <s v="Lucknow"/>
    <n v="2"/>
    <n v="1560"/>
  </r>
  <r>
    <n v="1493"/>
    <x v="335"/>
    <s v="P03"/>
    <s v="LED Monitor 24&quot;"/>
    <x v="3"/>
    <n v="7700"/>
    <s v="E03"/>
    <s v="Rohan Mehta"/>
    <x v="2"/>
    <s v="Bengaluru"/>
    <n v="4"/>
    <n v="30800"/>
  </r>
  <r>
    <n v="1500"/>
    <x v="336"/>
    <s v="P03"/>
    <s v="LED Monitor 24&quot;"/>
    <x v="3"/>
    <n v="7700"/>
    <s v="E03"/>
    <s v="Rohan Mehta"/>
    <x v="2"/>
    <s v="Bengaluru"/>
    <n v="10"/>
    <n v="77000"/>
  </r>
  <r>
    <n v="1492"/>
    <x v="337"/>
    <s v="P03"/>
    <s v="LED Monitor 24&quot;"/>
    <x v="3"/>
    <n v="7700"/>
    <s v="E06"/>
    <s v="Sneha Roy"/>
    <x v="1"/>
    <s v="Kolkata"/>
    <n v="6"/>
    <n v="46200"/>
  </r>
  <r>
    <n v="1508"/>
    <x v="338"/>
    <s v="P06"/>
    <s v="Bookshelf Unit"/>
    <x v="2"/>
    <n v="3910"/>
    <s v="E03"/>
    <s v="Rohan Mehta"/>
    <x v="2"/>
    <s v="Bengaluru"/>
    <n v="3"/>
    <n v="11730"/>
  </r>
  <r>
    <n v="1509"/>
    <x v="339"/>
    <s v="P07"/>
    <s v="Filing Cabinet"/>
    <x v="2"/>
    <n v="4070"/>
    <s v="E06"/>
    <s v="Sneha Roy"/>
    <x v="1"/>
    <s v="Kolkata"/>
    <n v="1"/>
    <n v="4070"/>
  </r>
  <r>
    <n v="1515"/>
    <x v="339"/>
    <s v="P06"/>
    <s v="Bookshelf Unit"/>
    <x v="2"/>
    <n v="3910"/>
    <s v="E06"/>
    <s v="Sneha Roy"/>
    <x v="1"/>
    <s v="Kolkata"/>
    <n v="2"/>
    <n v="7820"/>
  </r>
  <r>
    <n v="1514"/>
    <x v="340"/>
    <s v="P04"/>
    <s v="Ergo Office Chair"/>
    <x v="0"/>
    <n v="6750"/>
    <s v="E07"/>
    <s v="Aditya Kapoor"/>
    <x v="0"/>
    <s v="Mumbai"/>
    <n v="1"/>
    <n v="6750"/>
  </r>
  <r>
    <n v="1496"/>
    <x v="341"/>
    <s v="P06"/>
    <s v="Bookshelf Unit"/>
    <x v="2"/>
    <n v="3910"/>
    <s v="E04"/>
    <s v="Priya Nair"/>
    <x v="2"/>
    <s v="Bengaluru"/>
    <n v="6"/>
    <n v="23460"/>
  </r>
  <r>
    <n v="1503"/>
    <x v="341"/>
    <s v="P01"/>
    <s v="Wireless Mouse"/>
    <x v="3"/>
    <n v="780"/>
    <s v="E07"/>
    <s v="Aditya Kapoor"/>
    <x v="0"/>
    <s v="Mumbai"/>
    <n v="5"/>
    <n v="3900"/>
  </r>
  <r>
    <n v="1543"/>
    <x v="342"/>
    <s v="P02"/>
    <s v="Bluetooth Speaker"/>
    <x v="3"/>
    <n v="1430"/>
    <s v="E01"/>
    <s v="Aarav Sharma"/>
    <x v="3"/>
    <s v="Lucknow"/>
    <n v="2"/>
    <n v="2860"/>
  </r>
  <r>
    <n v="1523"/>
    <x v="343"/>
    <s v="P07"/>
    <s v="Filing Cabinet"/>
    <x v="2"/>
    <n v="4070"/>
    <s v="E06"/>
    <s v="Sneha Roy"/>
    <x v="1"/>
    <s v="Kolkata"/>
    <n v="3"/>
    <n v="12210"/>
  </r>
  <r>
    <n v="1530"/>
    <x v="343"/>
    <s v="P09"/>
    <s v="USB-C Hub"/>
    <x v="1"/>
    <n v="880"/>
    <s v="E07"/>
    <s v="Aditya Kapoor"/>
    <x v="0"/>
    <s v="Mumbai"/>
    <n v="1"/>
    <n v="880"/>
  </r>
  <r>
    <n v="1527"/>
    <x v="344"/>
    <s v="P02"/>
    <s v="Bluetooth Speaker"/>
    <x v="3"/>
    <n v="1430"/>
    <s v="E05"/>
    <s v="Karan Malhotra"/>
    <x v="1"/>
    <s v="Kolkata"/>
    <n v="1"/>
    <n v="1430"/>
  </r>
  <r>
    <n v="1532"/>
    <x v="345"/>
    <s v="P09"/>
    <s v="USB-C Hub"/>
    <x v="1"/>
    <n v="880"/>
    <s v="E08"/>
    <s v="Neha Joshi"/>
    <x v="0"/>
    <s v="Ahmedabad"/>
    <n v="5"/>
    <n v="4400"/>
  </r>
  <r>
    <n v="1544"/>
    <x v="345"/>
    <s v="P06"/>
    <s v="Bookshelf Unit"/>
    <x v="2"/>
    <n v="3910"/>
    <s v="E08"/>
    <s v="Neha Joshi"/>
    <x v="0"/>
    <s v="Ahmedabad"/>
    <n v="4"/>
    <n v="15640"/>
  </r>
  <r>
    <n v="1542"/>
    <x v="346"/>
    <s v="P03"/>
    <s v="LED Monitor 24&quot;"/>
    <x v="3"/>
    <n v="7700"/>
    <s v="E07"/>
    <s v="Aditya Kapoor"/>
    <x v="0"/>
    <s v="Mumbai"/>
    <n v="10"/>
    <n v="77000"/>
  </r>
  <r>
    <n v="1525"/>
    <x v="347"/>
    <s v="P06"/>
    <s v="Bookshelf Unit"/>
    <x v="2"/>
    <n v="3910"/>
    <s v="E04"/>
    <s v="Priya Nair"/>
    <x v="2"/>
    <s v="Bengaluru"/>
    <n v="6"/>
    <n v="23460"/>
  </r>
  <r>
    <n v="1538"/>
    <x v="347"/>
    <s v="P07"/>
    <s v="Filing Cabinet"/>
    <x v="2"/>
    <n v="4070"/>
    <s v="E02"/>
    <s v="Ishita Verma"/>
    <x v="3"/>
    <s v="Chandigarh"/>
    <n v="8"/>
    <n v="32560"/>
  </r>
  <r>
    <n v="1533"/>
    <x v="348"/>
    <s v="P06"/>
    <s v="Bookshelf Unit"/>
    <x v="2"/>
    <n v="3910"/>
    <s v="E03"/>
    <s v="Rohan Mehta"/>
    <x v="2"/>
    <s v="Bengaluru"/>
    <n v="8"/>
    <n v="31280"/>
  </r>
  <r>
    <n v="1548"/>
    <x v="348"/>
    <s v="P09"/>
    <s v="USB-C Hub"/>
    <x v="1"/>
    <n v="880"/>
    <s v="E08"/>
    <s v="Neha Joshi"/>
    <x v="0"/>
    <s v="Ahmedabad"/>
    <n v="4"/>
    <n v="3520"/>
  </r>
  <r>
    <n v="1526"/>
    <x v="349"/>
    <s v="P07"/>
    <s v="Filing Cabinet"/>
    <x v="2"/>
    <n v="4070"/>
    <s v="E02"/>
    <s v="Ishita Verma"/>
    <x v="3"/>
    <s v="Chandigarh"/>
    <n v="6"/>
    <n v="24420"/>
  </r>
  <r>
    <n v="1540"/>
    <x v="350"/>
    <s v="P01"/>
    <s v="Wireless Mouse"/>
    <x v="3"/>
    <n v="780"/>
    <s v="E04"/>
    <s v="Priya Nair"/>
    <x v="2"/>
    <s v="Bengaluru"/>
    <n v="8"/>
    <n v="6240"/>
  </r>
  <r>
    <n v="1545"/>
    <x v="351"/>
    <s v="P04"/>
    <s v="Ergo Office Chair"/>
    <x v="0"/>
    <n v="6750"/>
    <s v="E07"/>
    <s v="Aditya Kapoor"/>
    <x v="0"/>
    <s v="Mumbai"/>
    <n v="4"/>
    <n v="27000"/>
  </r>
  <r>
    <n v="1546"/>
    <x v="351"/>
    <s v="P01"/>
    <s v="Wireless Mouse"/>
    <x v="3"/>
    <n v="780"/>
    <s v="E08"/>
    <s v="Neha Joshi"/>
    <x v="0"/>
    <s v="Ahmedabad"/>
    <n v="1"/>
    <n v="780"/>
  </r>
  <r>
    <n v="1524"/>
    <x v="352"/>
    <s v="P01"/>
    <s v="Wireless Mouse"/>
    <x v="3"/>
    <n v="780"/>
    <s v="E07"/>
    <s v="Aditya Kapoor"/>
    <x v="0"/>
    <s v="Mumbai"/>
    <n v="8"/>
    <n v="6240"/>
  </r>
  <r>
    <n v="1528"/>
    <x v="352"/>
    <s v="P06"/>
    <s v="Bookshelf Unit"/>
    <x v="2"/>
    <n v="3910"/>
    <s v="E07"/>
    <s v="Aditya Kapoor"/>
    <x v="0"/>
    <s v="Mumbai"/>
    <n v="3"/>
    <n v="11730"/>
  </r>
  <r>
    <n v="1529"/>
    <x v="353"/>
    <s v="P03"/>
    <s v="LED Monitor 24&quot;"/>
    <x v="3"/>
    <n v="7700"/>
    <s v="E06"/>
    <s v="Sneha Roy"/>
    <x v="1"/>
    <s v="Kolkata"/>
    <n v="2"/>
    <n v="15400"/>
  </r>
  <r>
    <n v="1537"/>
    <x v="354"/>
    <s v="P06"/>
    <s v="Bookshelf Unit"/>
    <x v="2"/>
    <n v="3910"/>
    <s v="E01"/>
    <s v="Aarav Sharma"/>
    <x v="3"/>
    <s v="Lucknow"/>
    <n v="3"/>
    <n v="11730"/>
  </r>
  <r>
    <n v="1547"/>
    <x v="354"/>
    <s v="P09"/>
    <s v="USB-C Hub"/>
    <x v="1"/>
    <n v="880"/>
    <s v="E04"/>
    <s v="Priya Nair"/>
    <x v="2"/>
    <s v="Bengaluru"/>
    <n v="3"/>
    <n v="2640"/>
  </r>
  <r>
    <n v="1522"/>
    <x v="355"/>
    <s v="P03"/>
    <s v="LED Monitor 24&quot;"/>
    <x v="3"/>
    <n v="7700"/>
    <s v="E07"/>
    <s v="Aditya Kapoor"/>
    <x v="0"/>
    <s v="Mumbai"/>
    <n v="2"/>
    <n v="15400"/>
  </r>
  <r>
    <n v="1534"/>
    <x v="355"/>
    <s v="P07"/>
    <s v="Filing Cabinet"/>
    <x v="2"/>
    <n v="4070"/>
    <s v="E03"/>
    <s v="Rohan Mehta"/>
    <x v="2"/>
    <s v="Bengaluru"/>
    <n v="8"/>
    <n v="32560"/>
  </r>
  <r>
    <n v="1541"/>
    <x v="355"/>
    <s v="P09"/>
    <s v="USB-C Hub"/>
    <x v="1"/>
    <n v="880"/>
    <s v="E03"/>
    <s v="Rohan Mehta"/>
    <x v="2"/>
    <s v="Bengaluru"/>
    <n v="10"/>
    <n v="8800"/>
  </r>
  <r>
    <n v="1531"/>
    <x v="356"/>
    <s v="P03"/>
    <s v="LED Monitor 24&quot;"/>
    <x v="3"/>
    <n v="7700"/>
    <s v="E01"/>
    <s v="Aarav Sharma"/>
    <x v="3"/>
    <s v="Lucknow"/>
    <n v="3"/>
    <n v="23100"/>
  </r>
  <r>
    <n v="1535"/>
    <x v="357"/>
    <s v="P06"/>
    <s v="Bookshelf Unit"/>
    <x v="2"/>
    <n v="3910"/>
    <s v="E05"/>
    <s v="Karan Malhotra"/>
    <x v="1"/>
    <s v="Kolkata"/>
    <n v="6"/>
    <n v="23460"/>
  </r>
  <r>
    <n v="1536"/>
    <x v="357"/>
    <s v="P05"/>
    <s v="Standing Desk"/>
    <x v="0"/>
    <n v="11010"/>
    <s v="E08"/>
    <s v="Neha Joshi"/>
    <x v="0"/>
    <s v="Ahmedabad"/>
    <n v="5"/>
    <n v="55050"/>
  </r>
  <r>
    <n v="1539"/>
    <x v="358"/>
    <s v="P08"/>
    <s v="Laptop Backpack"/>
    <x v="1"/>
    <n v="1110"/>
    <s v="E01"/>
    <s v="Aarav Sharma"/>
    <x v="3"/>
    <s v="Lucknow"/>
    <n v="2"/>
    <n v="2220"/>
  </r>
  <r>
    <n v="1561"/>
    <x v="359"/>
    <s v="P04"/>
    <s v="Ergo Office Chair"/>
    <x v="0"/>
    <n v="6750"/>
    <s v="E02"/>
    <s v="Ishita Verma"/>
    <x v="3"/>
    <s v="Chandigarh"/>
    <n v="2"/>
    <n v="13500"/>
  </r>
  <r>
    <n v="1562"/>
    <x v="360"/>
    <s v="P04"/>
    <s v="Ergo Office Chair"/>
    <x v="0"/>
    <n v="6750"/>
    <s v="E04"/>
    <s v="Priya Nair"/>
    <x v="2"/>
    <s v="Bengaluru"/>
    <n v="1"/>
    <n v="6750"/>
  </r>
  <r>
    <n v="1563"/>
    <x v="360"/>
    <s v="P06"/>
    <s v="Bookshelf Unit"/>
    <x v="2"/>
    <n v="3910"/>
    <s v="E07"/>
    <s v="Aditya Kapoor"/>
    <x v="0"/>
    <s v="Mumbai"/>
    <n v="5"/>
    <n v="19550"/>
  </r>
  <r>
    <n v="1560"/>
    <x v="361"/>
    <s v="P09"/>
    <s v="USB-C Hub"/>
    <x v="1"/>
    <n v="880"/>
    <s v="E05"/>
    <s v="Karan Malhotra"/>
    <x v="1"/>
    <s v="Kolkata"/>
    <n v="2"/>
    <n v="1760"/>
  </r>
  <r>
    <n v="1571"/>
    <x v="362"/>
    <s v="P07"/>
    <s v="Filing Cabinet"/>
    <x v="2"/>
    <n v="4070"/>
    <s v="E01"/>
    <s v="Aarav Sharma"/>
    <x v="3"/>
    <s v="Lucknow"/>
    <n v="5"/>
    <n v="20350"/>
  </r>
  <r>
    <n v="1559"/>
    <x v="363"/>
    <s v="P08"/>
    <s v="Laptop Backpack"/>
    <x v="1"/>
    <n v="1110"/>
    <s v="E05"/>
    <s v="Karan Malhotra"/>
    <x v="1"/>
    <s v="Kolkata"/>
    <n v="2"/>
    <n v="2220"/>
  </r>
  <r>
    <n v="1566"/>
    <x v="363"/>
    <s v="P08"/>
    <s v="Laptop Backpack"/>
    <x v="1"/>
    <n v="1110"/>
    <s v="E08"/>
    <s v="Neha Joshi"/>
    <x v="0"/>
    <s v="Ahmedabad"/>
    <n v="10"/>
    <n v="11100"/>
  </r>
  <r>
    <n v="1576"/>
    <x v="364"/>
    <s v="P08"/>
    <s v="Laptop Backpack"/>
    <x v="1"/>
    <n v="1110"/>
    <s v="E03"/>
    <s v="Rohan Mehta"/>
    <x v="2"/>
    <s v="Bengaluru"/>
    <n v="10"/>
    <n v="11100"/>
  </r>
  <r>
    <n v="1557"/>
    <x v="365"/>
    <s v="P05"/>
    <s v="Standing Desk"/>
    <x v="0"/>
    <n v="11010"/>
    <s v="E03"/>
    <s v="Rohan Mehta"/>
    <x v="2"/>
    <s v="Bengaluru"/>
    <n v="1"/>
    <n v="11010"/>
  </r>
  <r>
    <n v="1572"/>
    <x v="365"/>
    <s v="P01"/>
    <s v="Wireless Mouse"/>
    <x v="3"/>
    <n v="780"/>
    <s v="E05"/>
    <s v="Karan Malhotra"/>
    <x v="1"/>
    <s v="Kolkata"/>
    <n v="1"/>
    <n v="780"/>
  </r>
  <r>
    <n v="1553"/>
    <x v="366"/>
    <s v="P04"/>
    <s v="Ergo Office Chair"/>
    <x v="0"/>
    <n v="6750"/>
    <s v="E05"/>
    <s v="Karan Malhotra"/>
    <x v="1"/>
    <s v="Kolkata"/>
    <n v="5"/>
    <n v="33750"/>
  </r>
  <r>
    <n v="1575"/>
    <x v="366"/>
    <s v="P04"/>
    <s v="Ergo Office Chair"/>
    <x v="0"/>
    <n v="6750"/>
    <s v="E05"/>
    <s v="Karan Malhotra"/>
    <x v="1"/>
    <s v="Kolkata"/>
    <n v="1"/>
    <n v="6750"/>
  </r>
  <r>
    <n v="1573"/>
    <x v="367"/>
    <s v="P06"/>
    <s v="Bookshelf Unit"/>
    <x v="2"/>
    <n v="3910"/>
    <s v="E02"/>
    <s v="Ishita Verma"/>
    <x v="3"/>
    <s v="Chandigarh"/>
    <n v="2"/>
    <n v="7820"/>
  </r>
  <r>
    <n v="1574"/>
    <x v="367"/>
    <s v="P03"/>
    <s v="LED Monitor 24&quot;"/>
    <x v="3"/>
    <n v="7700"/>
    <s v="E08"/>
    <s v="Neha Joshi"/>
    <x v="0"/>
    <s v="Ahmedabad"/>
    <n v="6"/>
    <n v="46200"/>
  </r>
  <r>
    <n v="1550"/>
    <x v="368"/>
    <s v="P05"/>
    <s v="Standing Desk"/>
    <x v="0"/>
    <n v="11010"/>
    <s v="E06"/>
    <s v="Sneha Roy"/>
    <x v="1"/>
    <s v="Kolkata"/>
    <n v="8"/>
    <n v="88080"/>
  </r>
  <r>
    <n v="1549"/>
    <x v="369"/>
    <s v="P09"/>
    <s v="USB-C Hub"/>
    <x v="1"/>
    <n v="880"/>
    <s v="E08"/>
    <s v="Neha Joshi"/>
    <x v="0"/>
    <s v="Ahmedabad"/>
    <n v="3"/>
    <n v="2640"/>
  </r>
  <r>
    <n v="1551"/>
    <x v="369"/>
    <s v="P04"/>
    <s v="Ergo Office Chair"/>
    <x v="0"/>
    <n v="6750"/>
    <s v="E04"/>
    <s v="Priya Nair"/>
    <x v="2"/>
    <s v="Bengaluru"/>
    <n v="2"/>
    <n v="13500"/>
  </r>
  <r>
    <n v="1555"/>
    <x v="370"/>
    <s v="P05"/>
    <s v="Standing Desk"/>
    <x v="0"/>
    <n v="11010"/>
    <s v="E05"/>
    <s v="Karan Malhotra"/>
    <x v="1"/>
    <s v="Kolkata"/>
    <n v="1"/>
    <n v="11010"/>
  </r>
  <r>
    <n v="1568"/>
    <x v="370"/>
    <s v="P02"/>
    <s v="Bluetooth Speaker"/>
    <x v="3"/>
    <n v="1430"/>
    <s v="E01"/>
    <s v="Aarav Sharma"/>
    <x v="3"/>
    <s v="Lucknow"/>
    <n v="10"/>
    <n v="14300"/>
  </r>
  <r>
    <n v="1558"/>
    <x v="371"/>
    <s v="P06"/>
    <s v="Bookshelf Unit"/>
    <x v="2"/>
    <n v="3910"/>
    <s v="E02"/>
    <s v="Ishita Verma"/>
    <x v="3"/>
    <s v="Chandigarh"/>
    <n v="5"/>
    <n v="19550"/>
  </r>
  <r>
    <n v="1567"/>
    <x v="371"/>
    <s v="P06"/>
    <s v="Bookshelf Unit"/>
    <x v="2"/>
    <n v="3910"/>
    <s v="E05"/>
    <s v="Karan Malhotra"/>
    <x v="1"/>
    <s v="Kolkata"/>
    <n v="2"/>
    <n v="7820"/>
  </r>
  <r>
    <n v="1552"/>
    <x v="372"/>
    <s v="P04"/>
    <s v="Ergo Office Chair"/>
    <x v="0"/>
    <n v="6750"/>
    <s v="E05"/>
    <s v="Karan Malhotra"/>
    <x v="1"/>
    <s v="Kolkata"/>
    <n v="2"/>
    <n v="13500"/>
  </r>
  <r>
    <n v="1577"/>
    <x v="373"/>
    <s v="P01"/>
    <s v="Wireless Mouse"/>
    <x v="3"/>
    <n v="780"/>
    <s v="E03"/>
    <s v="Rohan Mehta"/>
    <x v="2"/>
    <s v="Bengaluru"/>
    <n v="3"/>
    <n v="2340"/>
  </r>
  <r>
    <n v="1554"/>
    <x v="374"/>
    <s v="P06"/>
    <s v="Bookshelf Unit"/>
    <x v="2"/>
    <n v="3910"/>
    <s v="E08"/>
    <s v="Neha Joshi"/>
    <x v="0"/>
    <s v="Ahmedabad"/>
    <n v="6"/>
    <n v="23460"/>
  </r>
  <r>
    <n v="1564"/>
    <x v="374"/>
    <s v="P01"/>
    <s v="Wireless Mouse"/>
    <x v="3"/>
    <n v="780"/>
    <s v="E03"/>
    <s v="Rohan Mehta"/>
    <x v="2"/>
    <s v="Bengaluru"/>
    <n v="6"/>
    <n v="4680"/>
  </r>
  <r>
    <n v="1565"/>
    <x v="374"/>
    <s v="P07"/>
    <s v="Filing Cabinet"/>
    <x v="2"/>
    <n v="4070"/>
    <s v="E03"/>
    <s v="Rohan Mehta"/>
    <x v="2"/>
    <s v="Bengaluru"/>
    <n v="10"/>
    <n v="40700"/>
  </r>
  <r>
    <n v="1569"/>
    <x v="374"/>
    <s v="P09"/>
    <s v="USB-C Hub"/>
    <x v="1"/>
    <n v="880"/>
    <s v="E04"/>
    <s v="Priya Nair"/>
    <x v="2"/>
    <s v="Bengaluru"/>
    <n v="1"/>
    <n v="880"/>
  </r>
  <r>
    <n v="1570"/>
    <x v="374"/>
    <s v="P07"/>
    <s v="Filing Cabinet"/>
    <x v="2"/>
    <n v="4070"/>
    <s v="E03"/>
    <s v="Rohan Mehta"/>
    <x v="2"/>
    <s v="Bengaluru"/>
    <n v="1"/>
    <n v="4070"/>
  </r>
  <r>
    <n v="1556"/>
    <x v="375"/>
    <s v="P07"/>
    <s v="Filing Cabinet"/>
    <x v="2"/>
    <n v="4070"/>
    <s v="E07"/>
    <s v="Aditya Kapoor"/>
    <x v="0"/>
    <s v="Mumbai"/>
    <n v="3"/>
    <n v="12210"/>
  </r>
  <r>
    <n v="1600"/>
    <x v="376"/>
    <s v="P08"/>
    <s v="Laptop Backpack"/>
    <x v="1"/>
    <n v="1110"/>
    <s v="E07"/>
    <s v="Aditya Kapoor"/>
    <x v="0"/>
    <s v="Mumbai"/>
    <n v="8"/>
    <n v="8880"/>
  </r>
  <r>
    <n v="1580"/>
    <x v="377"/>
    <s v="P07"/>
    <s v="Filing Cabinet"/>
    <x v="2"/>
    <n v="4070"/>
    <s v="E02"/>
    <s v="Ishita Verma"/>
    <x v="3"/>
    <s v="Chandigarh"/>
    <n v="10"/>
    <n v="40700"/>
  </r>
  <r>
    <n v="1594"/>
    <x v="377"/>
    <s v="P02"/>
    <s v="Bluetooth Speaker"/>
    <x v="3"/>
    <n v="1430"/>
    <s v="E06"/>
    <s v="Sneha Roy"/>
    <x v="1"/>
    <s v="Kolkata"/>
    <n v="8"/>
    <n v="11440"/>
  </r>
  <r>
    <n v="1586"/>
    <x v="378"/>
    <s v="P08"/>
    <s v="Laptop Backpack"/>
    <x v="1"/>
    <n v="1110"/>
    <s v="E02"/>
    <s v="Ishita Verma"/>
    <x v="3"/>
    <s v="Chandigarh"/>
    <n v="2"/>
    <n v="2220"/>
  </r>
  <r>
    <n v="1609"/>
    <x v="378"/>
    <s v="P06"/>
    <s v="Bookshelf Unit"/>
    <x v="2"/>
    <n v="3910"/>
    <s v="E03"/>
    <s v="Rohan Mehta"/>
    <x v="2"/>
    <s v="Bengaluru"/>
    <n v="1"/>
    <n v="3910"/>
  </r>
  <r>
    <n v="1595"/>
    <x v="379"/>
    <s v="P09"/>
    <s v="USB-C Hub"/>
    <x v="1"/>
    <n v="880"/>
    <s v="E01"/>
    <s v="Aarav Sharma"/>
    <x v="3"/>
    <s v="Lucknow"/>
    <n v="6"/>
    <n v="5280"/>
  </r>
  <r>
    <n v="1597"/>
    <x v="379"/>
    <s v="P02"/>
    <s v="Bluetooth Speaker"/>
    <x v="3"/>
    <n v="1430"/>
    <s v="E08"/>
    <s v="Neha Joshi"/>
    <x v="0"/>
    <s v="Ahmedabad"/>
    <n v="10"/>
    <n v="14300"/>
  </r>
  <r>
    <n v="1605"/>
    <x v="380"/>
    <s v="P08"/>
    <s v="Laptop Backpack"/>
    <x v="1"/>
    <n v="1110"/>
    <s v="E02"/>
    <s v="Ishita Verma"/>
    <x v="3"/>
    <s v="Chandigarh"/>
    <n v="1"/>
    <n v="1110"/>
  </r>
  <r>
    <n v="1579"/>
    <x v="381"/>
    <s v="P07"/>
    <s v="Filing Cabinet"/>
    <x v="2"/>
    <n v="4070"/>
    <s v="E07"/>
    <s v="Aditya Kapoor"/>
    <x v="0"/>
    <s v="Mumbai"/>
    <n v="6"/>
    <n v="24420"/>
  </r>
  <r>
    <n v="1581"/>
    <x v="381"/>
    <s v="P03"/>
    <s v="LED Monitor 24&quot;"/>
    <x v="3"/>
    <n v="7700"/>
    <s v="E03"/>
    <s v="Rohan Mehta"/>
    <x v="2"/>
    <s v="Bengaluru"/>
    <n v="5"/>
    <n v="38500"/>
  </r>
  <r>
    <n v="1583"/>
    <x v="381"/>
    <s v="P08"/>
    <s v="Laptop Backpack"/>
    <x v="1"/>
    <n v="1110"/>
    <s v="E04"/>
    <s v="Priya Nair"/>
    <x v="2"/>
    <s v="Bengaluru"/>
    <n v="2"/>
    <n v="2220"/>
  </r>
  <r>
    <n v="1590"/>
    <x v="382"/>
    <s v="P08"/>
    <s v="Laptop Backpack"/>
    <x v="1"/>
    <n v="1110"/>
    <s v="E03"/>
    <s v="Rohan Mehta"/>
    <x v="2"/>
    <s v="Bengaluru"/>
    <n v="8"/>
    <n v="8880"/>
  </r>
  <r>
    <n v="1603"/>
    <x v="382"/>
    <s v="P01"/>
    <s v="Wireless Mouse"/>
    <x v="3"/>
    <n v="780"/>
    <s v="E02"/>
    <s v="Ishita Verma"/>
    <x v="3"/>
    <s v="Chandigarh"/>
    <n v="4"/>
    <n v="3120"/>
  </r>
  <r>
    <n v="1582"/>
    <x v="383"/>
    <s v="P01"/>
    <s v="Wireless Mouse"/>
    <x v="3"/>
    <n v="780"/>
    <s v="E04"/>
    <s v="Priya Nair"/>
    <x v="2"/>
    <s v="Bengaluru"/>
    <n v="2"/>
    <n v="1560"/>
  </r>
  <r>
    <n v="1601"/>
    <x v="383"/>
    <s v="P05"/>
    <s v="Standing Desk"/>
    <x v="0"/>
    <n v="11010"/>
    <s v="E08"/>
    <s v="Neha Joshi"/>
    <x v="0"/>
    <s v="Ahmedabad"/>
    <n v="1"/>
    <n v="11010"/>
  </r>
  <r>
    <n v="1598"/>
    <x v="384"/>
    <s v="P02"/>
    <s v="Bluetooth Speaker"/>
    <x v="3"/>
    <n v="1430"/>
    <s v="E08"/>
    <s v="Neha Joshi"/>
    <x v="0"/>
    <s v="Ahmedabad"/>
    <n v="6"/>
    <n v="8580"/>
  </r>
  <r>
    <n v="1607"/>
    <x v="384"/>
    <s v="P06"/>
    <s v="Bookshelf Unit"/>
    <x v="2"/>
    <n v="3910"/>
    <s v="E07"/>
    <s v="Aditya Kapoor"/>
    <x v="0"/>
    <s v="Mumbai"/>
    <n v="4"/>
    <n v="15640"/>
  </r>
  <r>
    <n v="1589"/>
    <x v="385"/>
    <s v="P04"/>
    <s v="Ergo Office Chair"/>
    <x v="0"/>
    <n v="6750"/>
    <s v="E04"/>
    <s v="Priya Nair"/>
    <x v="2"/>
    <s v="Bengaluru"/>
    <n v="1"/>
    <n v="6750"/>
  </r>
  <r>
    <n v="1593"/>
    <x v="386"/>
    <s v="P09"/>
    <s v="USB-C Hub"/>
    <x v="1"/>
    <n v="880"/>
    <s v="E02"/>
    <s v="Ishita Verma"/>
    <x v="3"/>
    <s v="Chandigarh"/>
    <n v="5"/>
    <n v="4400"/>
  </r>
  <r>
    <n v="1599"/>
    <x v="386"/>
    <s v="P08"/>
    <s v="Laptop Backpack"/>
    <x v="1"/>
    <n v="1110"/>
    <s v="E01"/>
    <s v="Aarav Sharma"/>
    <x v="3"/>
    <s v="Lucknow"/>
    <n v="1"/>
    <n v="1110"/>
  </r>
  <r>
    <n v="1602"/>
    <x v="387"/>
    <s v="P01"/>
    <s v="Wireless Mouse"/>
    <x v="3"/>
    <n v="780"/>
    <s v="E05"/>
    <s v="Karan Malhotra"/>
    <x v="1"/>
    <s v="Kolkata"/>
    <n v="2"/>
    <n v="1560"/>
  </r>
  <r>
    <n v="1588"/>
    <x v="388"/>
    <s v="P05"/>
    <s v="Standing Desk"/>
    <x v="0"/>
    <n v="11010"/>
    <s v="E02"/>
    <s v="Ishita Verma"/>
    <x v="3"/>
    <s v="Chandigarh"/>
    <n v="3"/>
    <n v="33030"/>
  </r>
  <r>
    <n v="1584"/>
    <x v="389"/>
    <s v="P01"/>
    <s v="Wireless Mouse"/>
    <x v="3"/>
    <n v="780"/>
    <s v="E05"/>
    <s v="Karan Malhotra"/>
    <x v="1"/>
    <s v="Kolkata"/>
    <n v="2"/>
    <n v="1560"/>
  </r>
  <r>
    <n v="1585"/>
    <x v="390"/>
    <s v="P04"/>
    <s v="Ergo Office Chair"/>
    <x v="0"/>
    <n v="6750"/>
    <s v="E06"/>
    <s v="Sneha Roy"/>
    <x v="1"/>
    <s v="Kolkata"/>
    <n v="1"/>
    <n v="6750"/>
  </r>
  <r>
    <n v="1608"/>
    <x v="390"/>
    <s v="P07"/>
    <s v="Filing Cabinet"/>
    <x v="2"/>
    <n v="4070"/>
    <s v="E07"/>
    <s v="Aditya Kapoor"/>
    <x v="0"/>
    <s v="Mumbai"/>
    <n v="1"/>
    <n v="4070"/>
  </r>
  <r>
    <n v="1587"/>
    <x v="391"/>
    <s v="P09"/>
    <s v="USB-C Hub"/>
    <x v="1"/>
    <n v="880"/>
    <s v="E07"/>
    <s v="Aditya Kapoor"/>
    <x v="0"/>
    <s v="Mumbai"/>
    <n v="2"/>
    <n v="1760"/>
  </r>
  <r>
    <n v="1591"/>
    <x v="392"/>
    <s v="P09"/>
    <s v="USB-C Hub"/>
    <x v="1"/>
    <n v="880"/>
    <s v="E07"/>
    <s v="Aditya Kapoor"/>
    <x v="0"/>
    <s v="Mumbai"/>
    <n v="5"/>
    <n v="4400"/>
  </r>
  <r>
    <n v="1592"/>
    <x v="392"/>
    <s v="P04"/>
    <s v="Ergo Office Chair"/>
    <x v="0"/>
    <n v="6750"/>
    <s v="E04"/>
    <s v="Priya Nair"/>
    <x v="2"/>
    <s v="Bengaluru"/>
    <n v="10"/>
    <n v="67500"/>
  </r>
  <r>
    <n v="1606"/>
    <x v="392"/>
    <s v="P03"/>
    <s v="LED Monitor 24&quot;"/>
    <x v="3"/>
    <n v="7700"/>
    <s v="E07"/>
    <s v="Aditya Kapoor"/>
    <x v="0"/>
    <s v="Mumbai"/>
    <n v="1"/>
    <n v="7700"/>
  </r>
  <r>
    <n v="1578"/>
    <x v="393"/>
    <s v="P03"/>
    <s v="LED Monitor 24&quot;"/>
    <x v="3"/>
    <n v="7700"/>
    <s v="E04"/>
    <s v="Priya Nair"/>
    <x v="2"/>
    <s v="Bengaluru"/>
    <n v="8"/>
    <n v="61600"/>
  </r>
  <r>
    <n v="1596"/>
    <x v="393"/>
    <s v="P03"/>
    <s v="LED Monitor 24&quot;"/>
    <x v="3"/>
    <n v="7700"/>
    <s v="E03"/>
    <s v="Rohan Mehta"/>
    <x v="2"/>
    <s v="Bengaluru"/>
    <n v="3"/>
    <n v="23100"/>
  </r>
  <r>
    <n v="1604"/>
    <x v="394"/>
    <s v="P09"/>
    <s v="USB-C Hub"/>
    <x v="1"/>
    <n v="880"/>
    <s v="E02"/>
    <s v="Ishita Verma"/>
    <x v="3"/>
    <s v="Chandigarh"/>
    <n v="1"/>
    <n v="880"/>
  </r>
  <r>
    <n v="1616"/>
    <x v="395"/>
    <s v="P04"/>
    <s v="Ergo Office Chair"/>
    <x v="0"/>
    <n v="6750"/>
    <s v="E01"/>
    <s v="Aarav Sharma"/>
    <x v="3"/>
    <s v="Lucknow"/>
    <n v="2"/>
    <n v="13500"/>
  </r>
  <r>
    <n v="1634"/>
    <x v="395"/>
    <s v="P06"/>
    <s v="Bookshelf Unit"/>
    <x v="2"/>
    <n v="3910"/>
    <s v="E04"/>
    <s v="Priya Nair"/>
    <x v="2"/>
    <s v="Bengaluru"/>
    <n v="10"/>
    <n v="39100"/>
  </r>
  <r>
    <n v="1614"/>
    <x v="396"/>
    <s v="P03"/>
    <s v="LED Monitor 24&quot;"/>
    <x v="3"/>
    <n v="7700"/>
    <s v="E06"/>
    <s v="Sneha Roy"/>
    <x v="1"/>
    <s v="Kolkata"/>
    <n v="2"/>
    <n v="15400"/>
  </r>
  <r>
    <n v="1619"/>
    <x v="396"/>
    <s v="P04"/>
    <s v="Ergo Office Chair"/>
    <x v="0"/>
    <n v="6750"/>
    <s v="E08"/>
    <s v="Neha Joshi"/>
    <x v="0"/>
    <s v="Ahmedabad"/>
    <n v="6"/>
    <n v="40500"/>
  </r>
  <r>
    <n v="1639"/>
    <x v="396"/>
    <s v="P05"/>
    <s v="Standing Desk"/>
    <x v="0"/>
    <n v="11010"/>
    <s v="E06"/>
    <s v="Sneha Roy"/>
    <x v="1"/>
    <s v="Kolkata"/>
    <n v="1"/>
    <n v="11010"/>
  </r>
  <r>
    <n v="1649"/>
    <x v="396"/>
    <s v="P05"/>
    <s v="Standing Desk"/>
    <x v="0"/>
    <n v="11010"/>
    <s v="E07"/>
    <s v="Aditya Kapoor"/>
    <x v="0"/>
    <s v="Mumbai"/>
    <n v="1"/>
    <n v="11010"/>
  </r>
  <r>
    <n v="1633"/>
    <x v="397"/>
    <s v="P07"/>
    <s v="Filing Cabinet"/>
    <x v="2"/>
    <n v="4070"/>
    <s v="E03"/>
    <s v="Rohan Mehta"/>
    <x v="2"/>
    <s v="Bengaluru"/>
    <n v="2"/>
    <n v="8140"/>
  </r>
  <r>
    <n v="1648"/>
    <x v="397"/>
    <s v="P03"/>
    <s v="LED Monitor 24&quot;"/>
    <x v="3"/>
    <n v="7700"/>
    <s v="E04"/>
    <s v="Priya Nair"/>
    <x v="2"/>
    <s v="Bengaluru"/>
    <n v="1"/>
    <n v="7700"/>
  </r>
  <r>
    <n v="1611"/>
    <x v="398"/>
    <s v="P01"/>
    <s v="Wireless Mouse"/>
    <x v="3"/>
    <n v="780"/>
    <s v="E04"/>
    <s v="Priya Nair"/>
    <x v="2"/>
    <s v="Bengaluru"/>
    <n v="1"/>
    <n v="780"/>
  </r>
  <r>
    <n v="1620"/>
    <x v="398"/>
    <s v="P03"/>
    <s v="LED Monitor 24&quot;"/>
    <x v="3"/>
    <n v="7700"/>
    <s v="E01"/>
    <s v="Aarav Sharma"/>
    <x v="3"/>
    <s v="Lucknow"/>
    <n v="6"/>
    <n v="46200"/>
  </r>
  <r>
    <n v="1628"/>
    <x v="398"/>
    <s v="P07"/>
    <s v="Filing Cabinet"/>
    <x v="2"/>
    <n v="4070"/>
    <s v="E07"/>
    <s v="Aditya Kapoor"/>
    <x v="0"/>
    <s v="Mumbai"/>
    <n v="1"/>
    <n v="4070"/>
  </r>
  <r>
    <n v="1644"/>
    <x v="399"/>
    <s v="P05"/>
    <s v="Standing Desk"/>
    <x v="0"/>
    <n v="11010"/>
    <s v="E06"/>
    <s v="Sneha Roy"/>
    <x v="1"/>
    <s v="Kolkata"/>
    <n v="2"/>
    <n v="22020"/>
  </r>
  <r>
    <n v="1646"/>
    <x v="399"/>
    <s v="P06"/>
    <s v="Bookshelf Unit"/>
    <x v="2"/>
    <n v="3910"/>
    <s v="E08"/>
    <s v="Neha Joshi"/>
    <x v="0"/>
    <s v="Ahmedabad"/>
    <n v="2"/>
    <n v="7820"/>
  </r>
  <r>
    <n v="1618"/>
    <x v="400"/>
    <s v="P04"/>
    <s v="Ergo Office Chair"/>
    <x v="0"/>
    <n v="6750"/>
    <s v="E01"/>
    <s v="Aarav Sharma"/>
    <x v="3"/>
    <s v="Lucknow"/>
    <n v="1"/>
    <n v="6750"/>
  </r>
  <r>
    <n v="1636"/>
    <x v="400"/>
    <s v="P01"/>
    <s v="Wireless Mouse"/>
    <x v="3"/>
    <n v="780"/>
    <s v="E04"/>
    <s v="Priya Nair"/>
    <x v="2"/>
    <s v="Bengaluru"/>
    <n v="2"/>
    <n v="1560"/>
  </r>
  <r>
    <n v="1615"/>
    <x v="401"/>
    <s v="P01"/>
    <s v="Wireless Mouse"/>
    <x v="3"/>
    <n v="780"/>
    <s v="E02"/>
    <s v="Ishita Verma"/>
    <x v="3"/>
    <s v="Chandigarh"/>
    <n v="10"/>
    <n v="7800"/>
  </r>
  <r>
    <n v="1623"/>
    <x v="401"/>
    <s v="P09"/>
    <s v="USB-C Hub"/>
    <x v="1"/>
    <n v="880"/>
    <s v="E03"/>
    <s v="Rohan Mehta"/>
    <x v="2"/>
    <s v="Bengaluru"/>
    <n v="2"/>
    <n v="1760"/>
  </r>
  <r>
    <n v="1657"/>
    <x v="401"/>
    <s v="P01"/>
    <s v="Wireless Mouse"/>
    <x v="3"/>
    <n v="780"/>
    <s v="E02"/>
    <s v="Ishita Verma"/>
    <x v="3"/>
    <s v="Chandigarh"/>
    <n v="1"/>
    <n v="780"/>
  </r>
  <r>
    <n v="1613"/>
    <x v="402"/>
    <s v="P04"/>
    <s v="Ergo Office Chair"/>
    <x v="0"/>
    <n v="6750"/>
    <s v="E07"/>
    <s v="Aditya Kapoor"/>
    <x v="0"/>
    <s v="Mumbai"/>
    <n v="2"/>
    <n v="13500"/>
  </r>
  <r>
    <n v="1625"/>
    <x v="403"/>
    <s v="P07"/>
    <s v="Filing Cabinet"/>
    <x v="2"/>
    <n v="4070"/>
    <s v="E03"/>
    <s v="Rohan Mehta"/>
    <x v="2"/>
    <s v="Bengaluru"/>
    <n v="6"/>
    <n v="24420"/>
  </r>
  <r>
    <n v="1629"/>
    <x v="403"/>
    <s v="P03"/>
    <s v="LED Monitor 24&quot;"/>
    <x v="3"/>
    <n v="7700"/>
    <s v="E07"/>
    <s v="Aditya Kapoor"/>
    <x v="0"/>
    <s v="Mumbai"/>
    <n v="6"/>
    <n v="46200"/>
  </r>
  <r>
    <n v="1632"/>
    <x v="404"/>
    <s v="P07"/>
    <s v="Filing Cabinet"/>
    <x v="2"/>
    <n v="4070"/>
    <s v="E07"/>
    <s v="Aditya Kapoor"/>
    <x v="0"/>
    <s v="Mumbai"/>
    <n v="6"/>
    <n v="24420"/>
  </r>
  <r>
    <n v="1659"/>
    <x v="404"/>
    <s v="P01"/>
    <s v="Wireless Mouse"/>
    <x v="3"/>
    <n v="780"/>
    <s v="E03"/>
    <s v="Rohan Mehta"/>
    <x v="2"/>
    <s v="Bengaluru"/>
    <n v="2"/>
    <n v="1560"/>
  </r>
  <r>
    <n v="1612"/>
    <x v="405"/>
    <s v="P09"/>
    <s v="USB-C Hub"/>
    <x v="1"/>
    <n v="880"/>
    <s v="E08"/>
    <s v="Neha Joshi"/>
    <x v="0"/>
    <s v="Ahmedabad"/>
    <n v="4"/>
    <n v="3520"/>
  </r>
  <r>
    <n v="1624"/>
    <x v="405"/>
    <s v="P05"/>
    <s v="Standing Desk"/>
    <x v="0"/>
    <n v="11010"/>
    <s v="E05"/>
    <s v="Karan Malhotra"/>
    <x v="1"/>
    <s v="Kolkata"/>
    <n v="1"/>
    <n v="11010"/>
  </r>
  <r>
    <n v="1631"/>
    <x v="405"/>
    <s v="P08"/>
    <s v="Laptop Backpack"/>
    <x v="1"/>
    <n v="1110"/>
    <s v="E03"/>
    <s v="Rohan Mehta"/>
    <x v="2"/>
    <s v="Bengaluru"/>
    <n v="1"/>
    <n v="1110"/>
  </r>
  <r>
    <n v="1635"/>
    <x v="405"/>
    <s v="P06"/>
    <s v="Bookshelf Unit"/>
    <x v="2"/>
    <n v="3910"/>
    <s v="E08"/>
    <s v="Neha Joshi"/>
    <x v="0"/>
    <s v="Ahmedabad"/>
    <n v="1"/>
    <n v="3910"/>
  </r>
  <r>
    <n v="1643"/>
    <x v="405"/>
    <s v="P07"/>
    <s v="Filing Cabinet"/>
    <x v="2"/>
    <n v="4070"/>
    <s v="E05"/>
    <s v="Karan Malhotra"/>
    <x v="1"/>
    <s v="Kolkata"/>
    <n v="5"/>
    <n v="20350"/>
  </r>
  <r>
    <n v="1647"/>
    <x v="406"/>
    <s v="P07"/>
    <s v="Filing Cabinet"/>
    <x v="2"/>
    <n v="4070"/>
    <s v="E06"/>
    <s v="Sneha Roy"/>
    <x v="1"/>
    <s v="Kolkata"/>
    <n v="1"/>
    <n v="4070"/>
  </r>
  <r>
    <n v="1650"/>
    <x v="406"/>
    <s v="P04"/>
    <s v="Ergo Office Chair"/>
    <x v="0"/>
    <n v="6750"/>
    <s v="E06"/>
    <s v="Sneha Roy"/>
    <x v="1"/>
    <s v="Kolkata"/>
    <n v="4"/>
    <n v="27000"/>
  </r>
  <r>
    <n v="1617"/>
    <x v="407"/>
    <s v="P01"/>
    <s v="Wireless Mouse"/>
    <x v="3"/>
    <n v="780"/>
    <s v="E02"/>
    <s v="Ishita Verma"/>
    <x v="3"/>
    <s v="Chandigarh"/>
    <n v="5"/>
    <n v="3900"/>
  </r>
  <r>
    <n v="1621"/>
    <x v="407"/>
    <s v="P06"/>
    <s v="Bookshelf Unit"/>
    <x v="2"/>
    <n v="3910"/>
    <s v="E04"/>
    <s v="Priya Nair"/>
    <x v="2"/>
    <s v="Bengaluru"/>
    <n v="8"/>
    <n v="31280"/>
  </r>
  <r>
    <n v="1651"/>
    <x v="408"/>
    <s v="P08"/>
    <s v="Laptop Backpack"/>
    <x v="1"/>
    <n v="1110"/>
    <s v="E04"/>
    <s v="Priya Nair"/>
    <x v="2"/>
    <s v="Bengaluru"/>
    <n v="6"/>
    <n v="6660"/>
  </r>
  <r>
    <n v="1655"/>
    <x v="408"/>
    <s v="P03"/>
    <s v="LED Monitor 24&quot;"/>
    <x v="3"/>
    <n v="7700"/>
    <s v="E08"/>
    <s v="Neha Joshi"/>
    <x v="0"/>
    <s v="Ahmedabad"/>
    <n v="6"/>
    <n v="46200"/>
  </r>
  <r>
    <n v="1626"/>
    <x v="409"/>
    <s v="P06"/>
    <s v="Bookshelf Unit"/>
    <x v="2"/>
    <n v="3910"/>
    <s v="E01"/>
    <s v="Aarav Sharma"/>
    <x v="3"/>
    <s v="Lucknow"/>
    <n v="10"/>
    <n v="39100"/>
  </r>
  <r>
    <n v="1627"/>
    <x v="410"/>
    <s v="P09"/>
    <s v="USB-C Hub"/>
    <x v="1"/>
    <n v="880"/>
    <s v="E07"/>
    <s v="Aditya Kapoor"/>
    <x v="0"/>
    <s v="Mumbai"/>
    <n v="3"/>
    <n v="2640"/>
  </r>
  <r>
    <n v="1658"/>
    <x v="410"/>
    <s v="P04"/>
    <s v="Ergo Office Chair"/>
    <x v="0"/>
    <n v="6750"/>
    <s v="E03"/>
    <s v="Rohan Mehta"/>
    <x v="2"/>
    <s v="Bengaluru"/>
    <n v="1"/>
    <n v="6750"/>
  </r>
  <r>
    <n v="1610"/>
    <x v="411"/>
    <s v="P09"/>
    <s v="USB-C Hub"/>
    <x v="1"/>
    <n v="880"/>
    <s v="E07"/>
    <s v="Aditya Kapoor"/>
    <x v="0"/>
    <s v="Mumbai"/>
    <n v="1"/>
    <n v="880"/>
  </r>
  <r>
    <n v="1653"/>
    <x v="411"/>
    <s v="P08"/>
    <s v="Laptop Backpack"/>
    <x v="1"/>
    <n v="1110"/>
    <s v="E08"/>
    <s v="Neha Joshi"/>
    <x v="0"/>
    <s v="Ahmedabad"/>
    <n v="1"/>
    <n v="1110"/>
  </r>
  <r>
    <n v="1654"/>
    <x v="411"/>
    <s v="P03"/>
    <s v="LED Monitor 24&quot;"/>
    <x v="3"/>
    <n v="7700"/>
    <s v="E06"/>
    <s v="Sneha Roy"/>
    <x v="1"/>
    <s v="Kolkata"/>
    <n v="1"/>
    <n v="7700"/>
  </r>
  <r>
    <n v="1642"/>
    <x v="412"/>
    <s v="P09"/>
    <s v="USB-C Hub"/>
    <x v="1"/>
    <n v="880"/>
    <s v="E04"/>
    <s v="Priya Nair"/>
    <x v="2"/>
    <s v="Bengaluru"/>
    <n v="3"/>
    <n v="2640"/>
  </r>
  <r>
    <n v="1637"/>
    <x v="413"/>
    <s v="P02"/>
    <s v="Bluetooth Speaker"/>
    <x v="3"/>
    <n v="1430"/>
    <s v="E01"/>
    <s v="Aarav Sharma"/>
    <x v="3"/>
    <s v="Lucknow"/>
    <n v="2"/>
    <n v="2860"/>
  </r>
  <r>
    <n v="1645"/>
    <x v="413"/>
    <s v="P08"/>
    <s v="Laptop Backpack"/>
    <x v="1"/>
    <n v="1110"/>
    <s v="E08"/>
    <s v="Neha Joshi"/>
    <x v="0"/>
    <s v="Ahmedabad"/>
    <n v="1"/>
    <n v="1110"/>
  </r>
  <r>
    <n v="1656"/>
    <x v="414"/>
    <s v="P09"/>
    <s v="USB-C Hub"/>
    <x v="1"/>
    <n v="880"/>
    <s v="E01"/>
    <s v="Aarav Sharma"/>
    <x v="3"/>
    <s v="Lucknow"/>
    <n v="1"/>
    <n v="880"/>
  </r>
  <r>
    <n v="1630"/>
    <x v="415"/>
    <s v="P04"/>
    <s v="Ergo Office Chair"/>
    <x v="0"/>
    <n v="6750"/>
    <s v="E04"/>
    <s v="Priya Nair"/>
    <x v="2"/>
    <s v="Bengaluru"/>
    <n v="2"/>
    <n v="13500"/>
  </r>
  <r>
    <n v="1638"/>
    <x v="415"/>
    <s v="P08"/>
    <s v="Laptop Backpack"/>
    <x v="1"/>
    <n v="1110"/>
    <s v="E04"/>
    <s v="Priya Nair"/>
    <x v="2"/>
    <s v="Bengaluru"/>
    <n v="2"/>
    <n v="2220"/>
  </r>
  <r>
    <n v="1622"/>
    <x v="416"/>
    <s v="P04"/>
    <s v="Ergo Office Chair"/>
    <x v="0"/>
    <n v="6750"/>
    <s v="E06"/>
    <s v="Sneha Roy"/>
    <x v="1"/>
    <s v="Kolkata"/>
    <n v="2"/>
    <n v="13500"/>
  </r>
  <r>
    <n v="1640"/>
    <x v="417"/>
    <s v="P02"/>
    <s v="Bluetooth Speaker"/>
    <x v="3"/>
    <n v="1430"/>
    <s v="E04"/>
    <s v="Priya Nair"/>
    <x v="2"/>
    <s v="Bengaluru"/>
    <n v="5"/>
    <n v="7150"/>
  </r>
  <r>
    <n v="1641"/>
    <x v="417"/>
    <s v="P04"/>
    <s v="Ergo Office Chair"/>
    <x v="0"/>
    <n v="6750"/>
    <s v="E04"/>
    <s v="Priya Nair"/>
    <x v="2"/>
    <s v="Bengaluru"/>
    <n v="4"/>
    <n v="27000"/>
  </r>
  <r>
    <n v="1652"/>
    <x v="418"/>
    <s v="P05"/>
    <s v="Standing Desk"/>
    <x v="0"/>
    <n v="11010"/>
    <s v="E06"/>
    <s v="Sneha Roy"/>
    <x v="1"/>
    <s v="Kolkata"/>
    <n v="5"/>
    <n v="55050"/>
  </r>
  <r>
    <n v="1661"/>
    <x v="419"/>
    <s v="P08"/>
    <s v="Laptop Backpack"/>
    <x v="1"/>
    <n v="1110"/>
    <s v="E08"/>
    <s v="Neha Joshi"/>
    <x v="0"/>
    <s v="Ahmedabad"/>
    <n v="1"/>
    <n v="1110"/>
  </r>
  <r>
    <n v="1663"/>
    <x v="419"/>
    <s v="P09"/>
    <s v="USB-C Hub"/>
    <x v="1"/>
    <n v="880"/>
    <s v="E05"/>
    <s v="Karan Malhotra"/>
    <x v="1"/>
    <s v="Kolkata"/>
    <n v="2"/>
    <n v="1760"/>
  </r>
  <r>
    <n v="1678"/>
    <x v="419"/>
    <s v="P03"/>
    <s v="LED Monitor 24&quot;"/>
    <x v="3"/>
    <n v="7700"/>
    <s v="E01"/>
    <s v="Aarav Sharma"/>
    <x v="3"/>
    <s v="Lucknow"/>
    <n v="3"/>
    <n v="23100"/>
  </r>
  <r>
    <n v="1683"/>
    <x v="420"/>
    <s v="P09"/>
    <s v="USB-C Hub"/>
    <x v="1"/>
    <n v="880"/>
    <s v="E02"/>
    <s v="Ishita Verma"/>
    <x v="3"/>
    <s v="Chandigarh"/>
    <n v="3"/>
    <n v="2640"/>
  </r>
  <r>
    <n v="1667"/>
    <x v="421"/>
    <s v="P05"/>
    <s v="Standing Desk"/>
    <x v="0"/>
    <n v="11010"/>
    <s v="E06"/>
    <s v="Sneha Roy"/>
    <x v="1"/>
    <s v="Kolkata"/>
    <n v="4"/>
    <n v="44040"/>
  </r>
  <r>
    <n v="1672"/>
    <x v="421"/>
    <s v="P01"/>
    <s v="Wireless Mouse"/>
    <x v="3"/>
    <n v="780"/>
    <s v="E01"/>
    <s v="Aarav Sharma"/>
    <x v="3"/>
    <s v="Lucknow"/>
    <n v="1"/>
    <n v="780"/>
  </r>
  <r>
    <n v="1690"/>
    <x v="421"/>
    <s v="P04"/>
    <s v="Ergo Office Chair"/>
    <x v="0"/>
    <n v="6750"/>
    <s v="E05"/>
    <s v="Karan Malhotra"/>
    <x v="1"/>
    <s v="Kolkata"/>
    <n v="1"/>
    <n v="6750"/>
  </r>
  <r>
    <n v="1697"/>
    <x v="421"/>
    <s v="P02"/>
    <s v="Bluetooth Speaker"/>
    <x v="3"/>
    <n v="1430"/>
    <s v="E07"/>
    <s v="Aditya Kapoor"/>
    <x v="0"/>
    <s v="Mumbai"/>
    <n v="1"/>
    <n v="1430"/>
  </r>
  <r>
    <n v="1694"/>
    <x v="422"/>
    <s v="P06"/>
    <s v="Bookshelf Unit"/>
    <x v="2"/>
    <n v="3910"/>
    <s v="E08"/>
    <s v="Neha Joshi"/>
    <x v="0"/>
    <s v="Ahmedabad"/>
    <n v="2"/>
    <n v="7820"/>
  </r>
  <r>
    <n v="1707"/>
    <x v="422"/>
    <s v="P04"/>
    <s v="Ergo Office Chair"/>
    <x v="0"/>
    <n v="6750"/>
    <s v="E08"/>
    <s v="Neha Joshi"/>
    <x v="0"/>
    <s v="Ahmedabad"/>
    <n v="5"/>
    <n v="33750"/>
  </r>
  <r>
    <n v="1703"/>
    <x v="423"/>
    <s v="P05"/>
    <s v="Standing Desk"/>
    <x v="0"/>
    <n v="11010"/>
    <s v="E05"/>
    <s v="Karan Malhotra"/>
    <x v="1"/>
    <s v="Kolkata"/>
    <n v="5"/>
    <n v="55050"/>
  </r>
  <r>
    <n v="1665"/>
    <x v="424"/>
    <s v="P09"/>
    <s v="USB-C Hub"/>
    <x v="1"/>
    <n v="880"/>
    <s v="E02"/>
    <s v="Ishita Verma"/>
    <x v="3"/>
    <s v="Chandigarh"/>
    <n v="1"/>
    <n v="880"/>
  </r>
  <r>
    <n v="1687"/>
    <x v="424"/>
    <s v="P08"/>
    <s v="Laptop Backpack"/>
    <x v="1"/>
    <n v="1110"/>
    <s v="E05"/>
    <s v="Karan Malhotra"/>
    <x v="1"/>
    <s v="Kolkata"/>
    <n v="5"/>
    <n v="5550"/>
  </r>
  <r>
    <n v="1706"/>
    <x v="424"/>
    <s v="P06"/>
    <s v="Bookshelf Unit"/>
    <x v="2"/>
    <n v="3910"/>
    <s v="E02"/>
    <s v="Ishita Verma"/>
    <x v="3"/>
    <s v="Chandigarh"/>
    <n v="2"/>
    <n v="7820"/>
  </r>
  <r>
    <n v="1702"/>
    <x v="425"/>
    <s v="P03"/>
    <s v="LED Monitor 24&quot;"/>
    <x v="3"/>
    <n v="7700"/>
    <s v="E07"/>
    <s v="Aditya Kapoor"/>
    <x v="0"/>
    <s v="Mumbai"/>
    <n v="1"/>
    <n v="7700"/>
  </r>
  <r>
    <n v="1704"/>
    <x v="425"/>
    <s v="P03"/>
    <s v="LED Monitor 24&quot;"/>
    <x v="3"/>
    <n v="7700"/>
    <s v="E02"/>
    <s v="Ishita Verma"/>
    <x v="3"/>
    <s v="Chandigarh"/>
    <n v="4"/>
    <n v="30800"/>
  </r>
  <r>
    <n v="1693"/>
    <x v="426"/>
    <s v="P02"/>
    <s v="Bluetooth Speaker"/>
    <x v="3"/>
    <n v="1430"/>
    <s v="E02"/>
    <s v="Ishita Verma"/>
    <x v="3"/>
    <s v="Chandigarh"/>
    <n v="1"/>
    <n v="1430"/>
  </r>
  <r>
    <n v="1699"/>
    <x v="426"/>
    <s v="P07"/>
    <s v="Filing Cabinet"/>
    <x v="2"/>
    <n v="4070"/>
    <s v="E06"/>
    <s v="Sneha Roy"/>
    <x v="1"/>
    <s v="Kolkata"/>
    <n v="1"/>
    <n v="4070"/>
  </r>
  <r>
    <n v="1692"/>
    <x v="427"/>
    <s v="P07"/>
    <s v="Filing Cabinet"/>
    <x v="2"/>
    <n v="4070"/>
    <s v="E03"/>
    <s v="Rohan Mehta"/>
    <x v="2"/>
    <s v="Bengaluru"/>
    <n v="3"/>
    <n v="12210"/>
  </r>
  <r>
    <n v="1670"/>
    <x v="428"/>
    <s v="P01"/>
    <s v="Wireless Mouse"/>
    <x v="3"/>
    <n v="780"/>
    <s v="E02"/>
    <s v="Ishita Verma"/>
    <x v="3"/>
    <s v="Chandigarh"/>
    <n v="1"/>
    <n v="780"/>
  </r>
  <r>
    <n v="1708"/>
    <x v="428"/>
    <s v="P05"/>
    <s v="Standing Desk"/>
    <x v="0"/>
    <n v="11010"/>
    <s v="E03"/>
    <s v="Rohan Mehta"/>
    <x v="2"/>
    <s v="Bengaluru"/>
    <n v="1"/>
    <n v="11010"/>
  </r>
  <r>
    <n v="1688"/>
    <x v="429"/>
    <s v="P09"/>
    <s v="USB-C Hub"/>
    <x v="1"/>
    <n v="880"/>
    <s v="E06"/>
    <s v="Sneha Roy"/>
    <x v="1"/>
    <s v="Kolkata"/>
    <n v="4"/>
    <n v="3520"/>
  </r>
  <r>
    <n v="1695"/>
    <x v="429"/>
    <s v="P02"/>
    <s v="Bluetooth Speaker"/>
    <x v="3"/>
    <n v="1430"/>
    <s v="E03"/>
    <s v="Rohan Mehta"/>
    <x v="2"/>
    <s v="Bengaluru"/>
    <n v="1"/>
    <n v="1430"/>
  </r>
  <r>
    <n v="1671"/>
    <x v="430"/>
    <s v="P07"/>
    <s v="Filing Cabinet"/>
    <x v="2"/>
    <n v="4070"/>
    <s v="E07"/>
    <s v="Aditya Kapoor"/>
    <x v="0"/>
    <s v="Mumbai"/>
    <n v="6"/>
    <n v="24420"/>
  </r>
  <r>
    <n v="1662"/>
    <x v="431"/>
    <s v="P01"/>
    <s v="Wireless Mouse"/>
    <x v="3"/>
    <n v="780"/>
    <s v="E07"/>
    <s v="Aditya Kapoor"/>
    <x v="0"/>
    <s v="Mumbai"/>
    <n v="1"/>
    <n v="780"/>
  </r>
  <r>
    <n v="1696"/>
    <x v="431"/>
    <s v="P09"/>
    <s v="USB-C Hub"/>
    <x v="1"/>
    <n v="880"/>
    <s v="E08"/>
    <s v="Neha Joshi"/>
    <x v="0"/>
    <s v="Ahmedabad"/>
    <n v="6"/>
    <n v="5280"/>
  </r>
  <r>
    <n v="1668"/>
    <x v="432"/>
    <s v="P07"/>
    <s v="Filing Cabinet"/>
    <x v="2"/>
    <n v="4070"/>
    <s v="E06"/>
    <s v="Sneha Roy"/>
    <x v="1"/>
    <s v="Kolkata"/>
    <n v="5"/>
    <n v="20350"/>
  </r>
  <r>
    <n v="1677"/>
    <x v="432"/>
    <s v="P05"/>
    <s v="Standing Desk"/>
    <x v="0"/>
    <n v="11010"/>
    <s v="E02"/>
    <s v="Ishita Verma"/>
    <x v="3"/>
    <s v="Chandigarh"/>
    <n v="6"/>
    <n v="66060"/>
  </r>
  <r>
    <n v="1680"/>
    <x v="432"/>
    <s v="P05"/>
    <s v="Standing Desk"/>
    <x v="0"/>
    <n v="11010"/>
    <s v="E02"/>
    <s v="Ishita Verma"/>
    <x v="3"/>
    <s v="Chandigarh"/>
    <n v="1"/>
    <n v="11010"/>
  </r>
  <r>
    <n v="1698"/>
    <x v="433"/>
    <s v="P09"/>
    <s v="USB-C Hub"/>
    <x v="1"/>
    <n v="880"/>
    <s v="E06"/>
    <s v="Sneha Roy"/>
    <x v="1"/>
    <s v="Kolkata"/>
    <n v="1"/>
    <n v="880"/>
  </r>
  <r>
    <n v="1660"/>
    <x v="434"/>
    <s v="P01"/>
    <s v="Wireless Mouse"/>
    <x v="3"/>
    <n v="780"/>
    <s v="E06"/>
    <s v="Sneha Roy"/>
    <x v="1"/>
    <s v="Kolkata"/>
    <n v="8"/>
    <n v="6240"/>
  </r>
  <r>
    <n v="1686"/>
    <x v="434"/>
    <s v="P06"/>
    <s v="Bookshelf Unit"/>
    <x v="2"/>
    <n v="3910"/>
    <s v="E07"/>
    <s v="Aditya Kapoor"/>
    <x v="0"/>
    <s v="Mumbai"/>
    <n v="1"/>
    <n v="3910"/>
  </r>
  <r>
    <n v="1669"/>
    <x v="435"/>
    <s v="P04"/>
    <s v="Ergo Office Chair"/>
    <x v="0"/>
    <n v="6750"/>
    <s v="E04"/>
    <s v="Priya Nair"/>
    <x v="2"/>
    <s v="Bengaluru"/>
    <n v="2"/>
    <n v="13500"/>
  </r>
  <r>
    <n v="1701"/>
    <x v="435"/>
    <s v="P09"/>
    <s v="USB-C Hub"/>
    <x v="1"/>
    <n v="880"/>
    <s v="E04"/>
    <s v="Priya Nair"/>
    <x v="2"/>
    <s v="Bengaluru"/>
    <n v="1"/>
    <n v="880"/>
  </r>
  <r>
    <n v="1691"/>
    <x v="436"/>
    <s v="P03"/>
    <s v="LED Monitor 24&quot;"/>
    <x v="3"/>
    <n v="7700"/>
    <s v="E05"/>
    <s v="Karan Malhotra"/>
    <x v="1"/>
    <s v="Kolkata"/>
    <n v="4"/>
    <n v="30800"/>
  </r>
  <r>
    <n v="1700"/>
    <x v="437"/>
    <s v="P07"/>
    <s v="Filing Cabinet"/>
    <x v="2"/>
    <n v="4070"/>
    <s v="E07"/>
    <s v="Aditya Kapoor"/>
    <x v="0"/>
    <s v="Mumbai"/>
    <n v="1"/>
    <n v="4070"/>
  </r>
  <r>
    <n v="1685"/>
    <x v="438"/>
    <s v="P06"/>
    <s v="Bookshelf Unit"/>
    <x v="2"/>
    <n v="3910"/>
    <s v="E02"/>
    <s v="Ishita Verma"/>
    <x v="3"/>
    <s v="Chandigarh"/>
    <n v="8"/>
    <n v="31280"/>
  </r>
  <r>
    <n v="1689"/>
    <x v="438"/>
    <s v="P07"/>
    <s v="Filing Cabinet"/>
    <x v="2"/>
    <n v="4070"/>
    <s v="E03"/>
    <s v="Rohan Mehta"/>
    <x v="2"/>
    <s v="Bengaluru"/>
    <n v="1"/>
    <n v="4070"/>
  </r>
  <r>
    <n v="1673"/>
    <x v="439"/>
    <s v="P07"/>
    <s v="Filing Cabinet"/>
    <x v="2"/>
    <n v="4070"/>
    <s v="E08"/>
    <s v="Neha Joshi"/>
    <x v="0"/>
    <s v="Ahmedabad"/>
    <n v="10"/>
    <n v="40700"/>
  </r>
  <r>
    <n v="1682"/>
    <x v="439"/>
    <s v="P07"/>
    <s v="Filing Cabinet"/>
    <x v="2"/>
    <n v="4070"/>
    <s v="E06"/>
    <s v="Sneha Roy"/>
    <x v="1"/>
    <s v="Kolkata"/>
    <n v="1"/>
    <n v="4070"/>
  </r>
  <r>
    <n v="1705"/>
    <x v="439"/>
    <s v="P05"/>
    <s v="Standing Desk"/>
    <x v="0"/>
    <n v="11010"/>
    <s v="E07"/>
    <s v="Aditya Kapoor"/>
    <x v="0"/>
    <s v="Mumbai"/>
    <n v="5"/>
    <n v="55050"/>
  </r>
  <r>
    <n v="1666"/>
    <x v="440"/>
    <s v="P09"/>
    <s v="USB-C Hub"/>
    <x v="1"/>
    <n v="880"/>
    <s v="E04"/>
    <s v="Priya Nair"/>
    <x v="2"/>
    <s v="Bengaluru"/>
    <n v="2"/>
    <n v="1760"/>
  </r>
  <r>
    <n v="1684"/>
    <x v="440"/>
    <s v="P07"/>
    <s v="Filing Cabinet"/>
    <x v="2"/>
    <n v="4070"/>
    <s v="E02"/>
    <s v="Ishita Verma"/>
    <x v="3"/>
    <s v="Chandigarh"/>
    <n v="2"/>
    <n v="8140"/>
  </r>
  <r>
    <n v="1675"/>
    <x v="441"/>
    <s v="P04"/>
    <s v="Ergo Office Chair"/>
    <x v="0"/>
    <n v="6750"/>
    <s v="E01"/>
    <s v="Aarav Sharma"/>
    <x v="3"/>
    <s v="Lucknow"/>
    <n v="2"/>
    <n v="13500"/>
  </r>
  <r>
    <n v="1681"/>
    <x v="441"/>
    <s v="P07"/>
    <s v="Filing Cabinet"/>
    <x v="2"/>
    <n v="4070"/>
    <s v="E04"/>
    <s v="Priya Nair"/>
    <x v="2"/>
    <s v="Bengaluru"/>
    <n v="10"/>
    <n v="40700"/>
  </r>
  <r>
    <n v="1664"/>
    <x v="442"/>
    <s v="P03"/>
    <s v="LED Monitor 24&quot;"/>
    <x v="3"/>
    <n v="7700"/>
    <s v="E07"/>
    <s v="Aditya Kapoor"/>
    <x v="0"/>
    <s v="Mumbai"/>
    <n v="1"/>
    <n v="7700"/>
  </r>
  <r>
    <n v="1674"/>
    <x v="442"/>
    <s v="P02"/>
    <s v="Bluetooth Speaker"/>
    <x v="3"/>
    <n v="1430"/>
    <s v="E06"/>
    <s v="Sneha Roy"/>
    <x v="1"/>
    <s v="Kolkata"/>
    <n v="6"/>
    <n v="8580"/>
  </r>
  <r>
    <n v="1676"/>
    <x v="442"/>
    <s v="P05"/>
    <s v="Standing Desk"/>
    <x v="0"/>
    <n v="11010"/>
    <s v="E08"/>
    <s v="Neha Joshi"/>
    <x v="0"/>
    <s v="Ahmedabad"/>
    <n v="1"/>
    <n v="11010"/>
  </r>
  <r>
    <n v="1679"/>
    <x v="442"/>
    <s v="P03"/>
    <s v="LED Monitor 24&quot;"/>
    <x v="3"/>
    <n v="7700"/>
    <s v="E04"/>
    <s v="Priya Nair"/>
    <x v="2"/>
    <s v="Bengaluru"/>
    <n v="4"/>
    <n v="30800"/>
  </r>
  <r>
    <n v="1714"/>
    <x v="443"/>
    <s v="P07"/>
    <s v="Filing Cabinet"/>
    <x v="2"/>
    <n v="4070"/>
    <s v="E05"/>
    <s v="Karan Malhotra"/>
    <x v="1"/>
    <s v="Kolkata"/>
    <n v="3"/>
    <n v="12210"/>
  </r>
  <r>
    <n v="1727"/>
    <x v="443"/>
    <s v="P02"/>
    <s v="Bluetooth Speaker"/>
    <x v="3"/>
    <n v="1430"/>
    <s v="E07"/>
    <s v="Aditya Kapoor"/>
    <x v="0"/>
    <s v="Mumbai"/>
    <n v="1"/>
    <n v="1430"/>
  </r>
  <r>
    <n v="1719"/>
    <x v="444"/>
    <s v="P05"/>
    <s v="Standing Desk"/>
    <x v="0"/>
    <n v="11010"/>
    <s v="E04"/>
    <s v="Priya Nair"/>
    <x v="2"/>
    <s v="Bengaluru"/>
    <n v="10"/>
    <n v="110100"/>
  </r>
  <r>
    <n v="1711"/>
    <x v="445"/>
    <s v="P08"/>
    <s v="Laptop Backpack"/>
    <x v="1"/>
    <n v="1110"/>
    <s v="E04"/>
    <s v="Priya Nair"/>
    <x v="2"/>
    <s v="Bengaluru"/>
    <n v="3"/>
    <n v="3330"/>
  </r>
  <r>
    <n v="1739"/>
    <x v="445"/>
    <s v="P04"/>
    <s v="Ergo Office Chair"/>
    <x v="0"/>
    <n v="6750"/>
    <s v="E03"/>
    <s v="Rohan Mehta"/>
    <x v="2"/>
    <s v="Bengaluru"/>
    <n v="6"/>
    <n v="40500"/>
  </r>
  <r>
    <n v="1718"/>
    <x v="446"/>
    <s v="P03"/>
    <s v="LED Monitor 24&quot;"/>
    <x v="3"/>
    <n v="7700"/>
    <s v="E08"/>
    <s v="Neha Joshi"/>
    <x v="0"/>
    <s v="Ahmedabad"/>
    <n v="10"/>
    <n v="77000"/>
  </r>
  <r>
    <n v="1731"/>
    <x v="446"/>
    <s v="P08"/>
    <s v="Laptop Backpack"/>
    <x v="1"/>
    <n v="1110"/>
    <s v="E01"/>
    <s v="Aarav Sharma"/>
    <x v="3"/>
    <s v="Lucknow"/>
    <n v="1"/>
    <n v="1110"/>
  </r>
  <r>
    <n v="1736"/>
    <x v="446"/>
    <s v="P06"/>
    <s v="Bookshelf Unit"/>
    <x v="2"/>
    <n v="3910"/>
    <s v="E08"/>
    <s v="Neha Joshi"/>
    <x v="0"/>
    <s v="Ahmedabad"/>
    <n v="1"/>
    <n v="3910"/>
  </r>
  <r>
    <n v="1709"/>
    <x v="447"/>
    <s v="P06"/>
    <s v="Bookshelf Unit"/>
    <x v="2"/>
    <n v="3910"/>
    <s v="E07"/>
    <s v="Aditya Kapoor"/>
    <x v="0"/>
    <s v="Mumbai"/>
    <n v="5"/>
    <n v="19550"/>
  </r>
  <r>
    <n v="1710"/>
    <x v="447"/>
    <s v="P03"/>
    <s v="LED Monitor 24&quot;"/>
    <x v="3"/>
    <n v="7700"/>
    <s v="E07"/>
    <s v="Aditya Kapoor"/>
    <x v="0"/>
    <s v="Mumbai"/>
    <n v="2"/>
    <n v="15400"/>
  </r>
  <r>
    <n v="1733"/>
    <x v="447"/>
    <s v="P06"/>
    <s v="Bookshelf Unit"/>
    <x v="2"/>
    <n v="3910"/>
    <s v="E03"/>
    <s v="Rohan Mehta"/>
    <x v="2"/>
    <s v="Bengaluru"/>
    <n v="2"/>
    <n v="7820"/>
  </r>
  <r>
    <n v="1730"/>
    <x v="448"/>
    <s v="P09"/>
    <s v="USB-C Hub"/>
    <x v="1"/>
    <n v="880"/>
    <s v="E08"/>
    <s v="Neha Joshi"/>
    <x v="0"/>
    <s v="Ahmedabad"/>
    <n v="1"/>
    <n v="880"/>
  </r>
  <r>
    <n v="1713"/>
    <x v="449"/>
    <s v="P04"/>
    <s v="Ergo Office Chair"/>
    <x v="0"/>
    <n v="6750"/>
    <s v="E08"/>
    <s v="Neha Joshi"/>
    <x v="0"/>
    <s v="Ahmedabad"/>
    <n v="3"/>
    <n v="20250"/>
  </r>
  <r>
    <n v="1729"/>
    <x v="449"/>
    <s v="P08"/>
    <s v="Laptop Backpack"/>
    <x v="1"/>
    <n v="1110"/>
    <s v="E04"/>
    <s v="Priya Nair"/>
    <x v="2"/>
    <s v="Bengaluru"/>
    <n v="3"/>
    <n v="3330"/>
  </r>
  <r>
    <n v="1740"/>
    <x v="450"/>
    <s v="P06"/>
    <s v="Bookshelf Unit"/>
    <x v="2"/>
    <n v="3910"/>
    <s v="E03"/>
    <s v="Rohan Mehta"/>
    <x v="2"/>
    <s v="Bengaluru"/>
    <n v="6"/>
    <n v="23460"/>
  </r>
  <r>
    <n v="1716"/>
    <x v="451"/>
    <s v="P08"/>
    <s v="Laptop Backpack"/>
    <x v="1"/>
    <n v="1110"/>
    <s v="E01"/>
    <s v="Aarav Sharma"/>
    <x v="3"/>
    <s v="Lucknow"/>
    <n v="2"/>
    <n v="2220"/>
  </r>
  <r>
    <n v="1720"/>
    <x v="451"/>
    <s v="P07"/>
    <s v="Filing Cabinet"/>
    <x v="2"/>
    <n v="4070"/>
    <s v="E07"/>
    <s v="Aditya Kapoor"/>
    <x v="0"/>
    <s v="Mumbai"/>
    <n v="1"/>
    <n v="4070"/>
  </r>
  <r>
    <n v="1735"/>
    <x v="451"/>
    <s v="P08"/>
    <s v="Laptop Backpack"/>
    <x v="1"/>
    <n v="1110"/>
    <s v="E06"/>
    <s v="Sneha Roy"/>
    <x v="1"/>
    <s v="Kolkata"/>
    <n v="1"/>
    <n v="1110"/>
  </r>
  <r>
    <n v="1734"/>
    <x v="452"/>
    <s v="P04"/>
    <s v="Ergo Office Chair"/>
    <x v="0"/>
    <n v="6750"/>
    <s v="E08"/>
    <s v="Neha Joshi"/>
    <x v="0"/>
    <s v="Ahmedabad"/>
    <n v="6"/>
    <n v="40500"/>
  </r>
  <r>
    <n v="1721"/>
    <x v="453"/>
    <s v="P07"/>
    <s v="Filing Cabinet"/>
    <x v="2"/>
    <n v="4070"/>
    <s v="E08"/>
    <s v="Neha Joshi"/>
    <x v="0"/>
    <s v="Ahmedabad"/>
    <n v="6"/>
    <n v="24420"/>
  </r>
  <r>
    <n v="1725"/>
    <x v="454"/>
    <s v="P03"/>
    <s v="LED Monitor 24&quot;"/>
    <x v="3"/>
    <n v="7700"/>
    <s v="E06"/>
    <s v="Sneha Roy"/>
    <x v="1"/>
    <s v="Kolkata"/>
    <n v="10"/>
    <n v="77000"/>
  </r>
  <r>
    <n v="1723"/>
    <x v="455"/>
    <s v="P09"/>
    <s v="USB-C Hub"/>
    <x v="1"/>
    <n v="880"/>
    <s v="E06"/>
    <s v="Sneha Roy"/>
    <x v="1"/>
    <s v="Kolkata"/>
    <n v="8"/>
    <n v="7040"/>
  </r>
  <r>
    <n v="1741"/>
    <x v="455"/>
    <s v="P04"/>
    <s v="Ergo Office Chair"/>
    <x v="0"/>
    <n v="6750"/>
    <s v="E08"/>
    <s v="Neha Joshi"/>
    <x v="0"/>
    <s v="Ahmedabad"/>
    <n v="4"/>
    <n v="27000"/>
  </r>
  <r>
    <n v="1715"/>
    <x v="456"/>
    <s v="P09"/>
    <s v="USB-C Hub"/>
    <x v="1"/>
    <n v="880"/>
    <s v="E04"/>
    <s v="Priya Nair"/>
    <x v="2"/>
    <s v="Bengaluru"/>
    <n v="1"/>
    <n v="880"/>
  </r>
  <r>
    <n v="1717"/>
    <x v="456"/>
    <s v="P02"/>
    <s v="Bluetooth Speaker"/>
    <x v="3"/>
    <n v="1430"/>
    <s v="E05"/>
    <s v="Karan Malhotra"/>
    <x v="1"/>
    <s v="Kolkata"/>
    <n v="4"/>
    <n v="5720"/>
  </r>
  <r>
    <n v="1724"/>
    <x v="456"/>
    <s v="P02"/>
    <s v="Bluetooth Speaker"/>
    <x v="3"/>
    <n v="1430"/>
    <s v="E02"/>
    <s v="Ishita Verma"/>
    <x v="3"/>
    <s v="Chandigarh"/>
    <n v="2"/>
    <n v="2860"/>
  </r>
  <r>
    <n v="1742"/>
    <x v="456"/>
    <s v="P03"/>
    <s v="LED Monitor 24&quot;"/>
    <x v="3"/>
    <n v="7700"/>
    <s v="E03"/>
    <s v="Rohan Mehta"/>
    <x v="2"/>
    <s v="Bengaluru"/>
    <n v="10"/>
    <n v="77000"/>
  </r>
  <r>
    <n v="1712"/>
    <x v="457"/>
    <s v="P06"/>
    <s v="Bookshelf Unit"/>
    <x v="2"/>
    <n v="3910"/>
    <s v="E07"/>
    <s v="Aditya Kapoor"/>
    <x v="0"/>
    <s v="Mumbai"/>
    <n v="2"/>
    <n v="7820"/>
  </r>
  <r>
    <n v="1728"/>
    <x v="457"/>
    <s v="P04"/>
    <s v="Ergo Office Chair"/>
    <x v="0"/>
    <n v="6750"/>
    <s v="E05"/>
    <s v="Karan Malhotra"/>
    <x v="1"/>
    <s v="Kolkata"/>
    <n v="6"/>
    <n v="40500"/>
  </r>
  <r>
    <n v="1722"/>
    <x v="458"/>
    <s v="P09"/>
    <s v="USB-C Hub"/>
    <x v="1"/>
    <n v="880"/>
    <s v="E07"/>
    <s v="Aditya Kapoor"/>
    <x v="0"/>
    <s v="Mumbai"/>
    <n v="1"/>
    <n v="880"/>
  </r>
  <r>
    <n v="1738"/>
    <x v="458"/>
    <s v="P02"/>
    <s v="Bluetooth Speaker"/>
    <x v="3"/>
    <n v="1430"/>
    <s v="E06"/>
    <s v="Sneha Roy"/>
    <x v="1"/>
    <s v="Kolkata"/>
    <n v="10"/>
    <n v="14300"/>
  </r>
  <r>
    <n v="1732"/>
    <x v="459"/>
    <s v="P02"/>
    <s v="Bluetooth Speaker"/>
    <x v="3"/>
    <n v="1430"/>
    <s v="E07"/>
    <s v="Aditya Kapoor"/>
    <x v="0"/>
    <s v="Mumbai"/>
    <n v="1"/>
    <n v="1430"/>
  </r>
  <r>
    <n v="1737"/>
    <x v="460"/>
    <s v="P02"/>
    <s v="Bluetooth Speaker"/>
    <x v="3"/>
    <n v="1430"/>
    <s v="E01"/>
    <s v="Aarav Sharma"/>
    <x v="3"/>
    <s v="Lucknow"/>
    <n v="1"/>
    <n v="1430"/>
  </r>
  <r>
    <n v="1726"/>
    <x v="461"/>
    <s v="P07"/>
    <s v="Filing Cabinet"/>
    <x v="2"/>
    <n v="4070"/>
    <s v="E01"/>
    <s v="Aarav Sharma"/>
    <x v="3"/>
    <s v="Lucknow"/>
    <n v="3"/>
    <n v="122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34169-154C-43FD-B2FB-9577A827E2D0}"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5">
  <location ref="A22:E42" firstHeaderRow="1" firstDataRow="2" firstDataCol="2"/>
  <pivotFields count="13">
    <pivotField compact="0" outline="0" showAll="0"/>
    <pivotField compact="0" numFmtId="164" outline="0" showAll="0">
      <items count="4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axis="axisRow" compact="0" outline="0" showAll="0">
      <items count="10">
        <item x="8"/>
        <item x="3"/>
        <item x="6"/>
        <item x="0"/>
        <item x="7"/>
        <item x="4"/>
        <item x="2"/>
        <item x="5"/>
        <item x="1"/>
        <item t="default"/>
      </items>
    </pivotField>
    <pivotField axis="axisRow" compact="0" outline="0" showAll="0">
      <items count="10">
        <item x="3"/>
        <item x="4"/>
        <item x="0"/>
        <item x="2"/>
        <item x="5"/>
        <item x="6"/>
        <item x="7"/>
        <item x="1"/>
        <item x="8"/>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ubtotalTop="0" showAll="0">
      <items count="15">
        <item x="0"/>
        <item x="1"/>
        <item x="2"/>
        <item x="3"/>
        <item x="4"/>
        <item x="5"/>
        <item x="6"/>
        <item x="7"/>
        <item x="8"/>
        <item x="9"/>
        <item x="10"/>
        <item x="11"/>
        <item x="12"/>
        <item x="13"/>
        <item t="default"/>
      </items>
    </pivotField>
  </pivotFields>
  <rowFields count="2">
    <field x="2"/>
    <field x="3"/>
  </rowFields>
  <rowItems count="19">
    <i>
      <x/>
      <x v="8"/>
    </i>
    <i t="default">
      <x/>
    </i>
    <i>
      <x v="1"/>
      <x/>
    </i>
    <i t="default">
      <x v="1"/>
    </i>
    <i>
      <x v="2"/>
      <x v="5"/>
    </i>
    <i t="default">
      <x v="2"/>
    </i>
    <i>
      <x v="3"/>
      <x v="2"/>
    </i>
    <i t="default">
      <x v="3"/>
    </i>
    <i>
      <x v="4"/>
      <x v="6"/>
    </i>
    <i t="default">
      <x v="4"/>
    </i>
    <i>
      <x v="5"/>
      <x v="1"/>
    </i>
    <i t="default">
      <x v="5"/>
    </i>
    <i>
      <x v="6"/>
      <x v="3"/>
    </i>
    <i t="default">
      <x v="6"/>
    </i>
    <i>
      <x v="7"/>
      <x v="4"/>
    </i>
    <i t="default">
      <x v="7"/>
    </i>
    <i>
      <x v="8"/>
      <x v="7"/>
    </i>
    <i t="default">
      <x v="8"/>
    </i>
    <i t="grand">
      <x/>
    </i>
  </rowItems>
  <colFields count="1">
    <field x="-2"/>
  </colFields>
  <colItems count="3">
    <i>
      <x/>
    </i>
    <i i="1">
      <x v="1"/>
    </i>
    <i i="2">
      <x v="2"/>
    </i>
  </colItems>
  <dataFields count="3">
    <dataField name="Sum of Units Sold" fld="10" baseField="0" baseItem="0"/>
    <dataField name="Sum of Revenue (₹)" fld="11" baseField="0" baseItem="0"/>
    <dataField name="Average of Unit Price (₹)" fld="5" subtotal="average" baseField="3" baseItem="8"/>
  </dataFields>
  <chartFormats count="6">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33" format="6"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1"/>
          </reference>
        </references>
      </pivotArea>
    </chartFormat>
    <chartFormat chart="3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C62A1C-259F-4483-A2D9-E612D2FDDFAF}" name="Revenue By Region"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11:B18" firstHeaderRow="2" firstDataRow="2" firstDataCol="1"/>
  <pivotFields count="13">
    <pivotField compact="0" outline="0" showAll="0"/>
    <pivotField compact="0" numFmtId="164" outline="0" showAll="0">
      <items count="4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3"/>
        <item x="2"/>
        <item x="0"/>
        <item x="4"/>
        <item t="default"/>
      </items>
    </pivotField>
    <pivotField compact="0" outline="0" showAll="0"/>
    <pivotField compact="0" outline="0" showAll="0"/>
    <pivotField dataField="1" compact="0" outline="0" showAll="0"/>
    <pivotField compact="0" outline="0" subtotalTop="0"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Items count="1">
    <i/>
  </colItems>
  <dataFields count="1">
    <dataField name="Sum of Revenue (₹)" fld="11"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84B344-C441-49E7-A0BC-C50CEB59D5B8}" name="Revenue By Category"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1:B7" firstHeaderRow="2" firstDataRow="2" firstDataCol="1"/>
  <pivotFields count="13">
    <pivotField compact="0" outline="0" showAll="0"/>
    <pivotField compact="0" numFmtId="164" outline="0" showAll="0">
      <items count="4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compact="0" outline="0" showAll="0"/>
    <pivotField compact="0" outline="0" showAll="0"/>
    <pivotField axis="axisRow" compact="0" outline="0" showAll="0">
      <items count="5">
        <item x="1"/>
        <item x="3"/>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ubtotalTop="0"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 fld="11" baseField="0" baseItem="0"/>
  </dataFields>
  <chartFormats count="10">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F71193-2540-41B9-AF5A-99E96EAA8A73}"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5:N51" firstHeaderRow="1" firstDataRow="2" firstDataCol="1"/>
  <pivotFields count="13">
    <pivotField compact="0" outline="0" showAll="0"/>
    <pivotField compact="0" numFmtId="164" outline="0" showAll="0">
      <items count="4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3"/>
        <item x="2"/>
        <item x="0"/>
        <item t="default"/>
      </items>
    </pivotField>
    <pivotField compact="0" outline="0" showAll="0"/>
    <pivotField compact="0" outline="0" showAll="0"/>
    <pivotField dataField="1" compact="0" outline="0" showAll="0"/>
    <pivotField axis="axisCol" compact="0" outline="0" subtotalTop="0"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12"/>
  </colFields>
  <colItems count="13">
    <i>
      <x v="1"/>
    </i>
    <i>
      <x v="2"/>
    </i>
    <i>
      <x v="3"/>
    </i>
    <i>
      <x v="4"/>
    </i>
    <i>
      <x v="5"/>
    </i>
    <i>
      <x v="6"/>
    </i>
    <i>
      <x v="7"/>
    </i>
    <i>
      <x v="8"/>
    </i>
    <i>
      <x v="9"/>
    </i>
    <i>
      <x v="10"/>
    </i>
    <i>
      <x v="11"/>
    </i>
    <i>
      <x v="12"/>
    </i>
    <i t="grand">
      <x/>
    </i>
  </colItems>
  <dataFields count="1">
    <dataField name="Sum of Revenue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1837AE-40AE-449F-9EFE-37CC19CFF8D5}" sourceName="Region">
  <pivotTables>
    <pivotTable tabId="7" name="PivotTable7"/>
  </pivotTables>
  <data>
    <tabular pivotCacheId="184285956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DE8DC9B-CDF7-4432-AB33-AF608645D621}" cache="Slicer_Region" caption="Region" columnCount="4"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794C64-DE3F-42BB-9921-F75A70C6FB67}" name="ST" displayName="ST" ref="A1:E743" totalsRowShown="0" headerRowDxfId="43" headerRowBorderDxfId="42" tableBorderDxfId="41" totalsRowBorderDxfId="40">
  <autoFilter ref="A1:E743" xr:uid="{00000000-0009-0000-0000-000000000000}"/>
  <tableColumns count="5">
    <tableColumn id="1" xr3:uid="{100660E6-4774-4972-ADCC-8A72F487ED7D}" name="Order ID" dataDxfId="39"/>
    <tableColumn id="2" xr3:uid="{BFF9F7C5-D4A5-41D5-80E3-E750427D9D3A}" name="Order Date" dataDxfId="38"/>
    <tableColumn id="3" xr3:uid="{A0D8ADAB-ED4D-4AC7-A348-FBE01437197D}" name="Product ID" dataDxfId="37"/>
    <tableColumn id="4" xr3:uid="{B44C0B89-7FE4-4743-88CB-29E108CDF25C}" name="Employee ID" dataDxfId="36"/>
    <tableColumn id="5" xr3:uid="{9D732A28-FDCB-45E4-80E5-642B5BC3AC00}" name="Units Sold" dataDxfId="3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FE4C7A-620C-4A20-BAF2-4EE85FBCE514}" name="PM" displayName="PM" ref="A1:D10" totalsRowShown="0" headerRowDxfId="34" headerRowBorderDxfId="33" tableBorderDxfId="32" totalsRowBorderDxfId="31">
  <autoFilter ref="A1:D10" xr:uid="{00000000-0009-0000-0000-000001000000}"/>
  <tableColumns count="4">
    <tableColumn id="1" xr3:uid="{4C156DDA-CB68-4D5C-A58C-3B11C893DB5F}" name="Product ID" dataDxfId="30"/>
    <tableColumn id="2" xr3:uid="{B7423E41-C26D-4DCE-AF2C-6CA6F149119D}" name="Product Name" dataDxfId="29"/>
    <tableColumn id="3" xr3:uid="{AB3F5402-7E6E-47A3-826C-CCD1E5833C42}" name="Category" dataDxfId="28"/>
    <tableColumn id="4" xr3:uid="{03E1639B-954E-42AD-9315-50AB5694E53E}" name="Unit Price (₹)" dataDxfId="2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0A80AC-D48A-46E0-A16D-801288B439E2}" name="SM" displayName="SM" ref="A1:D9" totalsRowShown="0" headerRowDxfId="26" headerRowBorderDxfId="25" tableBorderDxfId="24" totalsRowBorderDxfId="23">
  <autoFilter ref="A1:D9" xr:uid="{00000000-0009-0000-0000-000002000000}"/>
  <tableColumns count="4">
    <tableColumn id="1" xr3:uid="{69012353-B246-47EA-A301-51D3FDF51737}" name="Employee ID" dataDxfId="22"/>
    <tableColumn id="2" xr3:uid="{AA04C754-3749-4B9C-9B46-366EE3678538}" name="Salesperson" dataDxfId="21"/>
    <tableColumn id="3" xr3:uid="{9752922D-3D18-4DBF-A749-3934397FCB79}" name="Region" dataDxfId="20"/>
    <tableColumn id="4" xr3:uid="{7D45EC32-CF1C-4146-A126-BFD77171FA51}" name="State/City" dataDxfId="19"/>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92CE70-77E8-4BC8-BEC2-D59C39549291}" name="MT" displayName="MT" ref="A1:C97" totalsRowShown="0" headerRowDxfId="18" headerRowBorderDxfId="17" tableBorderDxfId="16" totalsRowBorderDxfId="15">
  <autoFilter ref="A1:C97" xr:uid="{00000000-0009-0000-0000-000003000000}"/>
  <tableColumns count="3">
    <tableColumn id="1" xr3:uid="{21F0AD98-196F-4C35-9E46-525BCD3EEE8A}" name="Month" dataDxfId="14"/>
    <tableColumn id="2" xr3:uid="{CC33DD66-FF2E-4DEC-BB62-B1B75D4358A7}" name="Region" dataDxfId="13"/>
    <tableColumn id="3" xr3:uid="{AF4BD8D6-CD27-4491-8129-14FF35C99378}" name="Revenue Target (₹)" dataDxfId="12"/>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97127A-0146-4971-89A0-EBE2A6CBE595}" name="Sales" displayName="Sales" ref="A1:L743" totalsRowShown="0" headerRowDxfId="11" headerRowBorderDxfId="10" tableBorderDxfId="9">
  <autoFilter ref="A1:L743" xr:uid="{3C97127A-0146-4971-89A0-EBE2A6CBE595}"/>
  <tableColumns count="12">
    <tableColumn id="1" xr3:uid="{1752242C-0FE6-4DB2-841B-92521B15F265}" name="Order ID" dataDxfId="8"/>
    <tableColumn id="2" xr3:uid="{4B36AE02-9DD9-42C3-8EB6-42494D049C82}" name="Order Date" dataDxfId="7"/>
    <tableColumn id="3" xr3:uid="{67D8A27A-4CF5-4320-B466-7E6B7A281805}" name="Product ID" dataDxfId="6"/>
    <tableColumn id="4" xr3:uid="{CE084DEA-90B5-43DB-AE87-C34A36B08588}" name="Product Name">
      <calculatedColumnFormula>_xlfn.XLOOKUP(Merged_Sales_Data!C2,PM[Product ID],PM[Product Name])</calculatedColumnFormula>
    </tableColumn>
    <tableColumn id="5" xr3:uid="{4B2A87B6-E736-42B7-A466-9D6D93ADBA79}" name="Category">
      <calculatedColumnFormula>VLOOKUP(C2,PM[],3,FALSE)</calculatedColumnFormula>
    </tableColumn>
    <tableColumn id="6" xr3:uid="{9C37C019-14CC-4012-B335-E54878B0C8EE}" name="Unit Price (₹)">
      <calculatedColumnFormula>_xlfn.XLOOKUP(C2,PM[Product ID],PM[Unit Price (₹)])</calculatedColumnFormula>
    </tableColumn>
    <tableColumn id="7" xr3:uid="{4005AE13-DAEE-44DF-9DC4-6836BD7C95DA}" name="Employee ID"/>
    <tableColumn id="8" xr3:uid="{C06477B2-8FC6-43D4-9460-D41A89C57E13}" name="Salesperson"/>
    <tableColumn id="9" xr3:uid="{528FD01B-BEC2-4D4C-9ADE-BE9530650DF2}" name="Region"/>
    <tableColumn id="10" xr3:uid="{27549F56-2749-4260-86D9-BC7AA53E8FC6}" name="State/City"/>
    <tableColumn id="11" xr3:uid="{EAC39327-3778-41F8-A662-88BE4814FDE2}" name="Units Sold"/>
    <tableColumn id="12" xr3:uid="{FB2DCA2D-BAE6-4FD9-AFBC-D50C917626DB}" name="Revenue (₹)"/>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45DB4D-1C53-4396-8BA8-61E6844DE693}" name="Sales7" displayName="Sales7" ref="A1:L743" totalsRowShown="0" headerRowDxfId="5" headerRowBorderDxfId="4" tableBorderDxfId="3">
  <autoFilter ref="A1:L743" xr:uid="{E045DB4D-1C53-4396-8BA8-61E6844DE693}"/>
  <tableColumns count="12">
    <tableColumn id="1" xr3:uid="{0965B42C-F561-4FAE-AA8F-4E637C7F15A5}" name="Order ID" dataDxfId="2"/>
    <tableColumn id="2" xr3:uid="{1B3AA53B-F925-45A2-A319-2D30643EFC8F}" name="Order Date" dataDxfId="1"/>
    <tableColumn id="3" xr3:uid="{176FF111-EEF6-4405-9B24-C89FE45AD44F}" name="Product ID" dataDxfId="0"/>
    <tableColumn id="4" xr3:uid="{D5F8A67F-DD51-4B1D-9247-05DCDC5ACBA2}" name="Product Name">
      <calculatedColumnFormula>_xlfn.XLOOKUP(Merged_Sales_Data!C2,PM[Product ID],PM[Product Name])</calculatedColumnFormula>
    </tableColumn>
    <tableColumn id="5" xr3:uid="{7735CCAF-4E27-4A00-BE0C-6F73A8F0C368}" name="Category">
      <calculatedColumnFormula>VLOOKUP(C2,PM[],3,FALSE)</calculatedColumnFormula>
    </tableColumn>
    <tableColumn id="6" xr3:uid="{701BC8FB-18ED-41A1-9CC4-E2ABD500A8EA}" name="Unit Price (₹)">
      <calculatedColumnFormula>_xlfn.XLOOKUP(C2,PM[Product ID],PM[Unit Price (₹)])</calculatedColumnFormula>
    </tableColumn>
    <tableColumn id="7" xr3:uid="{F973E0CD-4D64-41FD-BAC8-A6F4D7D77D4A}" name="Employee ID"/>
    <tableColumn id="8" xr3:uid="{928EC6EC-4440-408D-8204-B0408B82B733}" name="Salesperson">
      <calculatedColumnFormula>_xlfn.XLOOKUP(G2,SM[Employee ID],SM[Salesperson])</calculatedColumnFormula>
    </tableColumn>
    <tableColumn id="9" xr3:uid="{EC330A17-423E-4843-89A8-6873F29880C0}" name="Region">
      <calculatedColumnFormula>_xlfn.XLOOKUP(G2,SM[Employee ID],SM[Region])</calculatedColumnFormula>
    </tableColumn>
    <tableColumn id="10" xr3:uid="{9C14EEBA-3302-4A4B-9F00-0832688F96FB}" name="State/City">
      <calculatedColumnFormula>_xlfn.XLOOKUP(G2,SM[Employee ID],SM[State/City])</calculatedColumnFormula>
    </tableColumn>
    <tableColumn id="11" xr3:uid="{3271EE06-22E8-4A6E-A1C9-5F44533DCB29}" name="Units Sold"/>
    <tableColumn id="12" xr3:uid="{F8F836FB-AC57-4D79-B738-DB45F8471112}" name="Revenue (₹)">
      <calculatedColumnFormula>F2*K2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3"/>
  <sheetViews>
    <sheetView workbookViewId="0">
      <pane ySplit="1" topLeftCell="A2" activePane="bottomLeft" state="frozen"/>
      <selection pane="bottomLeft" activeCell="G735" sqref="G735"/>
    </sheetView>
  </sheetViews>
  <sheetFormatPr defaultRowHeight="14.5" x14ac:dyDescent="0.35"/>
  <cols>
    <col min="1" max="1" width="13" customWidth="1"/>
    <col min="2" max="2" width="19.26953125" customWidth="1"/>
    <col min="3" max="3" width="15.81640625" customWidth="1"/>
    <col min="4" max="4" width="19.26953125" customWidth="1"/>
    <col min="5" max="5" width="17.7265625" customWidth="1"/>
  </cols>
  <sheetData>
    <row r="1" spans="1:5" x14ac:dyDescent="0.35">
      <c r="A1" s="9" t="s">
        <v>0</v>
      </c>
      <c r="B1" s="10" t="s">
        <v>1</v>
      </c>
      <c r="C1" s="10" t="s">
        <v>2</v>
      </c>
      <c r="D1" s="10" t="s">
        <v>3</v>
      </c>
      <c r="E1" s="11" t="s">
        <v>4</v>
      </c>
    </row>
    <row r="2" spans="1:5" x14ac:dyDescent="0.35">
      <c r="A2" s="7">
        <v>1009</v>
      </c>
      <c r="B2" s="1">
        <v>44928</v>
      </c>
      <c r="C2" s="2" t="s">
        <v>5</v>
      </c>
      <c r="D2" s="2" t="s">
        <v>6</v>
      </c>
      <c r="E2" s="8">
        <v>1</v>
      </c>
    </row>
    <row r="3" spans="1:5" x14ac:dyDescent="0.35">
      <c r="A3" s="7">
        <v>1004</v>
      </c>
      <c r="B3" s="1">
        <v>44930</v>
      </c>
      <c r="C3" s="2" t="s">
        <v>5</v>
      </c>
      <c r="D3" s="2" t="s">
        <v>7</v>
      </c>
      <c r="E3" s="8">
        <v>3</v>
      </c>
    </row>
    <row r="4" spans="1:5" x14ac:dyDescent="0.35">
      <c r="A4" s="7">
        <v>1001</v>
      </c>
      <c r="B4" s="1">
        <v>44934</v>
      </c>
      <c r="C4" s="2" t="s">
        <v>8</v>
      </c>
      <c r="D4" s="2" t="s">
        <v>9</v>
      </c>
      <c r="E4" s="8">
        <v>4</v>
      </c>
    </row>
    <row r="5" spans="1:5" x14ac:dyDescent="0.35">
      <c r="A5" s="7">
        <v>1003</v>
      </c>
      <c r="B5" s="1">
        <v>44935</v>
      </c>
      <c r="C5" s="2" t="s">
        <v>10</v>
      </c>
      <c r="D5" s="2" t="s">
        <v>7</v>
      </c>
      <c r="E5" s="8">
        <v>3</v>
      </c>
    </row>
    <row r="6" spans="1:5" x14ac:dyDescent="0.35">
      <c r="A6" s="7">
        <v>1011</v>
      </c>
      <c r="B6" s="1">
        <v>44935</v>
      </c>
      <c r="C6" s="2" t="s">
        <v>11</v>
      </c>
      <c r="D6" s="2" t="s">
        <v>9</v>
      </c>
      <c r="E6" s="8">
        <v>4</v>
      </c>
    </row>
    <row r="7" spans="1:5" x14ac:dyDescent="0.35">
      <c r="A7" s="7">
        <v>1013</v>
      </c>
      <c r="B7" s="1">
        <v>44935</v>
      </c>
      <c r="C7" s="2" t="s">
        <v>5</v>
      </c>
      <c r="D7" s="2" t="s">
        <v>6</v>
      </c>
      <c r="E7" s="8">
        <v>10</v>
      </c>
    </row>
    <row r="8" spans="1:5" x14ac:dyDescent="0.35">
      <c r="A8" s="7">
        <v>1018</v>
      </c>
      <c r="B8" s="1">
        <v>44935</v>
      </c>
      <c r="C8" s="2" t="s">
        <v>12</v>
      </c>
      <c r="D8" s="2" t="s">
        <v>13</v>
      </c>
      <c r="E8" s="8">
        <v>4</v>
      </c>
    </row>
    <row r="9" spans="1:5" x14ac:dyDescent="0.35">
      <c r="A9" s="7">
        <v>1021</v>
      </c>
      <c r="B9" s="1">
        <v>44935</v>
      </c>
      <c r="C9" s="2" t="s">
        <v>14</v>
      </c>
      <c r="D9" s="2" t="s">
        <v>15</v>
      </c>
      <c r="E9" s="8">
        <v>1</v>
      </c>
    </row>
    <row r="10" spans="1:5" x14ac:dyDescent="0.35">
      <c r="A10" s="7">
        <v>1008</v>
      </c>
      <c r="B10" s="1">
        <v>44936</v>
      </c>
      <c r="C10" s="2" t="s">
        <v>11</v>
      </c>
      <c r="D10" s="2" t="s">
        <v>15</v>
      </c>
      <c r="E10" s="8">
        <v>6</v>
      </c>
    </row>
    <row r="11" spans="1:5" x14ac:dyDescent="0.35">
      <c r="A11" s="7">
        <v>1005</v>
      </c>
      <c r="B11" s="1">
        <v>44938</v>
      </c>
      <c r="C11" s="2" t="s">
        <v>10</v>
      </c>
      <c r="D11" s="2" t="s">
        <v>16</v>
      </c>
      <c r="E11" s="8">
        <v>1</v>
      </c>
    </row>
    <row r="12" spans="1:5" x14ac:dyDescent="0.35">
      <c r="A12" s="7">
        <v>1012</v>
      </c>
      <c r="B12" s="1">
        <v>44938</v>
      </c>
      <c r="C12" s="2" t="s">
        <v>12</v>
      </c>
      <c r="D12" s="2" t="s">
        <v>17</v>
      </c>
      <c r="E12" s="8">
        <v>1</v>
      </c>
    </row>
    <row r="13" spans="1:5" x14ac:dyDescent="0.35">
      <c r="A13" s="7">
        <v>1015</v>
      </c>
      <c r="B13" s="1">
        <v>44939</v>
      </c>
      <c r="C13" s="2" t="s">
        <v>18</v>
      </c>
      <c r="D13" s="2" t="s">
        <v>9</v>
      </c>
      <c r="E13" s="8">
        <v>5</v>
      </c>
    </row>
    <row r="14" spans="1:5" x14ac:dyDescent="0.35">
      <c r="A14" s="7">
        <v>1020</v>
      </c>
      <c r="B14" s="1">
        <v>44942</v>
      </c>
      <c r="C14" s="2" t="s">
        <v>5</v>
      </c>
      <c r="D14" s="2" t="s">
        <v>6</v>
      </c>
      <c r="E14" s="8">
        <v>10</v>
      </c>
    </row>
    <row r="15" spans="1:5" x14ac:dyDescent="0.35">
      <c r="A15" s="7">
        <v>1022</v>
      </c>
      <c r="B15" s="1">
        <v>44944</v>
      </c>
      <c r="C15" s="2" t="s">
        <v>5</v>
      </c>
      <c r="D15" s="2" t="s">
        <v>7</v>
      </c>
      <c r="E15" s="8">
        <v>6</v>
      </c>
    </row>
    <row r="16" spans="1:5" x14ac:dyDescent="0.35">
      <c r="A16" s="7">
        <v>1016</v>
      </c>
      <c r="B16" s="1">
        <v>44948</v>
      </c>
      <c r="C16" s="2" t="s">
        <v>8</v>
      </c>
      <c r="D16" s="2" t="s">
        <v>19</v>
      </c>
      <c r="E16" s="8">
        <v>2</v>
      </c>
    </row>
    <row r="17" spans="1:5" x14ac:dyDescent="0.35">
      <c r="A17" s="7">
        <v>1006</v>
      </c>
      <c r="B17" s="1">
        <v>44950</v>
      </c>
      <c r="C17" s="2" t="s">
        <v>20</v>
      </c>
      <c r="D17" s="2" t="s">
        <v>6</v>
      </c>
      <c r="E17" s="8">
        <v>1</v>
      </c>
    </row>
    <row r="18" spans="1:5" x14ac:dyDescent="0.35">
      <c r="A18" s="7">
        <v>1014</v>
      </c>
      <c r="B18" s="1">
        <v>44950</v>
      </c>
      <c r="C18" s="2" t="s">
        <v>18</v>
      </c>
      <c r="D18" s="2" t="s">
        <v>16</v>
      </c>
      <c r="E18" s="8">
        <v>6</v>
      </c>
    </row>
    <row r="19" spans="1:5" x14ac:dyDescent="0.35">
      <c r="A19" s="7">
        <v>1002</v>
      </c>
      <c r="B19" s="1">
        <v>44951</v>
      </c>
      <c r="C19" s="2" t="s">
        <v>20</v>
      </c>
      <c r="D19" s="2" t="s">
        <v>17</v>
      </c>
      <c r="E19" s="8">
        <v>1</v>
      </c>
    </row>
    <row r="20" spans="1:5" x14ac:dyDescent="0.35">
      <c r="A20" s="7">
        <v>1017</v>
      </c>
      <c r="B20" s="1">
        <v>44953</v>
      </c>
      <c r="C20" s="2" t="s">
        <v>21</v>
      </c>
      <c r="D20" s="2" t="s">
        <v>6</v>
      </c>
      <c r="E20" s="8">
        <v>2</v>
      </c>
    </row>
    <row r="21" spans="1:5" x14ac:dyDescent="0.35">
      <c r="A21" s="7">
        <v>1010</v>
      </c>
      <c r="B21" s="1">
        <v>44954</v>
      </c>
      <c r="C21" s="2" t="s">
        <v>20</v>
      </c>
      <c r="D21" s="2" t="s">
        <v>9</v>
      </c>
      <c r="E21" s="8">
        <v>1</v>
      </c>
    </row>
    <row r="22" spans="1:5" x14ac:dyDescent="0.35">
      <c r="A22" s="7">
        <v>1019</v>
      </c>
      <c r="B22" s="1">
        <v>44955</v>
      </c>
      <c r="C22" s="2" t="s">
        <v>5</v>
      </c>
      <c r="D22" s="2" t="s">
        <v>16</v>
      </c>
      <c r="E22" s="8">
        <v>8</v>
      </c>
    </row>
    <row r="23" spans="1:5" x14ac:dyDescent="0.35">
      <c r="A23" s="7">
        <v>1007</v>
      </c>
      <c r="B23" s="1">
        <v>44956</v>
      </c>
      <c r="C23" s="2" t="s">
        <v>8</v>
      </c>
      <c r="D23" s="2" t="s">
        <v>17</v>
      </c>
      <c r="E23" s="8">
        <v>1</v>
      </c>
    </row>
    <row r="24" spans="1:5" x14ac:dyDescent="0.35">
      <c r="A24" s="7">
        <v>1035</v>
      </c>
      <c r="B24" s="1">
        <v>44958</v>
      </c>
      <c r="C24" s="2" t="s">
        <v>8</v>
      </c>
      <c r="D24" s="2" t="s">
        <v>7</v>
      </c>
      <c r="E24" s="8">
        <v>6</v>
      </c>
    </row>
    <row r="25" spans="1:5" x14ac:dyDescent="0.35">
      <c r="A25" s="7">
        <v>1037</v>
      </c>
      <c r="B25" s="1">
        <v>44959</v>
      </c>
      <c r="C25" s="2" t="s">
        <v>20</v>
      </c>
      <c r="D25" s="2" t="s">
        <v>6</v>
      </c>
      <c r="E25" s="8">
        <v>2</v>
      </c>
    </row>
    <row r="26" spans="1:5" x14ac:dyDescent="0.35">
      <c r="A26" s="7">
        <v>1048</v>
      </c>
      <c r="B26" s="1">
        <v>44959</v>
      </c>
      <c r="C26" s="2" t="s">
        <v>5</v>
      </c>
      <c r="D26" s="2" t="s">
        <v>13</v>
      </c>
      <c r="E26" s="8">
        <v>1</v>
      </c>
    </row>
    <row r="27" spans="1:5" x14ac:dyDescent="0.35">
      <c r="A27" s="7">
        <v>1024</v>
      </c>
      <c r="B27" s="1">
        <v>44960</v>
      </c>
      <c r="C27" s="2" t="s">
        <v>8</v>
      </c>
      <c r="D27" s="2" t="s">
        <v>7</v>
      </c>
      <c r="E27" s="8">
        <v>5</v>
      </c>
    </row>
    <row r="28" spans="1:5" x14ac:dyDescent="0.35">
      <c r="A28" s="7">
        <v>1026</v>
      </c>
      <c r="B28" s="1">
        <v>44960</v>
      </c>
      <c r="C28" s="2" t="s">
        <v>10</v>
      </c>
      <c r="D28" s="2" t="s">
        <v>7</v>
      </c>
      <c r="E28" s="8">
        <v>8</v>
      </c>
    </row>
    <row r="29" spans="1:5" x14ac:dyDescent="0.35">
      <c r="A29" s="7">
        <v>1045</v>
      </c>
      <c r="B29" s="1">
        <v>44960</v>
      </c>
      <c r="C29" s="2" t="s">
        <v>5</v>
      </c>
      <c r="D29" s="2" t="s">
        <v>16</v>
      </c>
      <c r="E29" s="8">
        <v>2</v>
      </c>
    </row>
    <row r="30" spans="1:5" x14ac:dyDescent="0.35">
      <c r="A30" s="7">
        <v>1047</v>
      </c>
      <c r="B30" s="1">
        <v>44960</v>
      </c>
      <c r="C30" s="2" t="s">
        <v>5</v>
      </c>
      <c r="D30" s="2" t="s">
        <v>9</v>
      </c>
      <c r="E30" s="8">
        <v>1</v>
      </c>
    </row>
    <row r="31" spans="1:5" x14ac:dyDescent="0.35">
      <c r="A31" s="7">
        <v>1036</v>
      </c>
      <c r="B31" s="1">
        <v>44961</v>
      </c>
      <c r="C31" s="2" t="s">
        <v>14</v>
      </c>
      <c r="D31" s="2" t="s">
        <v>6</v>
      </c>
      <c r="E31" s="8">
        <v>1</v>
      </c>
    </row>
    <row r="32" spans="1:5" x14ac:dyDescent="0.35">
      <c r="A32" s="7">
        <v>1023</v>
      </c>
      <c r="B32" s="1">
        <v>44965</v>
      </c>
      <c r="C32" s="2" t="s">
        <v>10</v>
      </c>
      <c r="D32" s="2" t="s">
        <v>15</v>
      </c>
      <c r="E32" s="8">
        <v>3</v>
      </c>
    </row>
    <row r="33" spans="1:5" x14ac:dyDescent="0.35">
      <c r="A33" s="7">
        <v>1030</v>
      </c>
      <c r="B33" s="1">
        <v>44971</v>
      </c>
      <c r="C33" s="2" t="s">
        <v>11</v>
      </c>
      <c r="D33" s="2" t="s">
        <v>6</v>
      </c>
      <c r="E33" s="8">
        <v>2</v>
      </c>
    </row>
    <row r="34" spans="1:5" x14ac:dyDescent="0.35">
      <c r="A34" s="7">
        <v>1027</v>
      </c>
      <c r="B34" s="1">
        <v>44972</v>
      </c>
      <c r="C34" s="2" t="s">
        <v>10</v>
      </c>
      <c r="D34" s="2" t="s">
        <v>15</v>
      </c>
      <c r="E34" s="8">
        <v>8</v>
      </c>
    </row>
    <row r="35" spans="1:5" x14ac:dyDescent="0.35">
      <c r="A35" s="7">
        <v>1044</v>
      </c>
      <c r="B35" s="1">
        <v>44972</v>
      </c>
      <c r="C35" s="2" t="s">
        <v>14</v>
      </c>
      <c r="D35" s="2" t="s">
        <v>6</v>
      </c>
      <c r="E35" s="8">
        <v>6</v>
      </c>
    </row>
    <row r="36" spans="1:5" x14ac:dyDescent="0.35">
      <c r="A36" s="7">
        <v>1040</v>
      </c>
      <c r="B36" s="1">
        <v>44973</v>
      </c>
      <c r="C36" s="2" t="s">
        <v>18</v>
      </c>
      <c r="D36" s="2" t="s">
        <v>7</v>
      </c>
      <c r="E36" s="8">
        <v>10</v>
      </c>
    </row>
    <row r="37" spans="1:5" x14ac:dyDescent="0.35">
      <c r="A37" s="7">
        <v>1032</v>
      </c>
      <c r="B37" s="1">
        <v>44974</v>
      </c>
      <c r="C37" s="2" t="s">
        <v>8</v>
      </c>
      <c r="D37" s="2" t="s">
        <v>19</v>
      </c>
      <c r="E37" s="8">
        <v>1</v>
      </c>
    </row>
    <row r="38" spans="1:5" x14ac:dyDescent="0.35">
      <c r="A38" s="7">
        <v>1033</v>
      </c>
      <c r="B38" s="1">
        <v>44974</v>
      </c>
      <c r="C38" s="2" t="s">
        <v>20</v>
      </c>
      <c r="D38" s="2" t="s">
        <v>16</v>
      </c>
      <c r="E38" s="8">
        <v>10</v>
      </c>
    </row>
    <row r="39" spans="1:5" x14ac:dyDescent="0.35">
      <c r="A39" s="7">
        <v>1046</v>
      </c>
      <c r="B39" s="1">
        <v>44975</v>
      </c>
      <c r="C39" s="2" t="s">
        <v>21</v>
      </c>
      <c r="D39" s="2" t="s">
        <v>6</v>
      </c>
      <c r="E39" s="8">
        <v>8</v>
      </c>
    </row>
    <row r="40" spans="1:5" x14ac:dyDescent="0.35">
      <c r="A40" s="7">
        <v>1025</v>
      </c>
      <c r="B40" s="1">
        <v>44978</v>
      </c>
      <c r="C40" s="2" t="s">
        <v>11</v>
      </c>
      <c r="D40" s="2" t="s">
        <v>13</v>
      </c>
      <c r="E40" s="8">
        <v>1</v>
      </c>
    </row>
    <row r="41" spans="1:5" x14ac:dyDescent="0.35">
      <c r="A41" s="7">
        <v>1028</v>
      </c>
      <c r="B41" s="1">
        <v>44979</v>
      </c>
      <c r="C41" s="2" t="s">
        <v>8</v>
      </c>
      <c r="D41" s="2" t="s">
        <v>19</v>
      </c>
      <c r="E41" s="8">
        <v>1</v>
      </c>
    </row>
    <row r="42" spans="1:5" x14ac:dyDescent="0.35">
      <c r="A42" s="7">
        <v>1043</v>
      </c>
      <c r="B42" s="1">
        <v>44979</v>
      </c>
      <c r="C42" s="2" t="s">
        <v>20</v>
      </c>
      <c r="D42" s="2" t="s">
        <v>9</v>
      </c>
      <c r="E42" s="8">
        <v>4</v>
      </c>
    </row>
    <row r="43" spans="1:5" x14ac:dyDescent="0.35">
      <c r="A43" s="7">
        <v>1031</v>
      </c>
      <c r="B43" s="1">
        <v>44981</v>
      </c>
      <c r="C43" s="2" t="s">
        <v>14</v>
      </c>
      <c r="D43" s="2" t="s">
        <v>7</v>
      </c>
      <c r="E43" s="8">
        <v>1</v>
      </c>
    </row>
    <row r="44" spans="1:5" x14ac:dyDescent="0.35">
      <c r="A44" s="7">
        <v>1038</v>
      </c>
      <c r="B44" s="1">
        <v>44981</v>
      </c>
      <c r="C44" s="2" t="s">
        <v>11</v>
      </c>
      <c r="D44" s="2" t="s">
        <v>9</v>
      </c>
      <c r="E44" s="8">
        <v>1</v>
      </c>
    </row>
    <row r="45" spans="1:5" x14ac:dyDescent="0.35">
      <c r="A45" s="7">
        <v>1029</v>
      </c>
      <c r="B45" s="1">
        <v>44982</v>
      </c>
      <c r="C45" s="2" t="s">
        <v>8</v>
      </c>
      <c r="D45" s="2" t="s">
        <v>16</v>
      </c>
      <c r="E45" s="8">
        <v>2</v>
      </c>
    </row>
    <row r="46" spans="1:5" x14ac:dyDescent="0.35">
      <c r="A46" s="7">
        <v>1034</v>
      </c>
      <c r="B46" s="1">
        <v>44982</v>
      </c>
      <c r="C46" s="2" t="s">
        <v>18</v>
      </c>
      <c r="D46" s="2" t="s">
        <v>9</v>
      </c>
      <c r="E46" s="8">
        <v>3</v>
      </c>
    </row>
    <row r="47" spans="1:5" x14ac:dyDescent="0.35">
      <c r="A47" s="7">
        <v>1039</v>
      </c>
      <c r="B47" s="1">
        <v>44982</v>
      </c>
      <c r="C47" s="2" t="s">
        <v>11</v>
      </c>
      <c r="D47" s="2" t="s">
        <v>17</v>
      </c>
      <c r="E47" s="8">
        <v>6</v>
      </c>
    </row>
    <row r="48" spans="1:5" x14ac:dyDescent="0.35">
      <c r="A48" s="7">
        <v>1042</v>
      </c>
      <c r="B48" s="1">
        <v>44982</v>
      </c>
      <c r="C48" s="2" t="s">
        <v>5</v>
      </c>
      <c r="D48" s="2" t="s">
        <v>15</v>
      </c>
      <c r="E48" s="8">
        <v>6</v>
      </c>
    </row>
    <row r="49" spans="1:5" x14ac:dyDescent="0.35">
      <c r="A49" s="7">
        <v>1041</v>
      </c>
      <c r="B49" s="1">
        <v>44985</v>
      </c>
      <c r="C49" s="2" t="s">
        <v>20</v>
      </c>
      <c r="D49" s="2" t="s">
        <v>7</v>
      </c>
      <c r="E49" s="8">
        <v>6</v>
      </c>
    </row>
    <row r="50" spans="1:5" x14ac:dyDescent="0.35">
      <c r="A50" s="7">
        <v>1068</v>
      </c>
      <c r="B50" s="1">
        <v>44987</v>
      </c>
      <c r="C50" s="2" t="s">
        <v>12</v>
      </c>
      <c r="D50" s="2" t="s">
        <v>13</v>
      </c>
      <c r="E50" s="8">
        <v>1</v>
      </c>
    </row>
    <row r="51" spans="1:5" x14ac:dyDescent="0.35">
      <c r="A51" s="7">
        <v>1071</v>
      </c>
      <c r="B51" s="1">
        <v>44988</v>
      </c>
      <c r="C51" s="2" t="s">
        <v>11</v>
      </c>
      <c r="D51" s="2" t="s">
        <v>7</v>
      </c>
      <c r="E51" s="8">
        <v>8</v>
      </c>
    </row>
    <row r="52" spans="1:5" x14ac:dyDescent="0.35">
      <c r="A52" s="7">
        <v>1073</v>
      </c>
      <c r="B52" s="1">
        <v>44988</v>
      </c>
      <c r="C52" s="2" t="s">
        <v>21</v>
      </c>
      <c r="D52" s="2" t="s">
        <v>9</v>
      </c>
      <c r="E52" s="8">
        <v>8</v>
      </c>
    </row>
    <row r="53" spans="1:5" x14ac:dyDescent="0.35">
      <c r="A53" s="7">
        <v>1052</v>
      </c>
      <c r="B53" s="1">
        <v>44989</v>
      </c>
      <c r="C53" s="2" t="s">
        <v>5</v>
      </c>
      <c r="D53" s="2" t="s">
        <v>15</v>
      </c>
      <c r="E53" s="8">
        <v>1</v>
      </c>
    </row>
    <row r="54" spans="1:5" x14ac:dyDescent="0.35">
      <c r="A54" s="7">
        <v>1050</v>
      </c>
      <c r="B54" s="1">
        <v>44990</v>
      </c>
      <c r="C54" s="2" t="s">
        <v>5</v>
      </c>
      <c r="D54" s="2" t="s">
        <v>17</v>
      </c>
      <c r="E54" s="8">
        <v>6</v>
      </c>
    </row>
    <row r="55" spans="1:5" x14ac:dyDescent="0.35">
      <c r="A55" s="7">
        <v>1057</v>
      </c>
      <c r="B55" s="1">
        <v>44990</v>
      </c>
      <c r="C55" s="2" t="s">
        <v>8</v>
      </c>
      <c r="D55" s="2" t="s">
        <v>9</v>
      </c>
      <c r="E55" s="8">
        <v>5</v>
      </c>
    </row>
    <row r="56" spans="1:5" x14ac:dyDescent="0.35">
      <c r="A56" s="7">
        <v>1061</v>
      </c>
      <c r="B56" s="1">
        <v>44991</v>
      </c>
      <c r="C56" s="2" t="s">
        <v>11</v>
      </c>
      <c r="D56" s="2" t="s">
        <v>13</v>
      </c>
      <c r="E56" s="8">
        <v>2</v>
      </c>
    </row>
    <row r="57" spans="1:5" x14ac:dyDescent="0.35">
      <c r="A57" s="7">
        <v>1069</v>
      </c>
      <c r="B57" s="1">
        <v>44991</v>
      </c>
      <c r="C57" s="2" t="s">
        <v>8</v>
      </c>
      <c r="D57" s="2" t="s">
        <v>17</v>
      </c>
      <c r="E57" s="8">
        <v>6</v>
      </c>
    </row>
    <row r="58" spans="1:5" x14ac:dyDescent="0.35">
      <c r="A58" s="7">
        <v>1056</v>
      </c>
      <c r="B58" s="1">
        <v>44992</v>
      </c>
      <c r="C58" s="2" t="s">
        <v>11</v>
      </c>
      <c r="D58" s="2" t="s">
        <v>6</v>
      </c>
      <c r="E58" s="8">
        <v>2</v>
      </c>
    </row>
    <row r="59" spans="1:5" x14ac:dyDescent="0.35">
      <c r="A59" s="7">
        <v>1062</v>
      </c>
      <c r="B59" s="1">
        <v>44992</v>
      </c>
      <c r="C59" s="2" t="s">
        <v>14</v>
      </c>
      <c r="D59" s="2" t="s">
        <v>15</v>
      </c>
      <c r="E59" s="8">
        <v>5</v>
      </c>
    </row>
    <row r="60" spans="1:5" x14ac:dyDescent="0.35">
      <c r="A60" s="7">
        <v>1049</v>
      </c>
      <c r="B60" s="1">
        <v>44994</v>
      </c>
      <c r="C60" s="2" t="s">
        <v>8</v>
      </c>
      <c r="D60" s="2" t="s">
        <v>16</v>
      </c>
      <c r="E60" s="8">
        <v>2</v>
      </c>
    </row>
    <row r="61" spans="1:5" x14ac:dyDescent="0.35">
      <c r="A61" s="7">
        <v>1066</v>
      </c>
      <c r="B61" s="1">
        <v>44995</v>
      </c>
      <c r="C61" s="2" t="s">
        <v>18</v>
      </c>
      <c r="D61" s="2" t="s">
        <v>17</v>
      </c>
      <c r="E61" s="8">
        <v>2</v>
      </c>
    </row>
    <row r="62" spans="1:5" x14ac:dyDescent="0.35">
      <c r="A62" s="7">
        <v>1063</v>
      </c>
      <c r="B62" s="1">
        <v>44998</v>
      </c>
      <c r="C62" s="2" t="s">
        <v>21</v>
      </c>
      <c r="D62" s="2" t="s">
        <v>15</v>
      </c>
      <c r="E62" s="8">
        <v>1</v>
      </c>
    </row>
    <row r="63" spans="1:5" x14ac:dyDescent="0.35">
      <c r="A63" s="7">
        <v>1053</v>
      </c>
      <c r="B63" s="1">
        <v>44999</v>
      </c>
      <c r="C63" s="2" t="s">
        <v>12</v>
      </c>
      <c r="D63" s="2" t="s">
        <v>15</v>
      </c>
      <c r="E63" s="8">
        <v>4</v>
      </c>
    </row>
    <row r="64" spans="1:5" x14ac:dyDescent="0.35">
      <c r="A64" s="7">
        <v>1058</v>
      </c>
      <c r="B64" s="1">
        <v>45000</v>
      </c>
      <c r="C64" s="2" t="s">
        <v>18</v>
      </c>
      <c r="D64" s="2" t="s">
        <v>15</v>
      </c>
      <c r="E64" s="8">
        <v>2</v>
      </c>
    </row>
    <row r="65" spans="1:5" x14ac:dyDescent="0.35">
      <c r="A65" s="7">
        <v>1060</v>
      </c>
      <c r="B65" s="1">
        <v>45003</v>
      </c>
      <c r="C65" s="2" t="s">
        <v>21</v>
      </c>
      <c r="D65" s="2" t="s">
        <v>16</v>
      </c>
      <c r="E65" s="8">
        <v>10</v>
      </c>
    </row>
    <row r="66" spans="1:5" x14ac:dyDescent="0.35">
      <c r="A66" s="7">
        <v>1054</v>
      </c>
      <c r="B66" s="1">
        <v>45006</v>
      </c>
      <c r="C66" s="2" t="s">
        <v>21</v>
      </c>
      <c r="D66" s="2" t="s">
        <v>17</v>
      </c>
      <c r="E66" s="8">
        <v>10</v>
      </c>
    </row>
    <row r="67" spans="1:5" x14ac:dyDescent="0.35">
      <c r="A67" s="7">
        <v>1065</v>
      </c>
      <c r="B67" s="1">
        <v>45008</v>
      </c>
      <c r="C67" s="2" t="s">
        <v>20</v>
      </c>
      <c r="D67" s="2" t="s">
        <v>17</v>
      </c>
      <c r="E67" s="8">
        <v>4</v>
      </c>
    </row>
    <row r="68" spans="1:5" x14ac:dyDescent="0.35">
      <c r="A68" s="7">
        <v>1075</v>
      </c>
      <c r="B68" s="1">
        <v>45008</v>
      </c>
      <c r="C68" s="2" t="s">
        <v>5</v>
      </c>
      <c r="D68" s="2" t="s">
        <v>19</v>
      </c>
      <c r="E68" s="8">
        <v>10</v>
      </c>
    </row>
    <row r="69" spans="1:5" x14ac:dyDescent="0.35">
      <c r="A69" s="7">
        <v>1055</v>
      </c>
      <c r="B69" s="1">
        <v>45009</v>
      </c>
      <c r="C69" s="2" t="s">
        <v>21</v>
      </c>
      <c r="D69" s="2" t="s">
        <v>16</v>
      </c>
      <c r="E69" s="8">
        <v>4</v>
      </c>
    </row>
    <row r="70" spans="1:5" x14ac:dyDescent="0.35">
      <c r="A70" s="7">
        <v>1067</v>
      </c>
      <c r="B70" s="1">
        <v>45009</v>
      </c>
      <c r="C70" s="2" t="s">
        <v>21</v>
      </c>
      <c r="D70" s="2" t="s">
        <v>9</v>
      </c>
      <c r="E70" s="8">
        <v>8</v>
      </c>
    </row>
    <row r="71" spans="1:5" x14ac:dyDescent="0.35">
      <c r="A71" s="7">
        <v>1051</v>
      </c>
      <c r="B71" s="1">
        <v>45011</v>
      </c>
      <c r="C71" s="2" t="s">
        <v>5</v>
      </c>
      <c r="D71" s="2" t="s">
        <v>17</v>
      </c>
      <c r="E71" s="8">
        <v>5</v>
      </c>
    </row>
    <row r="72" spans="1:5" x14ac:dyDescent="0.35">
      <c r="A72" s="7">
        <v>1059</v>
      </c>
      <c r="B72" s="1">
        <v>45011</v>
      </c>
      <c r="C72" s="2" t="s">
        <v>11</v>
      </c>
      <c r="D72" s="2" t="s">
        <v>9</v>
      </c>
      <c r="E72" s="8">
        <v>5</v>
      </c>
    </row>
    <row r="73" spans="1:5" x14ac:dyDescent="0.35">
      <c r="A73" s="7">
        <v>1070</v>
      </c>
      <c r="B73" s="1">
        <v>45013</v>
      </c>
      <c r="C73" s="2" t="s">
        <v>8</v>
      </c>
      <c r="D73" s="2" t="s">
        <v>13</v>
      </c>
      <c r="E73" s="8">
        <v>1</v>
      </c>
    </row>
    <row r="74" spans="1:5" x14ac:dyDescent="0.35">
      <c r="A74" s="7">
        <v>1064</v>
      </c>
      <c r="B74" s="1">
        <v>45015</v>
      </c>
      <c r="C74" s="2" t="s">
        <v>10</v>
      </c>
      <c r="D74" s="2" t="s">
        <v>13</v>
      </c>
      <c r="E74" s="8">
        <v>2</v>
      </c>
    </row>
    <row r="75" spans="1:5" x14ac:dyDescent="0.35">
      <c r="A75" s="7">
        <v>1074</v>
      </c>
      <c r="B75" s="1">
        <v>45015</v>
      </c>
      <c r="C75" s="2" t="s">
        <v>8</v>
      </c>
      <c r="D75" s="2" t="s">
        <v>15</v>
      </c>
      <c r="E75" s="8">
        <v>3</v>
      </c>
    </row>
    <row r="76" spans="1:5" x14ac:dyDescent="0.35">
      <c r="A76" s="7">
        <v>1072</v>
      </c>
      <c r="B76" s="1">
        <v>45016</v>
      </c>
      <c r="C76" s="2" t="s">
        <v>10</v>
      </c>
      <c r="D76" s="2" t="s">
        <v>9</v>
      </c>
      <c r="E76" s="8">
        <v>1</v>
      </c>
    </row>
    <row r="77" spans="1:5" x14ac:dyDescent="0.35">
      <c r="A77" s="7">
        <v>1100</v>
      </c>
      <c r="B77" s="1">
        <v>45017</v>
      </c>
      <c r="C77" s="2" t="s">
        <v>18</v>
      </c>
      <c r="D77" s="2" t="s">
        <v>7</v>
      </c>
      <c r="E77" s="8">
        <v>4</v>
      </c>
    </row>
    <row r="78" spans="1:5" x14ac:dyDescent="0.35">
      <c r="A78" s="7">
        <v>1076</v>
      </c>
      <c r="B78" s="1">
        <v>45021</v>
      </c>
      <c r="C78" s="2" t="s">
        <v>20</v>
      </c>
      <c r="D78" s="2" t="s">
        <v>9</v>
      </c>
      <c r="E78" s="8">
        <v>4</v>
      </c>
    </row>
    <row r="79" spans="1:5" x14ac:dyDescent="0.35">
      <c r="A79" s="7">
        <v>1085</v>
      </c>
      <c r="B79" s="1">
        <v>45021</v>
      </c>
      <c r="C79" s="2" t="s">
        <v>11</v>
      </c>
      <c r="D79" s="2" t="s">
        <v>16</v>
      </c>
      <c r="E79" s="8">
        <v>6</v>
      </c>
    </row>
    <row r="80" spans="1:5" x14ac:dyDescent="0.35">
      <c r="A80" s="7">
        <v>1079</v>
      </c>
      <c r="B80" s="1">
        <v>45023</v>
      </c>
      <c r="C80" s="2" t="s">
        <v>11</v>
      </c>
      <c r="D80" s="2" t="s">
        <v>16</v>
      </c>
      <c r="E80" s="8">
        <v>6</v>
      </c>
    </row>
    <row r="81" spans="1:5" x14ac:dyDescent="0.35">
      <c r="A81" s="7">
        <v>1086</v>
      </c>
      <c r="B81" s="1">
        <v>45023</v>
      </c>
      <c r="C81" s="2" t="s">
        <v>20</v>
      </c>
      <c r="D81" s="2" t="s">
        <v>19</v>
      </c>
      <c r="E81" s="8">
        <v>8</v>
      </c>
    </row>
    <row r="82" spans="1:5" x14ac:dyDescent="0.35">
      <c r="A82" s="7">
        <v>1084</v>
      </c>
      <c r="B82" s="1">
        <v>45025</v>
      </c>
      <c r="C82" s="2" t="s">
        <v>11</v>
      </c>
      <c r="D82" s="2" t="s">
        <v>19</v>
      </c>
      <c r="E82" s="8">
        <v>1</v>
      </c>
    </row>
    <row r="83" spans="1:5" x14ac:dyDescent="0.35">
      <c r="A83" s="7">
        <v>1088</v>
      </c>
      <c r="B83" s="1">
        <v>45025</v>
      </c>
      <c r="C83" s="2" t="s">
        <v>8</v>
      </c>
      <c r="D83" s="2" t="s">
        <v>19</v>
      </c>
      <c r="E83" s="8">
        <v>5</v>
      </c>
    </row>
    <row r="84" spans="1:5" x14ac:dyDescent="0.35">
      <c r="A84" s="7">
        <v>1081</v>
      </c>
      <c r="B84" s="1">
        <v>45026</v>
      </c>
      <c r="C84" s="2" t="s">
        <v>5</v>
      </c>
      <c r="D84" s="2" t="s">
        <v>16</v>
      </c>
      <c r="E84" s="8">
        <v>3</v>
      </c>
    </row>
    <row r="85" spans="1:5" x14ac:dyDescent="0.35">
      <c r="A85" s="7">
        <v>1090</v>
      </c>
      <c r="B85" s="1">
        <v>45027</v>
      </c>
      <c r="C85" s="2" t="s">
        <v>21</v>
      </c>
      <c r="D85" s="2" t="s">
        <v>19</v>
      </c>
      <c r="E85" s="8">
        <v>1</v>
      </c>
    </row>
    <row r="86" spans="1:5" x14ac:dyDescent="0.35">
      <c r="A86" s="7">
        <v>1096</v>
      </c>
      <c r="B86" s="1">
        <v>45028</v>
      </c>
      <c r="C86" s="2" t="s">
        <v>21</v>
      </c>
      <c r="D86" s="2" t="s">
        <v>7</v>
      </c>
      <c r="E86" s="8">
        <v>2</v>
      </c>
    </row>
    <row r="87" spans="1:5" x14ac:dyDescent="0.35">
      <c r="A87" s="7">
        <v>1089</v>
      </c>
      <c r="B87" s="1">
        <v>45030</v>
      </c>
      <c r="C87" s="2" t="s">
        <v>11</v>
      </c>
      <c r="D87" s="2" t="s">
        <v>13</v>
      </c>
      <c r="E87" s="8">
        <v>10</v>
      </c>
    </row>
    <row r="88" spans="1:5" x14ac:dyDescent="0.35">
      <c r="A88" s="7">
        <v>1095</v>
      </c>
      <c r="B88" s="1">
        <v>45030</v>
      </c>
      <c r="C88" s="2" t="s">
        <v>8</v>
      </c>
      <c r="D88" s="2" t="s">
        <v>6</v>
      </c>
      <c r="E88" s="8">
        <v>1</v>
      </c>
    </row>
    <row r="89" spans="1:5" x14ac:dyDescent="0.35">
      <c r="A89" s="7">
        <v>1092</v>
      </c>
      <c r="B89" s="1">
        <v>45034</v>
      </c>
      <c r="C89" s="2" t="s">
        <v>8</v>
      </c>
      <c r="D89" s="2" t="s">
        <v>17</v>
      </c>
      <c r="E89" s="8">
        <v>4</v>
      </c>
    </row>
    <row r="90" spans="1:5" x14ac:dyDescent="0.35">
      <c r="A90" s="7">
        <v>1078</v>
      </c>
      <c r="B90" s="1">
        <v>45036</v>
      </c>
      <c r="C90" s="2" t="s">
        <v>21</v>
      </c>
      <c r="D90" s="2" t="s">
        <v>16</v>
      </c>
      <c r="E90" s="8">
        <v>5</v>
      </c>
    </row>
    <row r="91" spans="1:5" x14ac:dyDescent="0.35">
      <c r="A91" s="7">
        <v>1087</v>
      </c>
      <c r="B91" s="1">
        <v>45037</v>
      </c>
      <c r="C91" s="2" t="s">
        <v>5</v>
      </c>
      <c r="D91" s="2" t="s">
        <v>6</v>
      </c>
      <c r="E91" s="8">
        <v>10</v>
      </c>
    </row>
    <row r="92" spans="1:5" x14ac:dyDescent="0.35">
      <c r="A92" s="7">
        <v>1083</v>
      </c>
      <c r="B92" s="1">
        <v>45038</v>
      </c>
      <c r="C92" s="2" t="s">
        <v>8</v>
      </c>
      <c r="D92" s="2" t="s">
        <v>19</v>
      </c>
      <c r="E92" s="8">
        <v>1</v>
      </c>
    </row>
    <row r="93" spans="1:5" x14ac:dyDescent="0.35">
      <c r="A93" s="7">
        <v>1097</v>
      </c>
      <c r="B93" s="1">
        <v>45038</v>
      </c>
      <c r="C93" s="2" t="s">
        <v>12</v>
      </c>
      <c r="D93" s="2" t="s">
        <v>13</v>
      </c>
      <c r="E93" s="8">
        <v>2</v>
      </c>
    </row>
    <row r="94" spans="1:5" x14ac:dyDescent="0.35">
      <c r="A94" s="7">
        <v>1082</v>
      </c>
      <c r="B94" s="1">
        <v>45039</v>
      </c>
      <c r="C94" s="2" t="s">
        <v>14</v>
      </c>
      <c r="D94" s="2" t="s">
        <v>7</v>
      </c>
      <c r="E94" s="8">
        <v>6</v>
      </c>
    </row>
    <row r="95" spans="1:5" x14ac:dyDescent="0.35">
      <c r="A95" s="7">
        <v>1091</v>
      </c>
      <c r="B95" s="1">
        <v>45040</v>
      </c>
      <c r="C95" s="2" t="s">
        <v>20</v>
      </c>
      <c r="D95" s="2" t="s">
        <v>7</v>
      </c>
      <c r="E95" s="8">
        <v>1</v>
      </c>
    </row>
    <row r="96" spans="1:5" x14ac:dyDescent="0.35">
      <c r="A96" s="7">
        <v>1098</v>
      </c>
      <c r="B96" s="1">
        <v>45041</v>
      </c>
      <c r="C96" s="2" t="s">
        <v>11</v>
      </c>
      <c r="D96" s="2" t="s">
        <v>9</v>
      </c>
      <c r="E96" s="8">
        <v>3</v>
      </c>
    </row>
    <row r="97" spans="1:5" x14ac:dyDescent="0.35">
      <c r="A97" s="7">
        <v>1101</v>
      </c>
      <c r="B97" s="1">
        <v>45042</v>
      </c>
      <c r="C97" s="2" t="s">
        <v>12</v>
      </c>
      <c r="D97" s="2" t="s">
        <v>7</v>
      </c>
      <c r="E97" s="8">
        <v>4</v>
      </c>
    </row>
    <row r="98" spans="1:5" x14ac:dyDescent="0.35">
      <c r="A98" s="7">
        <v>1102</v>
      </c>
      <c r="B98" s="1">
        <v>45042</v>
      </c>
      <c r="C98" s="2" t="s">
        <v>20</v>
      </c>
      <c r="D98" s="2" t="s">
        <v>9</v>
      </c>
      <c r="E98" s="8">
        <v>1</v>
      </c>
    </row>
    <row r="99" spans="1:5" x14ac:dyDescent="0.35">
      <c r="A99" s="7">
        <v>1094</v>
      </c>
      <c r="B99" s="1">
        <v>45043</v>
      </c>
      <c r="C99" s="2" t="s">
        <v>8</v>
      </c>
      <c r="D99" s="2" t="s">
        <v>7</v>
      </c>
      <c r="E99" s="8">
        <v>1</v>
      </c>
    </row>
    <row r="100" spans="1:5" x14ac:dyDescent="0.35">
      <c r="A100" s="7">
        <v>1099</v>
      </c>
      <c r="B100" s="1">
        <v>45044</v>
      </c>
      <c r="C100" s="2" t="s">
        <v>18</v>
      </c>
      <c r="D100" s="2" t="s">
        <v>15</v>
      </c>
      <c r="E100" s="8">
        <v>2</v>
      </c>
    </row>
    <row r="101" spans="1:5" x14ac:dyDescent="0.35">
      <c r="A101" s="7">
        <v>1080</v>
      </c>
      <c r="B101" s="1">
        <v>45045</v>
      </c>
      <c r="C101" s="2" t="s">
        <v>18</v>
      </c>
      <c r="D101" s="2" t="s">
        <v>19</v>
      </c>
      <c r="E101" s="8">
        <v>3</v>
      </c>
    </row>
    <row r="102" spans="1:5" x14ac:dyDescent="0.35">
      <c r="A102" s="7">
        <v>1093</v>
      </c>
      <c r="B102" s="1">
        <v>45045</v>
      </c>
      <c r="C102" s="2" t="s">
        <v>11</v>
      </c>
      <c r="D102" s="2" t="s">
        <v>13</v>
      </c>
      <c r="E102" s="8">
        <v>1</v>
      </c>
    </row>
    <row r="103" spans="1:5" x14ac:dyDescent="0.35">
      <c r="A103" s="7">
        <v>1077</v>
      </c>
      <c r="B103" s="1">
        <v>45046</v>
      </c>
      <c r="C103" s="2" t="s">
        <v>14</v>
      </c>
      <c r="D103" s="2" t="s">
        <v>19</v>
      </c>
      <c r="E103" s="8">
        <v>3</v>
      </c>
    </row>
    <row r="104" spans="1:5" x14ac:dyDescent="0.35">
      <c r="A104" s="7">
        <v>1113</v>
      </c>
      <c r="B104" s="1">
        <v>45047</v>
      </c>
      <c r="C104" s="2" t="s">
        <v>21</v>
      </c>
      <c r="D104" s="2" t="s">
        <v>19</v>
      </c>
      <c r="E104" s="8">
        <v>4</v>
      </c>
    </row>
    <row r="105" spans="1:5" x14ac:dyDescent="0.35">
      <c r="A105" s="7">
        <v>1114</v>
      </c>
      <c r="B105" s="1">
        <v>45049</v>
      </c>
      <c r="C105" s="2" t="s">
        <v>12</v>
      </c>
      <c r="D105" s="2" t="s">
        <v>9</v>
      </c>
      <c r="E105" s="8">
        <v>4</v>
      </c>
    </row>
    <row r="106" spans="1:5" x14ac:dyDescent="0.35">
      <c r="A106" s="7">
        <v>1109</v>
      </c>
      <c r="B106" s="1">
        <v>45052</v>
      </c>
      <c r="C106" s="2" t="s">
        <v>11</v>
      </c>
      <c r="D106" s="2" t="s">
        <v>13</v>
      </c>
      <c r="E106" s="8">
        <v>2</v>
      </c>
    </row>
    <row r="107" spans="1:5" x14ac:dyDescent="0.35">
      <c r="A107" s="7">
        <v>1112</v>
      </c>
      <c r="B107" s="1">
        <v>45053</v>
      </c>
      <c r="C107" s="2" t="s">
        <v>10</v>
      </c>
      <c r="D107" s="2" t="s">
        <v>16</v>
      </c>
      <c r="E107" s="8">
        <v>8</v>
      </c>
    </row>
    <row r="108" spans="1:5" x14ac:dyDescent="0.35">
      <c r="A108" s="7">
        <v>1118</v>
      </c>
      <c r="B108" s="1">
        <v>45053</v>
      </c>
      <c r="C108" s="2" t="s">
        <v>8</v>
      </c>
      <c r="D108" s="2" t="s">
        <v>19</v>
      </c>
      <c r="E108" s="8">
        <v>1</v>
      </c>
    </row>
    <row r="109" spans="1:5" x14ac:dyDescent="0.35">
      <c r="A109" s="7">
        <v>1121</v>
      </c>
      <c r="B109" s="1">
        <v>45053</v>
      </c>
      <c r="C109" s="2" t="s">
        <v>20</v>
      </c>
      <c r="D109" s="2" t="s">
        <v>13</v>
      </c>
      <c r="E109" s="8">
        <v>2</v>
      </c>
    </row>
    <row r="110" spans="1:5" x14ac:dyDescent="0.35">
      <c r="A110" s="7">
        <v>1103</v>
      </c>
      <c r="B110" s="1">
        <v>45054</v>
      </c>
      <c r="C110" s="2" t="s">
        <v>21</v>
      </c>
      <c r="D110" s="2" t="s">
        <v>15</v>
      </c>
      <c r="E110" s="8">
        <v>5</v>
      </c>
    </row>
    <row r="111" spans="1:5" x14ac:dyDescent="0.35">
      <c r="A111" s="7">
        <v>1106</v>
      </c>
      <c r="B111" s="1">
        <v>45055</v>
      </c>
      <c r="C111" s="2" t="s">
        <v>10</v>
      </c>
      <c r="D111" s="2" t="s">
        <v>9</v>
      </c>
      <c r="E111" s="8">
        <v>3</v>
      </c>
    </row>
    <row r="112" spans="1:5" x14ac:dyDescent="0.35">
      <c r="A112" s="7">
        <v>1104</v>
      </c>
      <c r="B112" s="1">
        <v>45056</v>
      </c>
      <c r="C112" s="2" t="s">
        <v>14</v>
      </c>
      <c r="D112" s="2" t="s">
        <v>9</v>
      </c>
      <c r="E112" s="8">
        <v>3</v>
      </c>
    </row>
    <row r="113" spans="1:5" x14ac:dyDescent="0.35">
      <c r="A113" s="7">
        <v>1116</v>
      </c>
      <c r="B113" s="1">
        <v>45056</v>
      </c>
      <c r="C113" s="2" t="s">
        <v>20</v>
      </c>
      <c r="D113" s="2" t="s">
        <v>16</v>
      </c>
      <c r="E113" s="8">
        <v>6</v>
      </c>
    </row>
    <row r="114" spans="1:5" x14ac:dyDescent="0.35">
      <c r="A114" s="7">
        <v>1111</v>
      </c>
      <c r="B114" s="1">
        <v>45060</v>
      </c>
      <c r="C114" s="2" t="s">
        <v>12</v>
      </c>
      <c r="D114" s="2" t="s">
        <v>15</v>
      </c>
      <c r="E114" s="8">
        <v>3</v>
      </c>
    </row>
    <row r="115" spans="1:5" x14ac:dyDescent="0.35">
      <c r="A115" s="7">
        <v>1122</v>
      </c>
      <c r="B115" s="1">
        <v>45061</v>
      </c>
      <c r="C115" s="2" t="s">
        <v>12</v>
      </c>
      <c r="D115" s="2" t="s">
        <v>15</v>
      </c>
      <c r="E115" s="8">
        <v>5</v>
      </c>
    </row>
    <row r="116" spans="1:5" x14ac:dyDescent="0.35">
      <c r="A116" s="7">
        <v>1120</v>
      </c>
      <c r="B116" s="1">
        <v>45064</v>
      </c>
      <c r="C116" s="2" t="s">
        <v>20</v>
      </c>
      <c r="D116" s="2" t="s">
        <v>7</v>
      </c>
      <c r="E116" s="8">
        <v>4</v>
      </c>
    </row>
    <row r="117" spans="1:5" x14ac:dyDescent="0.35">
      <c r="A117" s="7">
        <v>1110</v>
      </c>
      <c r="B117" s="1">
        <v>45066</v>
      </c>
      <c r="C117" s="2" t="s">
        <v>21</v>
      </c>
      <c r="D117" s="2" t="s">
        <v>19</v>
      </c>
      <c r="E117" s="8">
        <v>1</v>
      </c>
    </row>
    <row r="118" spans="1:5" x14ac:dyDescent="0.35">
      <c r="A118" s="7">
        <v>1107</v>
      </c>
      <c r="B118" s="1">
        <v>45067</v>
      </c>
      <c r="C118" s="2" t="s">
        <v>20</v>
      </c>
      <c r="D118" s="2" t="s">
        <v>16</v>
      </c>
      <c r="E118" s="8">
        <v>3</v>
      </c>
    </row>
    <row r="119" spans="1:5" x14ac:dyDescent="0.35">
      <c r="A119" s="7">
        <v>1105</v>
      </c>
      <c r="B119" s="1">
        <v>45068</v>
      </c>
      <c r="C119" s="2" t="s">
        <v>5</v>
      </c>
      <c r="D119" s="2" t="s">
        <v>9</v>
      </c>
      <c r="E119" s="8">
        <v>1</v>
      </c>
    </row>
    <row r="120" spans="1:5" x14ac:dyDescent="0.35">
      <c r="A120" s="7">
        <v>1117</v>
      </c>
      <c r="B120" s="1">
        <v>45069</v>
      </c>
      <c r="C120" s="2" t="s">
        <v>12</v>
      </c>
      <c r="D120" s="2" t="s">
        <v>15</v>
      </c>
      <c r="E120" s="8">
        <v>4</v>
      </c>
    </row>
    <row r="121" spans="1:5" x14ac:dyDescent="0.35">
      <c r="A121" s="7">
        <v>1119</v>
      </c>
      <c r="B121" s="1">
        <v>45070</v>
      </c>
      <c r="C121" s="2" t="s">
        <v>10</v>
      </c>
      <c r="D121" s="2" t="s">
        <v>15</v>
      </c>
      <c r="E121" s="8">
        <v>10</v>
      </c>
    </row>
    <row r="122" spans="1:5" x14ac:dyDescent="0.35">
      <c r="A122" s="7">
        <v>1115</v>
      </c>
      <c r="B122" s="1">
        <v>45074</v>
      </c>
      <c r="C122" s="2" t="s">
        <v>12</v>
      </c>
      <c r="D122" s="2" t="s">
        <v>6</v>
      </c>
      <c r="E122" s="8">
        <v>10</v>
      </c>
    </row>
    <row r="123" spans="1:5" x14ac:dyDescent="0.35">
      <c r="A123" s="7">
        <v>1108</v>
      </c>
      <c r="B123" s="1">
        <v>45077</v>
      </c>
      <c r="C123" s="2" t="s">
        <v>8</v>
      </c>
      <c r="D123" s="2" t="s">
        <v>15</v>
      </c>
      <c r="E123" s="8">
        <v>3</v>
      </c>
    </row>
    <row r="124" spans="1:5" x14ac:dyDescent="0.35">
      <c r="A124" s="7">
        <v>1147</v>
      </c>
      <c r="B124" s="1">
        <v>45078</v>
      </c>
      <c r="C124" s="2" t="s">
        <v>10</v>
      </c>
      <c r="D124" s="2" t="s">
        <v>13</v>
      </c>
      <c r="E124" s="8">
        <v>5</v>
      </c>
    </row>
    <row r="125" spans="1:5" x14ac:dyDescent="0.35">
      <c r="A125" s="7">
        <v>1132</v>
      </c>
      <c r="B125" s="1">
        <v>45079</v>
      </c>
      <c r="C125" s="2" t="s">
        <v>8</v>
      </c>
      <c r="D125" s="2" t="s">
        <v>7</v>
      </c>
      <c r="E125" s="8">
        <v>5</v>
      </c>
    </row>
    <row r="126" spans="1:5" x14ac:dyDescent="0.35">
      <c r="A126" s="7">
        <v>1139</v>
      </c>
      <c r="B126" s="1">
        <v>45080</v>
      </c>
      <c r="C126" s="2" t="s">
        <v>20</v>
      </c>
      <c r="D126" s="2" t="s">
        <v>9</v>
      </c>
      <c r="E126" s="8">
        <v>5</v>
      </c>
    </row>
    <row r="127" spans="1:5" x14ac:dyDescent="0.35">
      <c r="A127" s="7">
        <v>1126</v>
      </c>
      <c r="B127" s="1">
        <v>45082</v>
      </c>
      <c r="C127" s="2" t="s">
        <v>5</v>
      </c>
      <c r="D127" s="2" t="s">
        <v>19</v>
      </c>
      <c r="E127" s="8">
        <v>2</v>
      </c>
    </row>
    <row r="128" spans="1:5" x14ac:dyDescent="0.35">
      <c r="A128" s="7">
        <v>1133</v>
      </c>
      <c r="B128" s="1">
        <v>45082</v>
      </c>
      <c r="C128" s="2" t="s">
        <v>11</v>
      </c>
      <c r="D128" s="2" t="s">
        <v>9</v>
      </c>
      <c r="E128" s="8">
        <v>5</v>
      </c>
    </row>
    <row r="129" spans="1:5" x14ac:dyDescent="0.35">
      <c r="A129" s="7">
        <v>1141</v>
      </c>
      <c r="B129" s="1">
        <v>45082</v>
      </c>
      <c r="C129" s="2" t="s">
        <v>8</v>
      </c>
      <c r="D129" s="2" t="s">
        <v>6</v>
      </c>
      <c r="E129" s="8">
        <v>1</v>
      </c>
    </row>
    <row r="130" spans="1:5" x14ac:dyDescent="0.35">
      <c r="A130" s="7">
        <v>1131</v>
      </c>
      <c r="B130" s="1">
        <v>45085</v>
      </c>
      <c r="C130" s="2" t="s">
        <v>11</v>
      </c>
      <c r="D130" s="2" t="s">
        <v>13</v>
      </c>
      <c r="E130" s="8">
        <v>4</v>
      </c>
    </row>
    <row r="131" spans="1:5" x14ac:dyDescent="0.35">
      <c r="A131" s="7">
        <v>1137</v>
      </c>
      <c r="B131" s="1">
        <v>45086</v>
      </c>
      <c r="C131" s="2" t="s">
        <v>14</v>
      </c>
      <c r="D131" s="2" t="s">
        <v>7</v>
      </c>
      <c r="E131" s="8">
        <v>5</v>
      </c>
    </row>
    <row r="132" spans="1:5" x14ac:dyDescent="0.35">
      <c r="A132" s="7">
        <v>1140</v>
      </c>
      <c r="B132" s="1">
        <v>45088</v>
      </c>
      <c r="C132" s="2" t="s">
        <v>5</v>
      </c>
      <c r="D132" s="2" t="s">
        <v>19</v>
      </c>
      <c r="E132" s="8">
        <v>2</v>
      </c>
    </row>
    <row r="133" spans="1:5" x14ac:dyDescent="0.35">
      <c r="A133" s="7">
        <v>1129</v>
      </c>
      <c r="B133" s="1">
        <v>45090</v>
      </c>
      <c r="C133" s="2" t="s">
        <v>10</v>
      </c>
      <c r="D133" s="2" t="s">
        <v>9</v>
      </c>
      <c r="E133" s="8">
        <v>5</v>
      </c>
    </row>
    <row r="134" spans="1:5" x14ac:dyDescent="0.35">
      <c r="A134" s="7">
        <v>1143</v>
      </c>
      <c r="B134" s="1">
        <v>45091</v>
      </c>
      <c r="C134" s="2" t="s">
        <v>5</v>
      </c>
      <c r="D134" s="2" t="s">
        <v>7</v>
      </c>
      <c r="E134" s="8">
        <v>1</v>
      </c>
    </row>
    <row r="135" spans="1:5" x14ac:dyDescent="0.35">
      <c r="A135" s="7">
        <v>1144</v>
      </c>
      <c r="B135" s="1">
        <v>45092</v>
      </c>
      <c r="C135" s="2" t="s">
        <v>12</v>
      </c>
      <c r="D135" s="2" t="s">
        <v>15</v>
      </c>
      <c r="E135" s="8">
        <v>6</v>
      </c>
    </row>
    <row r="136" spans="1:5" x14ac:dyDescent="0.35">
      <c r="A136" s="7">
        <v>1127</v>
      </c>
      <c r="B136" s="1">
        <v>45093</v>
      </c>
      <c r="C136" s="2" t="s">
        <v>21</v>
      </c>
      <c r="D136" s="2" t="s">
        <v>13</v>
      </c>
      <c r="E136" s="8">
        <v>2</v>
      </c>
    </row>
    <row r="137" spans="1:5" x14ac:dyDescent="0.35">
      <c r="A137" s="7">
        <v>1138</v>
      </c>
      <c r="B137" s="1">
        <v>45093</v>
      </c>
      <c r="C137" s="2" t="s">
        <v>20</v>
      </c>
      <c r="D137" s="2" t="s">
        <v>9</v>
      </c>
      <c r="E137" s="8">
        <v>6</v>
      </c>
    </row>
    <row r="138" spans="1:5" x14ac:dyDescent="0.35">
      <c r="A138" s="7">
        <v>1124</v>
      </c>
      <c r="B138" s="1">
        <v>45094</v>
      </c>
      <c r="C138" s="2" t="s">
        <v>11</v>
      </c>
      <c r="D138" s="2" t="s">
        <v>7</v>
      </c>
      <c r="E138" s="8">
        <v>2</v>
      </c>
    </row>
    <row r="139" spans="1:5" x14ac:dyDescent="0.35">
      <c r="A139" s="7">
        <v>1134</v>
      </c>
      <c r="B139" s="1">
        <v>45097</v>
      </c>
      <c r="C139" s="2" t="s">
        <v>8</v>
      </c>
      <c r="D139" s="2" t="s">
        <v>17</v>
      </c>
      <c r="E139" s="8">
        <v>6</v>
      </c>
    </row>
    <row r="140" spans="1:5" x14ac:dyDescent="0.35">
      <c r="A140" s="7">
        <v>1125</v>
      </c>
      <c r="B140" s="1">
        <v>45099</v>
      </c>
      <c r="C140" s="2" t="s">
        <v>11</v>
      </c>
      <c r="D140" s="2" t="s">
        <v>6</v>
      </c>
      <c r="E140" s="8">
        <v>2</v>
      </c>
    </row>
    <row r="141" spans="1:5" x14ac:dyDescent="0.35">
      <c r="A141" s="7">
        <v>1130</v>
      </c>
      <c r="B141" s="1">
        <v>45100</v>
      </c>
      <c r="C141" s="2" t="s">
        <v>18</v>
      </c>
      <c r="D141" s="2" t="s">
        <v>9</v>
      </c>
      <c r="E141" s="8">
        <v>10</v>
      </c>
    </row>
    <row r="142" spans="1:5" x14ac:dyDescent="0.35">
      <c r="A142" s="7">
        <v>1142</v>
      </c>
      <c r="B142" s="1">
        <v>45100</v>
      </c>
      <c r="C142" s="2" t="s">
        <v>5</v>
      </c>
      <c r="D142" s="2" t="s">
        <v>7</v>
      </c>
      <c r="E142" s="8">
        <v>4</v>
      </c>
    </row>
    <row r="143" spans="1:5" x14ac:dyDescent="0.35">
      <c r="A143" s="7">
        <v>1146</v>
      </c>
      <c r="B143" s="1">
        <v>45100</v>
      </c>
      <c r="C143" s="2" t="s">
        <v>10</v>
      </c>
      <c r="D143" s="2" t="s">
        <v>15</v>
      </c>
      <c r="E143" s="8">
        <v>8</v>
      </c>
    </row>
    <row r="144" spans="1:5" x14ac:dyDescent="0.35">
      <c r="A144" s="7">
        <v>1123</v>
      </c>
      <c r="B144" s="1">
        <v>45103</v>
      </c>
      <c r="C144" s="2" t="s">
        <v>8</v>
      </c>
      <c r="D144" s="2" t="s">
        <v>9</v>
      </c>
      <c r="E144" s="8">
        <v>5</v>
      </c>
    </row>
    <row r="145" spans="1:5" x14ac:dyDescent="0.35">
      <c r="A145" s="7">
        <v>1135</v>
      </c>
      <c r="B145" s="1">
        <v>45104</v>
      </c>
      <c r="C145" s="2" t="s">
        <v>14</v>
      </c>
      <c r="D145" s="2" t="s">
        <v>6</v>
      </c>
      <c r="E145" s="8">
        <v>8</v>
      </c>
    </row>
    <row r="146" spans="1:5" x14ac:dyDescent="0.35">
      <c r="A146" s="7">
        <v>1145</v>
      </c>
      <c r="B146" s="1">
        <v>45104</v>
      </c>
      <c r="C146" s="2" t="s">
        <v>21</v>
      </c>
      <c r="D146" s="2" t="s">
        <v>15</v>
      </c>
      <c r="E146" s="8">
        <v>2</v>
      </c>
    </row>
    <row r="147" spans="1:5" x14ac:dyDescent="0.35">
      <c r="A147" s="7">
        <v>1148</v>
      </c>
      <c r="B147" s="1">
        <v>45105</v>
      </c>
      <c r="C147" s="2" t="s">
        <v>20</v>
      </c>
      <c r="D147" s="2" t="s">
        <v>6</v>
      </c>
      <c r="E147" s="8">
        <v>4</v>
      </c>
    </row>
    <row r="148" spans="1:5" x14ac:dyDescent="0.35">
      <c r="A148" s="7">
        <v>1128</v>
      </c>
      <c r="B148" s="1">
        <v>45106</v>
      </c>
      <c r="C148" s="2" t="s">
        <v>14</v>
      </c>
      <c r="D148" s="2" t="s">
        <v>16</v>
      </c>
      <c r="E148" s="8">
        <v>4</v>
      </c>
    </row>
    <row r="149" spans="1:5" x14ac:dyDescent="0.35">
      <c r="A149" s="7">
        <v>1136</v>
      </c>
      <c r="B149" s="1">
        <v>45106</v>
      </c>
      <c r="C149" s="2" t="s">
        <v>8</v>
      </c>
      <c r="D149" s="2" t="s">
        <v>15</v>
      </c>
      <c r="E149" s="8">
        <v>5</v>
      </c>
    </row>
    <row r="150" spans="1:5" x14ac:dyDescent="0.35">
      <c r="A150" s="7">
        <v>1155</v>
      </c>
      <c r="B150" s="1">
        <v>45109</v>
      </c>
      <c r="C150" s="2" t="s">
        <v>14</v>
      </c>
      <c r="D150" s="2" t="s">
        <v>7</v>
      </c>
      <c r="E150" s="8">
        <v>1</v>
      </c>
    </row>
    <row r="151" spans="1:5" x14ac:dyDescent="0.35">
      <c r="A151" s="7">
        <v>1168</v>
      </c>
      <c r="B151" s="1">
        <v>45110</v>
      </c>
      <c r="C151" s="2" t="s">
        <v>10</v>
      </c>
      <c r="D151" s="2" t="s">
        <v>15</v>
      </c>
      <c r="E151" s="8">
        <v>2</v>
      </c>
    </row>
    <row r="152" spans="1:5" x14ac:dyDescent="0.35">
      <c r="A152" s="7">
        <v>1166</v>
      </c>
      <c r="B152" s="1">
        <v>45111</v>
      </c>
      <c r="C152" s="2" t="s">
        <v>18</v>
      </c>
      <c r="D152" s="2" t="s">
        <v>16</v>
      </c>
      <c r="E152" s="8">
        <v>2</v>
      </c>
    </row>
    <row r="153" spans="1:5" x14ac:dyDescent="0.35">
      <c r="A153" s="7">
        <v>1156</v>
      </c>
      <c r="B153" s="1">
        <v>45114</v>
      </c>
      <c r="C153" s="2" t="s">
        <v>10</v>
      </c>
      <c r="D153" s="2" t="s">
        <v>19</v>
      </c>
      <c r="E153" s="8">
        <v>3</v>
      </c>
    </row>
    <row r="154" spans="1:5" x14ac:dyDescent="0.35">
      <c r="A154" s="7">
        <v>1178</v>
      </c>
      <c r="B154" s="1">
        <v>45115</v>
      </c>
      <c r="C154" s="2" t="s">
        <v>20</v>
      </c>
      <c r="D154" s="2" t="s">
        <v>16</v>
      </c>
      <c r="E154" s="8">
        <v>5</v>
      </c>
    </row>
    <row r="155" spans="1:5" x14ac:dyDescent="0.35">
      <c r="A155" s="7">
        <v>1149</v>
      </c>
      <c r="B155" s="1">
        <v>45116</v>
      </c>
      <c r="C155" s="2" t="s">
        <v>14</v>
      </c>
      <c r="D155" s="2" t="s">
        <v>9</v>
      </c>
      <c r="E155" s="8">
        <v>2</v>
      </c>
    </row>
    <row r="156" spans="1:5" x14ac:dyDescent="0.35">
      <c r="A156" s="7">
        <v>1158</v>
      </c>
      <c r="B156" s="1">
        <v>45116</v>
      </c>
      <c r="C156" s="2" t="s">
        <v>20</v>
      </c>
      <c r="D156" s="2" t="s">
        <v>15</v>
      </c>
      <c r="E156" s="8">
        <v>4</v>
      </c>
    </row>
    <row r="157" spans="1:5" x14ac:dyDescent="0.35">
      <c r="A157" s="7">
        <v>1175</v>
      </c>
      <c r="B157" s="1">
        <v>45116</v>
      </c>
      <c r="C157" s="2" t="s">
        <v>8</v>
      </c>
      <c r="D157" s="2" t="s">
        <v>7</v>
      </c>
      <c r="E157" s="8">
        <v>10</v>
      </c>
    </row>
    <row r="158" spans="1:5" x14ac:dyDescent="0.35">
      <c r="A158" s="7">
        <v>1150</v>
      </c>
      <c r="B158" s="1">
        <v>45120</v>
      </c>
      <c r="C158" s="2" t="s">
        <v>14</v>
      </c>
      <c r="D158" s="2" t="s">
        <v>15</v>
      </c>
      <c r="E158" s="8">
        <v>1</v>
      </c>
    </row>
    <row r="159" spans="1:5" x14ac:dyDescent="0.35">
      <c r="A159" s="7">
        <v>1154</v>
      </c>
      <c r="B159" s="1">
        <v>45121</v>
      </c>
      <c r="C159" s="2" t="s">
        <v>11</v>
      </c>
      <c r="D159" s="2" t="s">
        <v>13</v>
      </c>
      <c r="E159" s="8">
        <v>10</v>
      </c>
    </row>
    <row r="160" spans="1:5" x14ac:dyDescent="0.35">
      <c r="A160" s="7">
        <v>1174</v>
      </c>
      <c r="B160" s="1">
        <v>45121</v>
      </c>
      <c r="C160" s="2" t="s">
        <v>14</v>
      </c>
      <c r="D160" s="2" t="s">
        <v>6</v>
      </c>
      <c r="E160" s="8">
        <v>1</v>
      </c>
    </row>
    <row r="161" spans="1:5" x14ac:dyDescent="0.35">
      <c r="A161" s="7">
        <v>1163</v>
      </c>
      <c r="B161" s="1">
        <v>45123</v>
      </c>
      <c r="C161" s="2" t="s">
        <v>5</v>
      </c>
      <c r="D161" s="2" t="s">
        <v>7</v>
      </c>
      <c r="E161" s="8">
        <v>1</v>
      </c>
    </row>
    <row r="162" spans="1:5" x14ac:dyDescent="0.35">
      <c r="A162" s="7">
        <v>1171</v>
      </c>
      <c r="B162" s="1">
        <v>45124</v>
      </c>
      <c r="C162" s="2" t="s">
        <v>12</v>
      </c>
      <c r="D162" s="2" t="s">
        <v>15</v>
      </c>
      <c r="E162" s="8">
        <v>1</v>
      </c>
    </row>
    <row r="163" spans="1:5" x14ac:dyDescent="0.35">
      <c r="A163" s="7">
        <v>1152</v>
      </c>
      <c r="B163" s="1">
        <v>45125</v>
      </c>
      <c r="C163" s="2" t="s">
        <v>18</v>
      </c>
      <c r="D163" s="2" t="s">
        <v>17</v>
      </c>
      <c r="E163" s="8">
        <v>8</v>
      </c>
    </row>
    <row r="164" spans="1:5" x14ac:dyDescent="0.35">
      <c r="A164" s="7">
        <v>1170</v>
      </c>
      <c r="B164" s="1">
        <v>45125</v>
      </c>
      <c r="C164" s="2" t="s">
        <v>21</v>
      </c>
      <c r="D164" s="2" t="s">
        <v>16</v>
      </c>
      <c r="E164" s="8">
        <v>3</v>
      </c>
    </row>
    <row r="165" spans="1:5" x14ac:dyDescent="0.35">
      <c r="A165" s="7">
        <v>1153</v>
      </c>
      <c r="B165" s="1">
        <v>45126</v>
      </c>
      <c r="C165" s="2" t="s">
        <v>10</v>
      </c>
      <c r="D165" s="2" t="s">
        <v>13</v>
      </c>
      <c r="E165" s="8">
        <v>8</v>
      </c>
    </row>
    <row r="166" spans="1:5" x14ac:dyDescent="0.35">
      <c r="A166" s="7">
        <v>1162</v>
      </c>
      <c r="B166" s="1">
        <v>45127</v>
      </c>
      <c r="C166" s="2" t="s">
        <v>5</v>
      </c>
      <c r="D166" s="2" t="s">
        <v>9</v>
      </c>
      <c r="E166" s="8">
        <v>1</v>
      </c>
    </row>
    <row r="167" spans="1:5" x14ac:dyDescent="0.35">
      <c r="A167" s="7">
        <v>1165</v>
      </c>
      <c r="B167" s="1">
        <v>45127</v>
      </c>
      <c r="C167" s="2" t="s">
        <v>12</v>
      </c>
      <c r="D167" s="2" t="s">
        <v>19</v>
      </c>
      <c r="E167" s="8">
        <v>1</v>
      </c>
    </row>
    <row r="168" spans="1:5" x14ac:dyDescent="0.35">
      <c r="A168" s="7">
        <v>1160</v>
      </c>
      <c r="B168" s="1">
        <v>45128</v>
      </c>
      <c r="C168" s="2" t="s">
        <v>12</v>
      </c>
      <c r="D168" s="2" t="s">
        <v>13</v>
      </c>
      <c r="E168" s="8">
        <v>2</v>
      </c>
    </row>
    <row r="169" spans="1:5" x14ac:dyDescent="0.35">
      <c r="A169" s="7">
        <v>1167</v>
      </c>
      <c r="B169" s="1">
        <v>45129</v>
      </c>
      <c r="C169" s="2" t="s">
        <v>20</v>
      </c>
      <c r="D169" s="2" t="s">
        <v>13</v>
      </c>
      <c r="E169" s="8">
        <v>8</v>
      </c>
    </row>
    <row r="170" spans="1:5" x14ac:dyDescent="0.35">
      <c r="A170" s="7">
        <v>1164</v>
      </c>
      <c r="B170" s="1">
        <v>45130</v>
      </c>
      <c r="C170" s="2" t="s">
        <v>5</v>
      </c>
      <c r="D170" s="2" t="s">
        <v>16</v>
      </c>
      <c r="E170" s="8">
        <v>5</v>
      </c>
    </row>
    <row r="171" spans="1:5" x14ac:dyDescent="0.35">
      <c r="A171" s="7">
        <v>1159</v>
      </c>
      <c r="B171" s="1">
        <v>45131</v>
      </c>
      <c r="C171" s="2" t="s">
        <v>14</v>
      </c>
      <c r="D171" s="2" t="s">
        <v>16</v>
      </c>
      <c r="E171" s="8">
        <v>1</v>
      </c>
    </row>
    <row r="172" spans="1:5" x14ac:dyDescent="0.35">
      <c r="A172" s="7">
        <v>1157</v>
      </c>
      <c r="B172" s="1">
        <v>45132</v>
      </c>
      <c r="C172" s="2" t="s">
        <v>12</v>
      </c>
      <c r="D172" s="2" t="s">
        <v>17</v>
      </c>
      <c r="E172" s="8">
        <v>3</v>
      </c>
    </row>
    <row r="173" spans="1:5" x14ac:dyDescent="0.35">
      <c r="A173" s="7">
        <v>1151</v>
      </c>
      <c r="B173" s="1">
        <v>45134</v>
      </c>
      <c r="C173" s="2" t="s">
        <v>10</v>
      </c>
      <c r="D173" s="2" t="s">
        <v>6</v>
      </c>
      <c r="E173" s="8">
        <v>1</v>
      </c>
    </row>
    <row r="174" spans="1:5" x14ac:dyDescent="0.35">
      <c r="A174" s="7">
        <v>1172</v>
      </c>
      <c r="B174" s="1">
        <v>45134</v>
      </c>
      <c r="C174" s="2" t="s">
        <v>21</v>
      </c>
      <c r="D174" s="2" t="s">
        <v>6</v>
      </c>
      <c r="E174" s="8">
        <v>4</v>
      </c>
    </row>
    <row r="175" spans="1:5" x14ac:dyDescent="0.35">
      <c r="A175" s="7">
        <v>1176</v>
      </c>
      <c r="B175" s="1">
        <v>45134</v>
      </c>
      <c r="C175" s="2" t="s">
        <v>14</v>
      </c>
      <c r="D175" s="2" t="s">
        <v>17</v>
      </c>
      <c r="E175" s="8">
        <v>4</v>
      </c>
    </row>
    <row r="176" spans="1:5" x14ac:dyDescent="0.35">
      <c r="A176" s="7">
        <v>1177</v>
      </c>
      <c r="B176" s="1">
        <v>45134</v>
      </c>
      <c r="C176" s="2" t="s">
        <v>12</v>
      </c>
      <c r="D176" s="2" t="s">
        <v>19</v>
      </c>
      <c r="E176" s="8">
        <v>2</v>
      </c>
    </row>
    <row r="177" spans="1:5" x14ac:dyDescent="0.35">
      <c r="A177" s="7">
        <v>1169</v>
      </c>
      <c r="B177" s="1">
        <v>45135</v>
      </c>
      <c r="C177" s="2" t="s">
        <v>11</v>
      </c>
      <c r="D177" s="2" t="s">
        <v>9</v>
      </c>
      <c r="E177" s="8">
        <v>2</v>
      </c>
    </row>
    <row r="178" spans="1:5" x14ac:dyDescent="0.35">
      <c r="A178" s="7">
        <v>1161</v>
      </c>
      <c r="B178" s="1">
        <v>45138</v>
      </c>
      <c r="C178" s="2" t="s">
        <v>21</v>
      </c>
      <c r="D178" s="2" t="s">
        <v>16</v>
      </c>
      <c r="E178" s="8">
        <v>1</v>
      </c>
    </row>
    <row r="179" spans="1:5" x14ac:dyDescent="0.35">
      <c r="A179" s="7">
        <v>1173</v>
      </c>
      <c r="B179" s="1">
        <v>45138</v>
      </c>
      <c r="C179" s="2" t="s">
        <v>11</v>
      </c>
      <c r="D179" s="2" t="s">
        <v>17</v>
      </c>
      <c r="E179" s="8">
        <v>4</v>
      </c>
    </row>
    <row r="180" spans="1:5" x14ac:dyDescent="0.35">
      <c r="A180" s="7">
        <v>1186</v>
      </c>
      <c r="B180" s="1">
        <v>45141</v>
      </c>
      <c r="C180" s="2" t="s">
        <v>14</v>
      </c>
      <c r="D180" s="2" t="s">
        <v>17</v>
      </c>
      <c r="E180" s="8">
        <v>1</v>
      </c>
    </row>
    <row r="181" spans="1:5" x14ac:dyDescent="0.35">
      <c r="A181" s="7">
        <v>1204</v>
      </c>
      <c r="B181" s="1">
        <v>45141</v>
      </c>
      <c r="C181" s="2" t="s">
        <v>10</v>
      </c>
      <c r="D181" s="2" t="s">
        <v>16</v>
      </c>
      <c r="E181" s="8">
        <v>5</v>
      </c>
    </row>
    <row r="182" spans="1:5" x14ac:dyDescent="0.35">
      <c r="A182" s="7">
        <v>1203</v>
      </c>
      <c r="B182" s="1">
        <v>45142</v>
      </c>
      <c r="C182" s="2" t="s">
        <v>20</v>
      </c>
      <c r="D182" s="2" t="s">
        <v>13</v>
      </c>
      <c r="E182" s="8">
        <v>5</v>
      </c>
    </row>
    <row r="183" spans="1:5" x14ac:dyDescent="0.35">
      <c r="A183" s="7">
        <v>1206</v>
      </c>
      <c r="B183" s="1">
        <v>45142</v>
      </c>
      <c r="C183" s="2" t="s">
        <v>11</v>
      </c>
      <c r="D183" s="2" t="s">
        <v>19</v>
      </c>
      <c r="E183" s="8">
        <v>2</v>
      </c>
    </row>
    <row r="184" spans="1:5" x14ac:dyDescent="0.35">
      <c r="A184" s="7">
        <v>1180</v>
      </c>
      <c r="B184" s="1">
        <v>45145</v>
      </c>
      <c r="C184" s="2" t="s">
        <v>18</v>
      </c>
      <c r="D184" s="2" t="s">
        <v>6</v>
      </c>
      <c r="E184" s="8">
        <v>5</v>
      </c>
    </row>
    <row r="185" spans="1:5" x14ac:dyDescent="0.35">
      <c r="A185" s="7">
        <v>1181</v>
      </c>
      <c r="B185" s="1">
        <v>45147</v>
      </c>
      <c r="C185" s="2" t="s">
        <v>20</v>
      </c>
      <c r="D185" s="2" t="s">
        <v>6</v>
      </c>
      <c r="E185" s="8">
        <v>3</v>
      </c>
    </row>
    <row r="186" spans="1:5" x14ac:dyDescent="0.35">
      <c r="A186" s="7">
        <v>1198</v>
      </c>
      <c r="B186" s="1">
        <v>45147</v>
      </c>
      <c r="C186" s="2" t="s">
        <v>8</v>
      </c>
      <c r="D186" s="2" t="s">
        <v>13</v>
      </c>
      <c r="E186" s="8">
        <v>1</v>
      </c>
    </row>
    <row r="187" spans="1:5" x14ac:dyDescent="0.35">
      <c r="A187" s="7">
        <v>1191</v>
      </c>
      <c r="B187" s="1">
        <v>45148</v>
      </c>
      <c r="C187" s="2" t="s">
        <v>14</v>
      </c>
      <c r="D187" s="2" t="s">
        <v>6</v>
      </c>
      <c r="E187" s="8">
        <v>2</v>
      </c>
    </row>
    <row r="188" spans="1:5" x14ac:dyDescent="0.35">
      <c r="A188" s="7">
        <v>1196</v>
      </c>
      <c r="B188" s="1">
        <v>45148</v>
      </c>
      <c r="C188" s="2" t="s">
        <v>11</v>
      </c>
      <c r="D188" s="2" t="s">
        <v>19</v>
      </c>
      <c r="E188" s="8">
        <v>2</v>
      </c>
    </row>
    <row r="189" spans="1:5" x14ac:dyDescent="0.35">
      <c r="A189" s="7">
        <v>1197</v>
      </c>
      <c r="B189" s="1">
        <v>45148</v>
      </c>
      <c r="C189" s="2" t="s">
        <v>12</v>
      </c>
      <c r="D189" s="2" t="s">
        <v>9</v>
      </c>
      <c r="E189" s="8">
        <v>1</v>
      </c>
    </row>
    <row r="190" spans="1:5" x14ac:dyDescent="0.35">
      <c r="A190" s="7">
        <v>1199</v>
      </c>
      <c r="B190" s="1">
        <v>45148</v>
      </c>
      <c r="C190" s="2" t="s">
        <v>21</v>
      </c>
      <c r="D190" s="2" t="s">
        <v>13</v>
      </c>
      <c r="E190" s="8">
        <v>6</v>
      </c>
    </row>
    <row r="191" spans="1:5" x14ac:dyDescent="0.35">
      <c r="A191" s="7">
        <v>1190</v>
      </c>
      <c r="B191" s="1">
        <v>45149</v>
      </c>
      <c r="C191" s="2" t="s">
        <v>10</v>
      </c>
      <c r="D191" s="2" t="s">
        <v>6</v>
      </c>
      <c r="E191" s="8">
        <v>6</v>
      </c>
    </row>
    <row r="192" spans="1:5" x14ac:dyDescent="0.35">
      <c r="A192" s="7">
        <v>1207</v>
      </c>
      <c r="B192" s="1">
        <v>45151</v>
      </c>
      <c r="C192" s="2" t="s">
        <v>5</v>
      </c>
      <c r="D192" s="2" t="s">
        <v>15</v>
      </c>
      <c r="E192" s="8">
        <v>6</v>
      </c>
    </row>
    <row r="193" spans="1:5" x14ac:dyDescent="0.35">
      <c r="A193" s="7">
        <v>1179</v>
      </c>
      <c r="B193" s="1">
        <v>45154</v>
      </c>
      <c r="C193" s="2" t="s">
        <v>12</v>
      </c>
      <c r="D193" s="2" t="s">
        <v>15</v>
      </c>
      <c r="E193" s="8">
        <v>1</v>
      </c>
    </row>
    <row r="194" spans="1:5" x14ac:dyDescent="0.35">
      <c r="A194" s="7">
        <v>1201</v>
      </c>
      <c r="B194" s="1">
        <v>45154</v>
      </c>
      <c r="C194" s="2" t="s">
        <v>20</v>
      </c>
      <c r="D194" s="2" t="s">
        <v>13</v>
      </c>
      <c r="E194" s="8">
        <v>5</v>
      </c>
    </row>
    <row r="195" spans="1:5" x14ac:dyDescent="0.35">
      <c r="A195" s="7">
        <v>1182</v>
      </c>
      <c r="B195" s="1">
        <v>45155</v>
      </c>
      <c r="C195" s="2" t="s">
        <v>8</v>
      </c>
      <c r="D195" s="2" t="s">
        <v>19</v>
      </c>
      <c r="E195" s="8">
        <v>1</v>
      </c>
    </row>
    <row r="196" spans="1:5" x14ac:dyDescent="0.35">
      <c r="A196" s="7">
        <v>1189</v>
      </c>
      <c r="B196" s="1">
        <v>45155</v>
      </c>
      <c r="C196" s="2" t="s">
        <v>14</v>
      </c>
      <c r="D196" s="2" t="s">
        <v>6</v>
      </c>
      <c r="E196" s="8">
        <v>6</v>
      </c>
    </row>
    <row r="197" spans="1:5" x14ac:dyDescent="0.35">
      <c r="A197" s="7">
        <v>1188</v>
      </c>
      <c r="B197" s="1">
        <v>45157</v>
      </c>
      <c r="C197" s="2" t="s">
        <v>20</v>
      </c>
      <c r="D197" s="2" t="s">
        <v>9</v>
      </c>
      <c r="E197" s="8">
        <v>10</v>
      </c>
    </row>
    <row r="198" spans="1:5" x14ac:dyDescent="0.35">
      <c r="A198" s="7">
        <v>1209</v>
      </c>
      <c r="B198" s="1">
        <v>45158</v>
      </c>
      <c r="C198" s="2" t="s">
        <v>20</v>
      </c>
      <c r="D198" s="2" t="s">
        <v>15</v>
      </c>
      <c r="E198" s="8">
        <v>8</v>
      </c>
    </row>
    <row r="199" spans="1:5" x14ac:dyDescent="0.35">
      <c r="A199" s="7">
        <v>1185</v>
      </c>
      <c r="B199" s="1">
        <v>45161</v>
      </c>
      <c r="C199" s="2" t="s">
        <v>14</v>
      </c>
      <c r="D199" s="2" t="s">
        <v>9</v>
      </c>
      <c r="E199" s="8">
        <v>10</v>
      </c>
    </row>
    <row r="200" spans="1:5" x14ac:dyDescent="0.35">
      <c r="A200" s="7">
        <v>1187</v>
      </c>
      <c r="B200" s="1">
        <v>45161</v>
      </c>
      <c r="C200" s="2" t="s">
        <v>5</v>
      </c>
      <c r="D200" s="2" t="s">
        <v>19</v>
      </c>
      <c r="E200" s="8">
        <v>4</v>
      </c>
    </row>
    <row r="201" spans="1:5" x14ac:dyDescent="0.35">
      <c r="A201" s="7">
        <v>1183</v>
      </c>
      <c r="B201" s="1">
        <v>45162</v>
      </c>
      <c r="C201" s="2" t="s">
        <v>11</v>
      </c>
      <c r="D201" s="2" t="s">
        <v>9</v>
      </c>
      <c r="E201" s="8">
        <v>2</v>
      </c>
    </row>
    <row r="202" spans="1:5" x14ac:dyDescent="0.35">
      <c r="A202" s="7">
        <v>1192</v>
      </c>
      <c r="B202" s="1">
        <v>45162</v>
      </c>
      <c r="C202" s="2" t="s">
        <v>5</v>
      </c>
      <c r="D202" s="2" t="s">
        <v>19</v>
      </c>
      <c r="E202" s="8">
        <v>1</v>
      </c>
    </row>
    <row r="203" spans="1:5" x14ac:dyDescent="0.35">
      <c r="A203" s="7">
        <v>1193</v>
      </c>
      <c r="B203" s="1">
        <v>45162</v>
      </c>
      <c r="C203" s="2" t="s">
        <v>12</v>
      </c>
      <c r="D203" s="2" t="s">
        <v>9</v>
      </c>
      <c r="E203" s="8">
        <v>1</v>
      </c>
    </row>
    <row r="204" spans="1:5" x14ac:dyDescent="0.35">
      <c r="A204" s="7">
        <v>1194</v>
      </c>
      <c r="B204" s="1">
        <v>45162</v>
      </c>
      <c r="C204" s="2" t="s">
        <v>5</v>
      </c>
      <c r="D204" s="2" t="s">
        <v>7</v>
      </c>
      <c r="E204" s="8">
        <v>2</v>
      </c>
    </row>
    <row r="205" spans="1:5" x14ac:dyDescent="0.35">
      <c r="A205" s="7">
        <v>1184</v>
      </c>
      <c r="B205" s="1">
        <v>45163</v>
      </c>
      <c r="C205" s="2" t="s">
        <v>14</v>
      </c>
      <c r="D205" s="2" t="s">
        <v>15</v>
      </c>
      <c r="E205" s="8">
        <v>6</v>
      </c>
    </row>
    <row r="206" spans="1:5" x14ac:dyDescent="0.35">
      <c r="A206" s="7">
        <v>1195</v>
      </c>
      <c r="B206" s="1">
        <v>45163</v>
      </c>
      <c r="C206" s="2" t="s">
        <v>20</v>
      </c>
      <c r="D206" s="2" t="s">
        <v>17</v>
      </c>
      <c r="E206" s="8">
        <v>8</v>
      </c>
    </row>
    <row r="207" spans="1:5" x14ac:dyDescent="0.35">
      <c r="A207" s="7">
        <v>1205</v>
      </c>
      <c r="B207" s="1">
        <v>45164</v>
      </c>
      <c r="C207" s="2" t="s">
        <v>18</v>
      </c>
      <c r="D207" s="2" t="s">
        <v>13</v>
      </c>
      <c r="E207" s="8">
        <v>1</v>
      </c>
    </row>
    <row r="208" spans="1:5" x14ac:dyDescent="0.35">
      <c r="A208" s="7">
        <v>1200</v>
      </c>
      <c r="B208" s="1">
        <v>45166</v>
      </c>
      <c r="C208" s="2" t="s">
        <v>14</v>
      </c>
      <c r="D208" s="2" t="s">
        <v>7</v>
      </c>
      <c r="E208" s="8">
        <v>1</v>
      </c>
    </row>
    <row r="209" spans="1:5" x14ac:dyDescent="0.35">
      <c r="A209" s="7">
        <v>1208</v>
      </c>
      <c r="B209" s="1">
        <v>45166</v>
      </c>
      <c r="C209" s="2" t="s">
        <v>14</v>
      </c>
      <c r="D209" s="2" t="s">
        <v>17</v>
      </c>
      <c r="E209" s="8">
        <v>2</v>
      </c>
    </row>
    <row r="210" spans="1:5" x14ac:dyDescent="0.35">
      <c r="A210" s="7">
        <v>1202</v>
      </c>
      <c r="B210" s="1">
        <v>45169</v>
      </c>
      <c r="C210" s="2" t="s">
        <v>12</v>
      </c>
      <c r="D210" s="2" t="s">
        <v>17</v>
      </c>
      <c r="E210" s="8">
        <v>1</v>
      </c>
    </row>
    <row r="211" spans="1:5" x14ac:dyDescent="0.35">
      <c r="A211" s="7">
        <v>1225</v>
      </c>
      <c r="B211" s="1">
        <v>45171</v>
      </c>
      <c r="C211" s="2" t="s">
        <v>20</v>
      </c>
      <c r="D211" s="2" t="s">
        <v>13</v>
      </c>
      <c r="E211" s="8">
        <v>8</v>
      </c>
    </row>
    <row r="212" spans="1:5" x14ac:dyDescent="0.35">
      <c r="A212" s="7">
        <v>1215</v>
      </c>
      <c r="B212" s="1">
        <v>45172</v>
      </c>
      <c r="C212" s="2" t="s">
        <v>20</v>
      </c>
      <c r="D212" s="2" t="s">
        <v>19</v>
      </c>
      <c r="E212" s="8">
        <v>5</v>
      </c>
    </row>
    <row r="213" spans="1:5" x14ac:dyDescent="0.35">
      <c r="A213" s="7">
        <v>1220</v>
      </c>
      <c r="B213" s="1">
        <v>45173</v>
      </c>
      <c r="C213" s="2" t="s">
        <v>20</v>
      </c>
      <c r="D213" s="2" t="s">
        <v>19</v>
      </c>
      <c r="E213" s="8">
        <v>5</v>
      </c>
    </row>
    <row r="214" spans="1:5" x14ac:dyDescent="0.35">
      <c r="A214" s="7">
        <v>1212</v>
      </c>
      <c r="B214" s="1">
        <v>45175</v>
      </c>
      <c r="C214" s="2" t="s">
        <v>8</v>
      </c>
      <c r="D214" s="2" t="s">
        <v>7</v>
      </c>
      <c r="E214" s="8">
        <v>1</v>
      </c>
    </row>
    <row r="215" spans="1:5" x14ac:dyDescent="0.35">
      <c r="A215" s="7">
        <v>1219</v>
      </c>
      <c r="B215" s="1">
        <v>45175</v>
      </c>
      <c r="C215" s="2" t="s">
        <v>11</v>
      </c>
      <c r="D215" s="2" t="s">
        <v>7</v>
      </c>
      <c r="E215" s="8">
        <v>1</v>
      </c>
    </row>
    <row r="216" spans="1:5" x14ac:dyDescent="0.35">
      <c r="A216" s="7">
        <v>1210</v>
      </c>
      <c r="B216" s="1">
        <v>45176</v>
      </c>
      <c r="C216" s="2" t="s">
        <v>5</v>
      </c>
      <c r="D216" s="2" t="s">
        <v>16</v>
      </c>
      <c r="E216" s="8">
        <v>10</v>
      </c>
    </row>
    <row r="217" spans="1:5" x14ac:dyDescent="0.35">
      <c r="A217" s="7">
        <v>1211</v>
      </c>
      <c r="B217" s="1">
        <v>45177</v>
      </c>
      <c r="C217" s="2" t="s">
        <v>11</v>
      </c>
      <c r="D217" s="2" t="s">
        <v>19</v>
      </c>
      <c r="E217" s="8">
        <v>1</v>
      </c>
    </row>
    <row r="218" spans="1:5" x14ac:dyDescent="0.35">
      <c r="A218" s="7">
        <v>1214</v>
      </c>
      <c r="B218" s="1">
        <v>45177</v>
      </c>
      <c r="C218" s="2" t="s">
        <v>20</v>
      </c>
      <c r="D218" s="2" t="s">
        <v>17</v>
      </c>
      <c r="E218" s="8">
        <v>1</v>
      </c>
    </row>
    <row r="219" spans="1:5" x14ac:dyDescent="0.35">
      <c r="A219" s="7">
        <v>1224</v>
      </c>
      <c r="B219" s="1">
        <v>45177</v>
      </c>
      <c r="C219" s="2" t="s">
        <v>21</v>
      </c>
      <c r="D219" s="2" t="s">
        <v>19</v>
      </c>
      <c r="E219" s="8">
        <v>1</v>
      </c>
    </row>
    <row r="220" spans="1:5" x14ac:dyDescent="0.35">
      <c r="A220" s="7">
        <v>1221</v>
      </c>
      <c r="B220" s="1">
        <v>45178</v>
      </c>
      <c r="C220" s="2" t="s">
        <v>20</v>
      </c>
      <c r="D220" s="2" t="s">
        <v>17</v>
      </c>
      <c r="E220" s="8">
        <v>4</v>
      </c>
    </row>
    <row r="221" spans="1:5" x14ac:dyDescent="0.35">
      <c r="A221" s="7">
        <v>1229</v>
      </c>
      <c r="B221" s="1">
        <v>45180</v>
      </c>
      <c r="C221" s="2" t="s">
        <v>10</v>
      </c>
      <c r="D221" s="2" t="s">
        <v>6</v>
      </c>
      <c r="E221" s="8">
        <v>3</v>
      </c>
    </row>
    <row r="222" spans="1:5" x14ac:dyDescent="0.35">
      <c r="A222" s="7">
        <v>1232</v>
      </c>
      <c r="B222" s="1">
        <v>45180</v>
      </c>
      <c r="C222" s="2" t="s">
        <v>14</v>
      </c>
      <c r="D222" s="2" t="s">
        <v>13</v>
      </c>
      <c r="E222" s="8">
        <v>1</v>
      </c>
    </row>
    <row r="223" spans="1:5" x14ac:dyDescent="0.35">
      <c r="A223" s="7">
        <v>1231</v>
      </c>
      <c r="B223" s="1">
        <v>45182</v>
      </c>
      <c r="C223" s="2" t="s">
        <v>20</v>
      </c>
      <c r="D223" s="2" t="s">
        <v>17</v>
      </c>
      <c r="E223" s="8">
        <v>10</v>
      </c>
    </row>
    <row r="224" spans="1:5" x14ac:dyDescent="0.35">
      <c r="A224" s="7">
        <v>1230</v>
      </c>
      <c r="B224" s="1">
        <v>45183</v>
      </c>
      <c r="C224" s="2" t="s">
        <v>18</v>
      </c>
      <c r="D224" s="2" t="s">
        <v>16</v>
      </c>
      <c r="E224" s="8">
        <v>3</v>
      </c>
    </row>
    <row r="225" spans="1:5" x14ac:dyDescent="0.35">
      <c r="A225" s="7">
        <v>1228</v>
      </c>
      <c r="B225" s="1">
        <v>45185</v>
      </c>
      <c r="C225" s="2" t="s">
        <v>14</v>
      </c>
      <c r="D225" s="2" t="s">
        <v>15</v>
      </c>
      <c r="E225" s="8">
        <v>1</v>
      </c>
    </row>
    <row r="226" spans="1:5" x14ac:dyDescent="0.35">
      <c r="A226" s="7">
        <v>1217</v>
      </c>
      <c r="B226" s="1">
        <v>45187</v>
      </c>
      <c r="C226" s="2" t="s">
        <v>10</v>
      </c>
      <c r="D226" s="2" t="s">
        <v>9</v>
      </c>
      <c r="E226" s="8">
        <v>1</v>
      </c>
    </row>
    <row r="227" spans="1:5" x14ac:dyDescent="0.35">
      <c r="A227" s="7">
        <v>1216</v>
      </c>
      <c r="B227" s="1">
        <v>45188</v>
      </c>
      <c r="C227" s="2" t="s">
        <v>20</v>
      </c>
      <c r="D227" s="2" t="s">
        <v>9</v>
      </c>
      <c r="E227" s="8">
        <v>10</v>
      </c>
    </row>
    <row r="228" spans="1:5" x14ac:dyDescent="0.35">
      <c r="A228" s="7">
        <v>1227</v>
      </c>
      <c r="B228" s="1">
        <v>45188</v>
      </c>
      <c r="C228" s="2" t="s">
        <v>20</v>
      </c>
      <c r="D228" s="2" t="s">
        <v>17</v>
      </c>
      <c r="E228" s="8">
        <v>1</v>
      </c>
    </row>
    <row r="229" spans="1:5" x14ac:dyDescent="0.35">
      <c r="A229" s="7">
        <v>1222</v>
      </c>
      <c r="B229" s="1">
        <v>45189</v>
      </c>
      <c r="C229" s="2" t="s">
        <v>14</v>
      </c>
      <c r="D229" s="2" t="s">
        <v>17</v>
      </c>
      <c r="E229" s="8">
        <v>1</v>
      </c>
    </row>
    <row r="230" spans="1:5" x14ac:dyDescent="0.35">
      <c r="A230" s="7">
        <v>1223</v>
      </c>
      <c r="B230" s="1">
        <v>45189</v>
      </c>
      <c r="C230" s="2" t="s">
        <v>10</v>
      </c>
      <c r="D230" s="2" t="s">
        <v>13</v>
      </c>
      <c r="E230" s="8">
        <v>3</v>
      </c>
    </row>
    <row r="231" spans="1:5" x14ac:dyDescent="0.35">
      <c r="A231" s="7">
        <v>1226</v>
      </c>
      <c r="B231" s="1">
        <v>45190</v>
      </c>
      <c r="C231" s="2" t="s">
        <v>14</v>
      </c>
      <c r="D231" s="2" t="s">
        <v>7</v>
      </c>
      <c r="E231" s="8">
        <v>6</v>
      </c>
    </row>
    <row r="232" spans="1:5" x14ac:dyDescent="0.35">
      <c r="A232" s="7">
        <v>1213</v>
      </c>
      <c r="B232" s="1">
        <v>45192</v>
      </c>
      <c r="C232" s="2" t="s">
        <v>10</v>
      </c>
      <c r="D232" s="2" t="s">
        <v>13</v>
      </c>
      <c r="E232" s="8">
        <v>5</v>
      </c>
    </row>
    <row r="233" spans="1:5" x14ac:dyDescent="0.35">
      <c r="A233" s="7">
        <v>1233</v>
      </c>
      <c r="B233" s="1">
        <v>45194</v>
      </c>
      <c r="C233" s="2" t="s">
        <v>12</v>
      </c>
      <c r="D233" s="2" t="s">
        <v>19</v>
      </c>
      <c r="E233" s="8">
        <v>1</v>
      </c>
    </row>
    <row r="234" spans="1:5" x14ac:dyDescent="0.35">
      <c r="A234" s="7">
        <v>1218</v>
      </c>
      <c r="B234" s="1">
        <v>45196</v>
      </c>
      <c r="C234" s="2" t="s">
        <v>18</v>
      </c>
      <c r="D234" s="2" t="s">
        <v>9</v>
      </c>
      <c r="E234" s="8">
        <v>2</v>
      </c>
    </row>
    <row r="235" spans="1:5" x14ac:dyDescent="0.35">
      <c r="A235" s="7">
        <v>1273</v>
      </c>
      <c r="B235" s="1">
        <v>45200</v>
      </c>
      <c r="C235" s="2" t="s">
        <v>20</v>
      </c>
      <c r="D235" s="2" t="s">
        <v>17</v>
      </c>
      <c r="E235" s="8">
        <v>10</v>
      </c>
    </row>
    <row r="236" spans="1:5" x14ac:dyDescent="0.35">
      <c r="A236" s="7">
        <v>1240</v>
      </c>
      <c r="B236" s="1">
        <v>45202</v>
      </c>
      <c r="C236" s="2" t="s">
        <v>8</v>
      </c>
      <c r="D236" s="2" t="s">
        <v>13</v>
      </c>
      <c r="E236" s="8">
        <v>4</v>
      </c>
    </row>
    <row r="237" spans="1:5" x14ac:dyDescent="0.35">
      <c r="A237" s="7">
        <v>1238</v>
      </c>
      <c r="B237" s="1">
        <v>45203</v>
      </c>
      <c r="C237" s="2" t="s">
        <v>14</v>
      </c>
      <c r="D237" s="2" t="s">
        <v>19</v>
      </c>
      <c r="E237" s="8">
        <v>5</v>
      </c>
    </row>
    <row r="238" spans="1:5" x14ac:dyDescent="0.35">
      <c r="A238" s="7">
        <v>1256</v>
      </c>
      <c r="B238" s="1">
        <v>45203</v>
      </c>
      <c r="C238" s="2" t="s">
        <v>11</v>
      </c>
      <c r="D238" s="2" t="s">
        <v>6</v>
      </c>
      <c r="E238" s="8">
        <v>5</v>
      </c>
    </row>
    <row r="239" spans="1:5" x14ac:dyDescent="0.35">
      <c r="A239" s="7">
        <v>1255</v>
      </c>
      <c r="B239" s="1">
        <v>45204</v>
      </c>
      <c r="C239" s="2" t="s">
        <v>14</v>
      </c>
      <c r="D239" s="2" t="s">
        <v>7</v>
      </c>
      <c r="E239" s="8">
        <v>1</v>
      </c>
    </row>
    <row r="240" spans="1:5" x14ac:dyDescent="0.35">
      <c r="A240" s="7">
        <v>1271</v>
      </c>
      <c r="B240" s="1">
        <v>45204</v>
      </c>
      <c r="C240" s="2" t="s">
        <v>14</v>
      </c>
      <c r="D240" s="2" t="s">
        <v>9</v>
      </c>
      <c r="E240" s="8">
        <v>8</v>
      </c>
    </row>
    <row r="241" spans="1:5" x14ac:dyDescent="0.35">
      <c r="A241" s="7">
        <v>1265</v>
      </c>
      <c r="B241" s="1">
        <v>45205</v>
      </c>
      <c r="C241" s="2" t="s">
        <v>11</v>
      </c>
      <c r="D241" s="2" t="s">
        <v>16</v>
      </c>
      <c r="E241" s="8">
        <v>5</v>
      </c>
    </row>
    <row r="242" spans="1:5" x14ac:dyDescent="0.35">
      <c r="A242" s="7">
        <v>1269</v>
      </c>
      <c r="B242" s="1">
        <v>45205</v>
      </c>
      <c r="C242" s="2" t="s">
        <v>18</v>
      </c>
      <c r="D242" s="2" t="s">
        <v>15</v>
      </c>
      <c r="E242" s="8">
        <v>1</v>
      </c>
    </row>
    <row r="243" spans="1:5" x14ac:dyDescent="0.35">
      <c r="A243" s="7">
        <v>1236</v>
      </c>
      <c r="B243" s="1">
        <v>45206</v>
      </c>
      <c r="C243" s="2" t="s">
        <v>14</v>
      </c>
      <c r="D243" s="2" t="s">
        <v>17</v>
      </c>
      <c r="E243" s="8">
        <v>1</v>
      </c>
    </row>
    <row r="244" spans="1:5" x14ac:dyDescent="0.35">
      <c r="A244" s="7">
        <v>1247</v>
      </c>
      <c r="B244" s="1">
        <v>45208</v>
      </c>
      <c r="C244" s="2" t="s">
        <v>12</v>
      </c>
      <c r="D244" s="2" t="s">
        <v>15</v>
      </c>
      <c r="E244" s="8">
        <v>6</v>
      </c>
    </row>
    <row r="245" spans="1:5" x14ac:dyDescent="0.35">
      <c r="A245" s="7">
        <v>1272</v>
      </c>
      <c r="B245" s="1">
        <v>45208</v>
      </c>
      <c r="C245" s="2" t="s">
        <v>14</v>
      </c>
      <c r="D245" s="2" t="s">
        <v>9</v>
      </c>
      <c r="E245" s="8">
        <v>10</v>
      </c>
    </row>
    <row r="246" spans="1:5" x14ac:dyDescent="0.35">
      <c r="A246" s="7">
        <v>1239</v>
      </c>
      <c r="B246" s="1">
        <v>45209</v>
      </c>
      <c r="C246" s="2" t="s">
        <v>5</v>
      </c>
      <c r="D246" s="2" t="s">
        <v>13</v>
      </c>
      <c r="E246" s="8">
        <v>1</v>
      </c>
    </row>
    <row r="247" spans="1:5" x14ac:dyDescent="0.35">
      <c r="A247" s="7">
        <v>1253</v>
      </c>
      <c r="B247" s="1">
        <v>45210</v>
      </c>
      <c r="C247" s="2" t="s">
        <v>10</v>
      </c>
      <c r="D247" s="2" t="s">
        <v>9</v>
      </c>
      <c r="E247" s="8">
        <v>1</v>
      </c>
    </row>
    <row r="248" spans="1:5" x14ac:dyDescent="0.35">
      <c r="A248" s="7">
        <v>1266</v>
      </c>
      <c r="B248" s="1">
        <v>45210</v>
      </c>
      <c r="C248" s="2" t="s">
        <v>21</v>
      </c>
      <c r="D248" s="2" t="s">
        <v>19</v>
      </c>
      <c r="E248" s="8">
        <v>1</v>
      </c>
    </row>
    <row r="249" spans="1:5" x14ac:dyDescent="0.35">
      <c r="A249" s="7">
        <v>1235</v>
      </c>
      <c r="B249" s="1">
        <v>45211</v>
      </c>
      <c r="C249" s="2" t="s">
        <v>5</v>
      </c>
      <c r="D249" s="2" t="s">
        <v>13</v>
      </c>
      <c r="E249" s="8">
        <v>6</v>
      </c>
    </row>
    <row r="250" spans="1:5" x14ac:dyDescent="0.35">
      <c r="A250" s="7">
        <v>1267</v>
      </c>
      <c r="B250" s="1">
        <v>45211</v>
      </c>
      <c r="C250" s="2" t="s">
        <v>20</v>
      </c>
      <c r="D250" s="2" t="s">
        <v>13</v>
      </c>
      <c r="E250" s="8">
        <v>3</v>
      </c>
    </row>
    <row r="251" spans="1:5" x14ac:dyDescent="0.35">
      <c r="A251" s="7">
        <v>1252</v>
      </c>
      <c r="B251" s="1">
        <v>45212</v>
      </c>
      <c r="C251" s="2" t="s">
        <v>5</v>
      </c>
      <c r="D251" s="2" t="s">
        <v>9</v>
      </c>
      <c r="E251" s="8">
        <v>8</v>
      </c>
    </row>
    <row r="252" spans="1:5" x14ac:dyDescent="0.35">
      <c r="A252" s="7">
        <v>1234</v>
      </c>
      <c r="B252" s="1">
        <v>45213</v>
      </c>
      <c r="C252" s="2" t="s">
        <v>8</v>
      </c>
      <c r="D252" s="2" t="s">
        <v>13</v>
      </c>
      <c r="E252" s="8">
        <v>5</v>
      </c>
    </row>
    <row r="253" spans="1:5" x14ac:dyDescent="0.35">
      <c r="A253" s="7">
        <v>1243</v>
      </c>
      <c r="B253" s="1">
        <v>45213</v>
      </c>
      <c r="C253" s="2" t="s">
        <v>8</v>
      </c>
      <c r="D253" s="2" t="s">
        <v>19</v>
      </c>
      <c r="E253" s="8">
        <v>2</v>
      </c>
    </row>
    <row r="254" spans="1:5" x14ac:dyDescent="0.35">
      <c r="A254" s="7">
        <v>1257</v>
      </c>
      <c r="B254" s="1">
        <v>45213</v>
      </c>
      <c r="C254" s="2" t="s">
        <v>21</v>
      </c>
      <c r="D254" s="2" t="s">
        <v>17</v>
      </c>
      <c r="E254" s="8">
        <v>1</v>
      </c>
    </row>
    <row r="255" spans="1:5" x14ac:dyDescent="0.35">
      <c r="A255" s="7">
        <v>1264</v>
      </c>
      <c r="B255" s="1">
        <v>45213</v>
      </c>
      <c r="C255" s="2" t="s">
        <v>5</v>
      </c>
      <c r="D255" s="2" t="s">
        <v>19</v>
      </c>
      <c r="E255" s="8">
        <v>1</v>
      </c>
    </row>
    <row r="256" spans="1:5" x14ac:dyDescent="0.35">
      <c r="A256" s="7">
        <v>1244</v>
      </c>
      <c r="B256" s="1">
        <v>45214</v>
      </c>
      <c r="C256" s="2" t="s">
        <v>14</v>
      </c>
      <c r="D256" s="2" t="s">
        <v>17</v>
      </c>
      <c r="E256" s="8">
        <v>2</v>
      </c>
    </row>
    <row r="257" spans="1:5" x14ac:dyDescent="0.35">
      <c r="A257" s="7">
        <v>1268</v>
      </c>
      <c r="B257" s="1">
        <v>45216</v>
      </c>
      <c r="C257" s="2" t="s">
        <v>18</v>
      </c>
      <c r="D257" s="2" t="s">
        <v>15</v>
      </c>
      <c r="E257" s="8">
        <v>2</v>
      </c>
    </row>
    <row r="258" spans="1:5" x14ac:dyDescent="0.35">
      <c r="A258" s="7">
        <v>1249</v>
      </c>
      <c r="B258" s="1">
        <v>45217</v>
      </c>
      <c r="C258" s="2" t="s">
        <v>18</v>
      </c>
      <c r="D258" s="2" t="s">
        <v>17</v>
      </c>
      <c r="E258" s="8">
        <v>5</v>
      </c>
    </row>
    <row r="259" spans="1:5" x14ac:dyDescent="0.35">
      <c r="A259" s="7">
        <v>1250</v>
      </c>
      <c r="B259" s="1">
        <v>45217</v>
      </c>
      <c r="C259" s="2" t="s">
        <v>12</v>
      </c>
      <c r="D259" s="2" t="s">
        <v>17</v>
      </c>
      <c r="E259" s="8">
        <v>3</v>
      </c>
    </row>
    <row r="260" spans="1:5" x14ac:dyDescent="0.35">
      <c r="A260" s="7">
        <v>1274</v>
      </c>
      <c r="B260" s="1">
        <v>45217</v>
      </c>
      <c r="C260" s="2" t="s">
        <v>20</v>
      </c>
      <c r="D260" s="2" t="s">
        <v>17</v>
      </c>
      <c r="E260" s="8">
        <v>10</v>
      </c>
    </row>
    <row r="261" spans="1:5" x14ac:dyDescent="0.35">
      <c r="A261" s="7">
        <v>1262</v>
      </c>
      <c r="B261" s="1">
        <v>45219</v>
      </c>
      <c r="C261" s="2" t="s">
        <v>8</v>
      </c>
      <c r="D261" s="2" t="s">
        <v>17</v>
      </c>
      <c r="E261" s="8">
        <v>1</v>
      </c>
    </row>
    <row r="262" spans="1:5" x14ac:dyDescent="0.35">
      <c r="A262" s="7">
        <v>1254</v>
      </c>
      <c r="B262" s="1">
        <v>45221</v>
      </c>
      <c r="C262" s="2" t="s">
        <v>10</v>
      </c>
      <c r="D262" s="2" t="s">
        <v>17</v>
      </c>
      <c r="E262" s="8">
        <v>4</v>
      </c>
    </row>
    <row r="263" spans="1:5" x14ac:dyDescent="0.35">
      <c r="A263" s="7">
        <v>1263</v>
      </c>
      <c r="B263" s="1">
        <v>45221</v>
      </c>
      <c r="C263" s="2" t="s">
        <v>5</v>
      </c>
      <c r="D263" s="2" t="s">
        <v>16</v>
      </c>
      <c r="E263" s="8">
        <v>10</v>
      </c>
    </row>
    <row r="264" spans="1:5" x14ac:dyDescent="0.35">
      <c r="A264" s="7">
        <v>1270</v>
      </c>
      <c r="B264" s="1">
        <v>45221</v>
      </c>
      <c r="C264" s="2" t="s">
        <v>10</v>
      </c>
      <c r="D264" s="2" t="s">
        <v>16</v>
      </c>
      <c r="E264" s="8">
        <v>8</v>
      </c>
    </row>
    <row r="265" spans="1:5" x14ac:dyDescent="0.35">
      <c r="A265" s="7">
        <v>1259</v>
      </c>
      <c r="B265" s="1">
        <v>45222</v>
      </c>
      <c r="C265" s="2" t="s">
        <v>12</v>
      </c>
      <c r="D265" s="2" t="s">
        <v>19</v>
      </c>
      <c r="E265" s="8">
        <v>8</v>
      </c>
    </row>
    <row r="266" spans="1:5" x14ac:dyDescent="0.35">
      <c r="A266" s="7">
        <v>1261</v>
      </c>
      <c r="B266" s="1">
        <v>45222</v>
      </c>
      <c r="C266" s="2" t="s">
        <v>12</v>
      </c>
      <c r="D266" s="2" t="s">
        <v>15</v>
      </c>
      <c r="E266" s="8">
        <v>10</v>
      </c>
    </row>
    <row r="267" spans="1:5" x14ac:dyDescent="0.35">
      <c r="A267" s="7">
        <v>1246</v>
      </c>
      <c r="B267" s="1">
        <v>45224</v>
      </c>
      <c r="C267" s="2" t="s">
        <v>11</v>
      </c>
      <c r="D267" s="2" t="s">
        <v>7</v>
      </c>
      <c r="E267" s="8">
        <v>2</v>
      </c>
    </row>
    <row r="268" spans="1:5" x14ac:dyDescent="0.35">
      <c r="A268" s="7">
        <v>1258</v>
      </c>
      <c r="B268" s="1">
        <v>45225</v>
      </c>
      <c r="C268" s="2" t="s">
        <v>11</v>
      </c>
      <c r="D268" s="2" t="s">
        <v>7</v>
      </c>
      <c r="E268" s="8">
        <v>5</v>
      </c>
    </row>
    <row r="269" spans="1:5" x14ac:dyDescent="0.35">
      <c r="A269" s="7">
        <v>1248</v>
      </c>
      <c r="B269" s="1">
        <v>45226</v>
      </c>
      <c r="C269" s="2" t="s">
        <v>20</v>
      </c>
      <c r="D269" s="2" t="s">
        <v>13</v>
      </c>
      <c r="E269" s="8">
        <v>2</v>
      </c>
    </row>
    <row r="270" spans="1:5" x14ac:dyDescent="0.35">
      <c r="A270" s="7">
        <v>1251</v>
      </c>
      <c r="B270" s="1">
        <v>45227</v>
      </c>
      <c r="C270" s="2" t="s">
        <v>14</v>
      </c>
      <c r="D270" s="2" t="s">
        <v>15</v>
      </c>
      <c r="E270" s="8">
        <v>3</v>
      </c>
    </row>
    <row r="271" spans="1:5" x14ac:dyDescent="0.35">
      <c r="A271" s="7">
        <v>1260</v>
      </c>
      <c r="B271" s="1">
        <v>45227</v>
      </c>
      <c r="C271" s="2" t="s">
        <v>11</v>
      </c>
      <c r="D271" s="2" t="s">
        <v>15</v>
      </c>
      <c r="E271" s="8">
        <v>3</v>
      </c>
    </row>
    <row r="272" spans="1:5" x14ac:dyDescent="0.35">
      <c r="A272" s="7">
        <v>1237</v>
      </c>
      <c r="B272" s="1">
        <v>45229</v>
      </c>
      <c r="C272" s="2" t="s">
        <v>8</v>
      </c>
      <c r="D272" s="2" t="s">
        <v>19</v>
      </c>
      <c r="E272" s="8">
        <v>1</v>
      </c>
    </row>
    <row r="273" spans="1:5" x14ac:dyDescent="0.35">
      <c r="A273" s="7">
        <v>1242</v>
      </c>
      <c r="B273" s="1">
        <v>45229</v>
      </c>
      <c r="C273" s="2" t="s">
        <v>18</v>
      </c>
      <c r="D273" s="2" t="s">
        <v>16</v>
      </c>
      <c r="E273" s="8">
        <v>5</v>
      </c>
    </row>
    <row r="274" spans="1:5" x14ac:dyDescent="0.35">
      <c r="A274" s="7">
        <v>1245</v>
      </c>
      <c r="B274" s="1">
        <v>45229</v>
      </c>
      <c r="C274" s="2" t="s">
        <v>10</v>
      </c>
      <c r="D274" s="2" t="s">
        <v>7</v>
      </c>
      <c r="E274" s="8">
        <v>2</v>
      </c>
    </row>
    <row r="275" spans="1:5" x14ac:dyDescent="0.35">
      <c r="A275" s="7">
        <v>1241</v>
      </c>
      <c r="B275" s="1">
        <v>45230</v>
      </c>
      <c r="C275" s="2" t="s">
        <v>11</v>
      </c>
      <c r="D275" s="2" t="s">
        <v>9</v>
      </c>
      <c r="E275" s="8">
        <v>5</v>
      </c>
    </row>
    <row r="276" spans="1:5" x14ac:dyDescent="0.35">
      <c r="A276" s="7">
        <v>1279</v>
      </c>
      <c r="B276" s="1">
        <v>45231</v>
      </c>
      <c r="C276" s="2" t="s">
        <v>20</v>
      </c>
      <c r="D276" s="2" t="s">
        <v>6</v>
      </c>
      <c r="E276" s="8">
        <v>2</v>
      </c>
    </row>
    <row r="277" spans="1:5" x14ac:dyDescent="0.35">
      <c r="A277" s="7">
        <v>1297</v>
      </c>
      <c r="B277" s="1">
        <v>45231</v>
      </c>
      <c r="C277" s="2" t="s">
        <v>5</v>
      </c>
      <c r="D277" s="2" t="s">
        <v>16</v>
      </c>
      <c r="E277" s="8">
        <v>5</v>
      </c>
    </row>
    <row r="278" spans="1:5" x14ac:dyDescent="0.35">
      <c r="A278" s="7">
        <v>1285</v>
      </c>
      <c r="B278" s="1">
        <v>45232</v>
      </c>
      <c r="C278" s="2" t="s">
        <v>20</v>
      </c>
      <c r="D278" s="2" t="s">
        <v>13</v>
      </c>
      <c r="E278" s="8">
        <v>5</v>
      </c>
    </row>
    <row r="279" spans="1:5" x14ac:dyDescent="0.35">
      <c r="A279" s="7">
        <v>1300</v>
      </c>
      <c r="B279" s="1">
        <v>45232</v>
      </c>
      <c r="C279" s="2" t="s">
        <v>18</v>
      </c>
      <c r="D279" s="2" t="s">
        <v>16</v>
      </c>
      <c r="E279" s="8">
        <v>1</v>
      </c>
    </row>
    <row r="280" spans="1:5" x14ac:dyDescent="0.35">
      <c r="A280" s="7">
        <v>1298</v>
      </c>
      <c r="B280" s="1">
        <v>45233</v>
      </c>
      <c r="C280" s="2" t="s">
        <v>5</v>
      </c>
      <c r="D280" s="2" t="s">
        <v>6</v>
      </c>
      <c r="E280" s="8">
        <v>10</v>
      </c>
    </row>
    <row r="281" spans="1:5" x14ac:dyDescent="0.35">
      <c r="A281" s="7">
        <v>1310</v>
      </c>
      <c r="B281" s="1">
        <v>45233</v>
      </c>
      <c r="C281" s="2" t="s">
        <v>11</v>
      </c>
      <c r="D281" s="2" t="s">
        <v>9</v>
      </c>
      <c r="E281" s="8">
        <v>5</v>
      </c>
    </row>
    <row r="282" spans="1:5" x14ac:dyDescent="0.35">
      <c r="A282" s="7">
        <v>1301</v>
      </c>
      <c r="B282" s="1">
        <v>45234</v>
      </c>
      <c r="C282" s="2" t="s">
        <v>14</v>
      </c>
      <c r="D282" s="2" t="s">
        <v>19</v>
      </c>
      <c r="E282" s="8">
        <v>1</v>
      </c>
    </row>
    <row r="283" spans="1:5" x14ac:dyDescent="0.35">
      <c r="A283" s="7">
        <v>1292</v>
      </c>
      <c r="B283" s="1">
        <v>45235</v>
      </c>
      <c r="C283" s="2" t="s">
        <v>14</v>
      </c>
      <c r="D283" s="2" t="s">
        <v>16</v>
      </c>
      <c r="E283" s="8">
        <v>1</v>
      </c>
    </row>
    <row r="284" spans="1:5" x14ac:dyDescent="0.35">
      <c r="A284" s="7">
        <v>1287</v>
      </c>
      <c r="B284" s="1">
        <v>45236</v>
      </c>
      <c r="C284" s="2" t="s">
        <v>12</v>
      </c>
      <c r="D284" s="2" t="s">
        <v>19</v>
      </c>
      <c r="E284" s="8">
        <v>4</v>
      </c>
    </row>
    <row r="285" spans="1:5" x14ac:dyDescent="0.35">
      <c r="A285" s="7">
        <v>1306</v>
      </c>
      <c r="B285" s="1">
        <v>45237</v>
      </c>
      <c r="C285" s="2" t="s">
        <v>21</v>
      </c>
      <c r="D285" s="2" t="s">
        <v>19</v>
      </c>
      <c r="E285" s="8">
        <v>3</v>
      </c>
    </row>
    <row r="286" spans="1:5" x14ac:dyDescent="0.35">
      <c r="A286" s="7">
        <v>1294</v>
      </c>
      <c r="B286" s="1">
        <v>45239</v>
      </c>
      <c r="C286" s="2" t="s">
        <v>10</v>
      </c>
      <c r="D286" s="2" t="s">
        <v>16</v>
      </c>
      <c r="E286" s="8">
        <v>1</v>
      </c>
    </row>
    <row r="287" spans="1:5" x14ac:dyDescent="0.35">
      <c r="A287" s="7">
        <v>1309</v>
      </c>
      <c r="B287" s="1">
        <v>45239</v>
      </c>
      <c r="C287" s="2" t="s">
        <v>21</v>
      </c>
      <c r="D287" s="2" t="s">
        <v>6</v>
      </c>
      <c r="E287" s="8">
        <v>4</v>
      </c>
    </row>
    <row r="288" spans="1:5" x14ac:dyDescent="0.35">
      <c r="A288" s="7">
        <v>1293</v>
      </c>
      <c r="B288" s="1">
        <v>45242</v>
      </c>
      <c r="C288" s="2" t="s">
        <v>10</v>
      </c>
      <c r="D288" s="2" t="s">
        <v>9</v>
      </c>
      <c r="E288" s="8">
        <v>6</v>
      </c>
    </row>
    <row r="289" spans="1:5" x14ac:dyDescent="0.35">
      <c r="A289" s="7">
        <v>1296</v>
      </c>
      <c r="B289" s="1">
        <v>45242</v>
      </c>
      <c r="C289" s="2" t="s">
        <v>10</v>
      </c>
      <c r="D289" s="2" t="s">
        <v>19</v>
      </c>
      <c r="E289" s="8">
        <v>10</v>
      </c>
    </row>
    <row r="290" spans="1:5" x14ac:dyDescent="0.35">
      <c r="A290" s="7">
        <v>1308</v>
      </c>
      <c r="B290" s="1">
        <v>45242</v>
      </c>
      <c r="C290" s="2" t="s">
        <v>11</v>
      </c>
      <c r="D290" s="2" t="s">
        <v>6</v>
      </c>
      <c r="E290" s="8">
        <v>10</v>
      </c>
    </row>
    <row r="291" spans="1:5" x14ac:dyDescent="0.35">
      <c r="A291" s="7">
        <v>1278</v>
      </c>
      <c r="B291" s="1">
        <v>45243</v>
      </c>
      <c r="C291" s="2" t="s">
        <v>11</v>
      </c>
      <c r="D291" s="2" t="s">
        <v>17</v>
      </c>
      <c r="E291" s="8">
        <v>2</v>
      </c>
    </row>
    <row r="292" spans="1:5" x14ac:dyDescent="0.35">
      <c r="A292" s="7">
        <v>1302</v>
      </c>
      <c r="B292" s="1">
        <v>45243</v>
      </c>
      <c r="C292" s="2" t="s">
        <v>8</v>
      </c>
      <c r="D292" s="2" t="s">
        <v>9</v>
      </c>
      <c r="E292" s="8">
        <v>1</v>
      </c>
    </row>
    <row r="293" spans="1:5" x14ac:dyDescent="0.35">
      <c r="A293" s="7">
        <v>1299</v>
      </c>
      <c r="B293" s="1">
        <v>45244</v>
      </c>
      <c r="C293" s="2" t="s">
        <v>20</v>
      </c>
      <c r="D293" s="2" t="s">
        <v>17</v>
      </c>
      <c r="E293" s="8">
        <v>10</v>
      </c>
    </row>
    <row r="294" spans="1:5" x14ac:dyDescent="0.35">
      <c r="A294" s="7">
        <v>1305</v>
      </c>
      <c r="B294" s="1">
        <v>45244</v>
      </c>
      <c r="C294" s="2" t="s">
        <v>14</v>
      </c>
      <c r="D294" s="2" t="s">
        <v>16</v>
      </c>
      <c r="E294" s="8">
        <v>8</v>
      </c>
    </row>
    <row r="295" spans="1:5" x14ac:dyDescent="0.35">
      <c r="A295" s="7">
        <v>1276</v>
      </c>
      <c r="B295" s="1">
        <v>45245</v>
      </c>
      <c r="C295" s="2" t="s">
        <v>10</v>
      </c>
      <c r="D295" s="2" t="s">
        <v>19</v>
      </c>
      <c r="E295" s="8">
        <v>2</v>
      </c>
    </row>
    <row r="296" spans="1:5" x14ac:dyDescent="0.35">
      <c r="A296" s="7">
        <v>1275</v>
      </c>
      <c r="B296" s="1">
        <v>45249</v>
      </c>
      <c r="C296" s="2" t="s">
        <v>14</v>
      </c>
      <c r="D296" s="2" t="s">
        <v>16</v>
      </c>
      <c r="E296" s="8">
        <v>3</v>
      </c>
    </row>
    <row r="297" spans="1:5" x14ac:dyDescent="0.35">
      <c r="A297" s="7">
        <v>1280</v>
      </c>
      <c r="B297" s="1">
        <v>45249</v>
      </c>
      <c r="C297" s="2" t="s">
        <v>20</v>
      </c>
      <c r="D297" s="2" t="s">
        <v>15</v>
      </c>
      <c r="E297" s="8">
        <v>1</v>
      </c>
    </row>
    <row r="298" spans="1:5" x14ac:dyDescent="0.35">
      <c r="A298" s="7">
        <v>1282</v>
      </c>
      <c r="B298" s="1">
        <v>45251</v>
      </c>
      <c r="C298" s="2" t="s">
        <v>12</v>
      </c>
      <c r="D298" s="2" t="s">
        <v>9</v>
      </c>
      <c r="E298" s="8">
        <v>2</v>
      </c>
    </row>
    <row r="299" spans="1:5" x14ac:dyDescent="0.35">
      <c r="A299" s="7">
        <v>1284</v>
      </c>
      <c r="B299" s="1">
        <v>45251</v>
      </c>
      <c r="C299" s="2" t="s">
        <v>11</v>
      </c>
      <c r="D299" s="2" t="s">
        <v>7</v>
      </c>
      <c r="E299" s="8">
        <v>10</v>
      </c>
    </row>
    <row r="300" spans="1:5" x14ac:dyDescent="0.35">
      <c r="A300" s="7">
        <v>1304</v>
      </c>
      <c r="B300" s="1">
        <v>45251</v>
      </c>
      <c r="C300" s="2" t="s">
        <v>18</v>
      </c>
      <c r="D300" s="2" t="s">
        <v>15</v>
      </c>
      <c r="E300" s="8">
        <v>4</v>
      </c>
    </row>
    <row r="301" spans="1:5" x14ac:dyDescent="0.35">
      <c r="A301" s="7">
        <v>1295</v>
      </c>
      <c r="B301" s="1">
        <v>45252</v>
      </c>
      <c r="C301" s="2" t="s">
        <v>14</v>
      </c>
      <c r="D301" s="2" t="s">
        <v>16</v>
      </c>
      <c r="E301" s="8">
        <v>3</v>
      </c>
    </row>
    <row r="302" spans="1:5" x14ac:dyDescent="0.35">
      <c r="A302" s="7">
        <v>1303</v>
      </c>
      <c r="B302" s="1">
        <v>45254</v>
      </c>
      <c r="C302" s="2" t="s">
        <v>12</v>
      </c>
      <c r="D302" s="2" t="s">
        <v>17</v>
      </c>
      <c r="E302" s="8">
        <v>10</v>
      </c>
    </row>
    <row r="303" spans="1:5" x14ac:dyDescent="0.35">
      <c r="A303" s="7">
        <v>1281</v>
      </c>
      <c r="B303" s="1">
        <v>45255</v>
      </c>
      <c r="C303" s="2" t="s">
        <v>14</v>
      </c>
      <c r="D303" s="2" t="s">
        <v>13</v>
      </c>
      <c r="E303" s="8">
        <v>2</v>
      </c>
    </row>
    <row r="304" spans="1:5" x14ac:dyDescent="0.35">
      <c r="A304" s="7">
        <v>1283</v>
      </c>
      <c r="B304" s="1">
        <v>45255</v>
      </c>
      <c r="C304" s="2" t="s">
        <v>20</v>
      </c>
      <c r="D304" s="2" t="s">
        <v>9</v>
      </c>
      <c r="E304" s="8">
        <v>10</v>
      </c>
    </row>
    <row r="305" spans="1:5" x14ac:dyDescent="0.35">
      <c r="A305" s="7">
        <v>1291</v>
      </c>
      <c r="B305" s="1">
        <v>45256</v>
      </c>
      <c r="C305" s="2" t="s">
        <v>20</v>
      </c>
      <c r="D305" s="2" t="s">
        <v>17</v>
      </c>
      <c r="E305" s="8">
        <v>3</v>
      </c>
    </row>
    <row r="306" spans="1:5" x14ac:dyDescent="0.35">
      <c r="A306" s="7">
        <v>1277</v>
      </c>
      <c r="B306" s="1">
        <v>45258</v>
      </c>
      <c r="C306" s="2" t="s">
        <v>5</v>
      </c>
      <c r="D306" s="2" t="s">
        <v>19</v>
      </c>
      <c r="E306" s="8">
        <v>4</v>
      </c>
    </row>
    <row r="307" spans="1:5" x14ac:dyDescent="0.35">
      <c r="A307" s="7">
        <v>1307</v>
      </c>
      <c r="B307" s="1">
        <v>45258</v>
      </c>
      <c r="C307" s="2" t="s">
        <v>14</v>
      </c>
      <c r="D307" s="2" t="s">
        <v>17</v>
      </c>
      <c r="E307" s="8">
        <v>2</v>
      </c>
    </row>
    <row r="308" spans="1:5" x14ac:dyDescent="0.35">
      <c r="A308" s="7">
        <v>1288</v>
      </c>
      <c r="B308" s="1">
        <v>45259</v>
      </c>
      <c r="C308" s="2" t="s">
        <v>18</v>
      </c>
      <c r="D308" s="2" t="s">
        <v>9</v>
      </c>
      <c r="E308" s="8">
        <v>6</v>
      </c>
    </row>
    <row r="309" spans="1:5" x14ac:dyDescent="0.35">
      <c r="A309" s="7">
        <v>1286</v>
      </c>
      <c r="B309" s="1">
        <v>45260</v>
      </c>
      <c r="C309" s="2" t="s">
        <v>18</v>
      </c>
      <c r="D309" s="2" t="s">
        <v>6</v>
      </c>
      <c r="E309" s="8">
        <v>1</v>
      </c>
    </row>
    <row r="310" spans="1:5" x14ac:dyDescent="0.35">
      <c r="A310" s="7">
        <v>1289</v>
      </c>
      <c r="B310" s="1">
        <v>45260</v>
      </c>
      <c r="C310" s="2" t="s">
        <v>8</v>
      </c>
      <c r="D310" s="2" t="s">
        <v>6</v>
      </c>
      <c r="E310" s="8">
        <v>6</v>
      </c>
    </row>
    <row r="311" spans="1:5" x14ac:dyDescent="0.35">
      <c r="A311" s="7">
        <v>1290</v>
      </c>
      <c r="B311" s="1">
        <v>45260</v>
      </c>
      <c r="C311" s="2" t="s">
        <v>18</v>
      </c>
      <c r="D311" s="2" t="s">
        <v>19</v>
      </c>
      <c r="E311" s="8">
        <v>2</v>
      </c>
    </row>
    <row r="312" spans="1:5" x14ac:dyDescent="0.35">
      <c r="A312" s="7">
        <v>1322</v>
      </c>
      <c r="B312" s="1">
        <v>45264</v>
      </c>
      <c r="C312" s="2" t="s">
        <v>8</v>
      </c>
      <c r="D312" s="2" t="s">
        <v>6</v>
      </c>
      <c r="E312" s="8">
        <v>8</v>
      </c>
    </row>
    <row r="313" spans="1:5" x14ac:dyDescent="0.35">
      <c r="A313" s="7">
        <v>1326</v>
      </c>
      <c r="B313" s="1">
        <v>45264</v>
      </c>
      <c r="C313" s="2" t="s">
        <v>10</v>
      </c>
      <c r="D313" s="2" t="s">
        <v>15</v>
      </c>
      <c r="E313" s="8">
        <v>10</v>
      </c>
    </row>
    <row r="314" spans="1:5" x14ac:dyDescent="0.35">
      <c r="A314" s="7">
        <v>1328</v>
      </c>
      <c r="B314" s="1">
        <v>45265</v>
      </c>
      <c r="C314" s="2" t="s">
        <v>12</v>
      </c>
      <c r="D314" s="2" t="s">
        <v>16</v>
      </c>
      <c r="E314" s="8">
        <v>8</v>
      </c>
    </row>
    <row r="315" spans="1:5" x14ac:dyDescent="0.35">
      <c r="A315" s="7">
        <v>1318</v>
      </c>
      <c r="B315" s="1">
        <v>45266</v>
      </c>
      <c r="C315" s="2" t="s">
        <v>12</v>
      </c>
      <c r="D315" s="2" t="s">
        <v>9</v>
      </c>
      <c r="E315" s="8">
        <v>1</v>
      </c>
    </row>
    <row r="316" spans="1:5" x14ac:dyDescent="0.35">
      <c r="A316" s="7">
        <v>1311</v>
      </c>
      <c r="B316" s="1">
        <v>45268</v>
      </c>
      <c r="C316" s="2" t="s">
        <v>21</v>
      </c>
      <c r="D316" s="2" t="s">
        <v>13</v>
      </c>
      <c r="E316" s="8">
        <v>3</v>
      </c>
    </row>
    <row r="317" spans="1:5" x14ac:dyDescent="0.35">
      <c r="A317" s="7">
        <v>1315</v>
      </c>
      <c r="B317" s="1">
        <v>45269</v>
      </c>
      <c r="C317" s="2" t="s">
        <v>18</v>
      </c>
      <c r="D317" s="2" t="s">
        <v>7</v>
      </c>
      <c r="E317" s="8">
        <v>6</v>
      </c>
    </row>
    <row r="318" spans="1:5" x14ac:dyDescent="0.35">
      <c r="A318" s="7">
        <v>1313</v>
      </c>
      <c r="B318" s="1">
        <v>45271</v>
      </c>
      <c r="C318" s="2" t="s">
        <v>5</v>
      </c>
      <c r="D318" s="2" t="s">
        <v>9</v>
      </c>
      <c r="E318" s="8">
        <v>2</v>
      </c>
    </row>
    <row r="319" spans="1:5" x14ac:dyDescent="0.35">
      <c r="A319" s="7">
        <v>1336</v>
      </c>
      <c r="B319" s="1">
        <v>45271</v>
      </c>
      <c r="C319" s="2" t="s">
        <v>12</v>
      </c>
      <c r="D319" s="2" t="s">
        <v>16</v>
      </c>
      <c r="E319" s="8">
        <v>4</v>
      </c>
    </row>
    <row r="320" spans="1:5" x14ac:dyDescent="0.35">
      <c r="A320" s="7">
        <v>1317</v>
      </c>
      <c r="B320" s="1">
        <v>45272</v>
      </c>
      <c r="C320" s="2" t="s">
        <v>18</v>
      </c>
      <c r="D320" s="2" t="s">
        <v>13</v>
      </c>
      <c r="E320" s="8">
        <v>1</v>
      </c>
    </row>
    <row r="321" spans="1:5" x14ac:dyDescent="0.35">
      <c r="A321" s="7">
        <v>1324</v>
      </c>
      <c r="B321" s="1">
        <v>45275</v>
      </c>
      <c r="C321" s="2" t="s">
        <v>8</v>
      </c>
      <c r="D321" s="2" t="s">
        <v>13</v>
      </c>
      <c r="E321" s="8">
        <v>2</v>
      </c>
    </row>
    <row r="322" spans="1:5" x14ac:dyDescent="0.35">
      <c r="A322" s="7">
        <v>1330</v>
      </c>
      <c r="B322" s="1">
        <v>45277</v>
      </c>
      <c r="C322" s="2" t="s">
        <v>10</v>
      </c>
      <c r="D322" s="2" t="s">
        <v>6</v>
      </c>
      <c r="E322" s="8">
        <v>8</v>
      </c>
    </row>
    <row r="323" spans="1:5" x14ac:dyDescent="0.35">
      <c r="A323" s="7">
        <v>1329</v>
      </c>
      <c r="B323" s="1">
        <v>45280</v>
      </c>
      <c r="C323" s="2" t="s">
        <v>18</v>
      </c>
      <c r="D323" s="2" t="s">
        <v>16</v>
      </c>
      <c r="E323" s="8">
        <v>2</v>
      </c>
    </row>
    <row r="324" spans="1:5" x14ac:dyDescent="0.35">
      <c r="A324" s="7">
        <v>1331</v>
      </c>
      <c r="B324" s="1">
        <v>45280</v>
      </c>
      <c r="C324" s="2" t="s">
        <v>14</v>
      </c>
      <c r="D324" s="2" t="s">
        <v>19</v>
      </c>
      <c r="E324" s="8">
        <v>6</v>
      </c>
    </row>
    <row r="325" spans="1:5" x14ac:dyDescent="0.35">
      <c r="A325" s="7">
        <v>1337</v>
      </c>
      <c r="B325" s="1">
        <v>45282</v>
      </c>
      <c r="C325" s="2" t="s">
        <v>12</v>
      </c>
      <c r="D325" s="2" t="s">
        <v>19</v>
      </c>
      <c r="E325" s="8">
        <v>1</v>
      </c>
    </row>
    <row r="326" spans="1:5" x14ac:dyDescent="0.35">
      <c r="A326" s="7">
        <v>1319</v>
      </c>
      <c r="B326" s="1">
        <v>45284</v>
      </c>
      <c r="C326" s="2" t="s">
        <v>21</v>
      </c>
      <c r="D326" s="2" t="s">
        <v>19</v>
      </c>
      <c r="E326" s="8">
        <v>1</v>
      </c>
    </row>
    <row r="327" spans="1:5" x14ac:dyDescent="0.35">
      <c r="A327" s="7">
        <v>1320</v>
      </c>
      <c r="B327" s="1">
        <v>45284</v>
      </c>
      <c r="C327" s="2" t="s">
        <v>8</v>
      </c>
      <c r="D327" s="2" t="s">
        <v>15</v>
      </c>
      <c r="E327" s="8">
        <v>1</v>
      </c>
    </row>
    <row r="328" spans="1:5" x14ac:dyDescent="0.35">
      <c r="A328" s="7">
        <v>1335</v>
      </c>
      <c r="B328" s="1">
        <v>45284</v>
      </c>
      <c r="C328" s="2" t="s">
        <v>10</v>
      </c>
      <c r="D328" s="2" t="s">
        <v>17</v>
      </c>
      <c r="E328" s="8">
        <v>4</v>
      </c>
    </row>
    <row r="329" spans="1:5" x14ac:dyDescent="0.35">
      <c r="A329" s="7">
        <v>1321</v>
      </c>
      <c r="B329" s="1">
        <v>45285</v>
      </c>
      <c r="C329" s="2" t="s">
        <v>14</v>
      </c>
      <c r="D329" s="2" t="s">
        <v>16</v>
      </c>
      <c r="E329" s="8">
        <v>5</v>
      </c>
    </row>
    <row r="330" spans="1:5" x14ac:dyDescent="0.35">
      <c r="A330" s="7">
        <v>1312</v>
      </c>
      <c r="B330" s="1">
        <v>45287</v>
      </c>
      <c r="C330" s="2" t="s">
        <v>5</v>
      </c>
      <c r="D330" s="2" t="s">
        <v>7</v>
      </c>
      <c r="E330" s="8">
        <v>1</v>
      </c>
    </row>
    <row r="331" spans="1:5" x14ac:dyDescent="0.35">
      <c r="A331" s="7">
        <v>1334</v>
      </c>
      <c r="B331" s="1">
        <v>45287</v>
      </c>
      <c r="C331" s="2" t="s">
        <v>10</v>
      </c>
      <c r="D331" s="2" t="s">
        <v>9</v>
      </c>
      <c r="E331" s="8">
        <v>3</v>
      </c>
    </row>
    <row r="332" spans="1:5" x14ac:dyDescent="0.35">
      <c r="A332" s="7">
        <v>1338</v>
      </c>
      <c r="B332" s="1">
        <v>45287</v>
      </c>
      <c r="C332" s="2" t="s">
        <v>11</v>
      </c>
      <c r="D332" s="2" t="s">
        <v>17</v>
      </c>
      <c r="E332" s="8">
        <v>1</v>
      </c>
    </row>
    <row r="333" spans="1:5" x14ac:dyDescent="0.35">
      <c r="A333" s="7">
        <v>1314</v>
      </c>
      <c r="B333" s="1">
        <v>45288</v>
      </c>
      <c r="C333" s="2" t="s">
        <v>21</v>
      </c>
      <c r="D333" s="2" t="s">
        <v>7</v>
      </c>
      <c r="E333" s="8">
        <v>2</v>
      </c>
    </row>
    <row r="334" spans="1:5" x14ac:dyDescent="0.35">
      <c r="A334" s="7">
        <v>1316</v>
      </c>
      <c r="B334" s="1">
        <v>45288</v>
      </c>
      <c r="C334" s="2" t="s">
        <v>11</v>
      </c>
      <c r="D334" s="2" t="s">
        <v>7</v>
      </c>
      <c r="E334" s="8">
        <v>10</v>
      </c>
    </row>
    <row r="335" spans="1:5" x14ac:dyDescent="0.35">
      <c r="A335" s="7">
        <v>1325</v>
      </c>
      <c r="B335" s="1">
        <v>45288</v>
      </c>
      <c r="C335" s="2" t="s">
        <v>21</v>
      </c>
      <c r="D335" s="2" t="s">
        <v>13</v>
      </c>
      <c r="E335" s="8">
        <v>5</v>
      </c>
    </row>
    <row r="336" spans="1:5" x14ac:dyDescent="0.35">
      <c r="A336" s="7">
        <v>1332</v>
      </c>
      <c r="B336" s="1">
        <v>45288</v>
      </c>
      <c r="C336" s="2" t="s">
        <v>11</v>
      </c>
      <c r="D336" s="2" t="s">
        <v>15</v>
      </c>
      <c r="E336" s="8">
        <v>1</v>
      </c>
    </row>
    <row r="337" spans="1:5" x14ac:dyDescent="0.35">
      <c r="A337" s="7">
        <v>1327</v>
      </c>
      <c r="B337" s="1">
        <v>45289</v>
      </c>
      <c r="C337" s="2" t="s">
        <v>14</v>
      </c>
      <c r="D337" s="2" t="s">
        <v>17</v>
      </c>
      <c r="E337" s="8">
        <v>1</v>
      </c>
    </row>
    <row r="338" spans="1:5" x14ac:dyDescent="0.35">
      <c r="A338" s="7">
        <v>1333</v>
      </c>
      <c r="B338" s="1">
        <v>45289</v>
      </c>
      <c r="C338" s="2" t="s">
        <v>10</v>
      </c>
      <c r="D338" s="2" t="s">
        <v>9</v>
      </c>
      <c r="E338" s="8">
        <v>5</v>
      </c>
    </row>
    <row r="339" spans="1:5" x14ac:dyDescent="0.35">
      <c r="A339" s="7">
        <v>1323</v>
      </c>
      <c r="B339" s="1">
        <v>45291</v>
      </c>
      <c r="C339" s="2" t="s">
        <v>8</v>
      </c>
      <c r="D339" s="2" t="s">
        <v>17</v>
      </c>
      <c r="E339" s="8">
        <v>2</v>
      </c>
    </row>
    <row r="340" spans="1:5" x14ac:dyDescent="0.35">
      <c r="A340" s="7">
        <v>1340</v>
      </c>
      <c r="B340" s="1">
        <v>45293</v>
      </c>
      <c r="C340" s="2" t="s">
        <v>18</v>
      </c>
      <c r="D340" s="2" t="s">
        <v>6</v>
      </c>
      <c r="E340" s="8">
        <v>6</v>
      </c>
    </row>
    <row r="341" spans="1:5" x14ac:dyDescent="0.35">
      <c r="A341" s="7">
        <v>1356</v>
      </c>
      <c r="B341" s="1">
        <v>45294</v>
      </c>
      <c r="C341" s="2" t="s">
        <v>21</v>
      </c>
      <c r="D341" s="2" t="s">
        <v>7</v>
      </c>
      <c r="E341" s="8">
        <v>10</v>
      </c>
    </row>
    <row r="342" spans="1:5" x14ac:dyDescent="0.35">
      <c r="A342" s="7">
        <v>1355</v>
      </c>
      <c r="B342" s="1">
        <v>45296</v>
      </c>
      <c r="C342" s="2" t="s">
        <v>11</v>
      </c>
      <c r="D342" s="2" t="s">
        <v>6</v>
      </c>
      <c r="E342" s="8">
        <v>1</v>
      </c>
    </row>
    <row r="343" spans="1:5" x14ac:dyDescent="0.35">
      <c r="A343" s="7">
        <v>1348</v>
      </c>
      <c r="B343" s="1">
        <v>45297</v>
      </c>
      <c r="C343" s="2" t="s">
        <v>20</v>
      </c>
      <c r="D343" s="2" t="s">
        <v>13</v>
      </c>
      <c r="E343" s="8">
        <v>1</v>
      </c>
    </row>
    <row r="344" spans="1:5" x14ac:dyDescent="0.35">
      <c r="A344" s="7">
        <v>1352</v>
      </c>
      <c r="B344" s="1">
        <v>45298</v>
      </c>
      <c r="C344" s="2" t="s">
        <v>11</v>
      </c>
      <c r="D344" s="2" t="s">
        <v>13</v>
      </c>
      <c r="E344" s="8">
        <v>6</v>
      </c>
    </row>
    <row r="345" spans="1:5" x14ac:dyDescent="0.35">
      <c r="A345" s="7">
        <v>1358</v>
      </c>
      <c r="B345" s="1">
        <v>45300</v>
      </c>
      <c r="C345" s="2" t="s">
        <v>14</v>
      </c>
      <c r="D345" s="2" t="s">
        <v>17</v>
      </c>
      <c r="E345" s="8">
        <v>4</v>
      </c>
    </row>
    <row r="346" spans="1:5" x14ac:dyDescent="0.35">
      <c r="A346" s="7">
        <v>1361</v>
      </c>
      <c r="B346" s="1">
        <v>45301</v>
      </c>
      <c r="C346" s="2" t="s">
        <v>8</v>
      </c>
      <c r="D346" s="2" t="s">
        <v>17</v>
      </c>
      <c r="E346" s="8">
        <v>10</v>
      </c>
    </row>
    <row r="347" spans="1:5" x14ac:dyDescent="0.35">
      <c r="A347" s="7">
        <v>1363</v>
      </c>
      <c r="B347" s="1">
        <v>45301</v>
      </c>
      <c r="C347" s="2" t="s">
        <v>21</v>
      </c>
      <c r="D347" s="2" t="s">
        <v>13</v>
      </c>
      <c r="E347" s="8">
        <v>2</v>
      </c>
    </row>
    <row r="348" spans="1:5" x14ac:dyDescent="0.35">
      <c r="A348" s="7">
        <v>1364</v>
      </c>
      <c r="B348" s="1">
        <v>45301</v>
      </c>
      <c r="C348" s="2" t="s">
        <v>18</v>
      </c>
      <c r="D348" s="2" t="s">
        <v>9</v>
      </c>
      <c r="E348" s="8">
        <v>2</v>
      </c>
    </row>
    <row r="349" spans="1:5" x14ac:dyDescent="0.35">
      <c r="A349" s="7">
        <v>1353</v>
      </c>
      <c r="B349" s="1">
        <v>45302</v>
      </c>
      <c r="C349" s="2" t="s">
        <v>10</v>
      </c>
      <c r="D349" s="2" t="s">
        <v>15</v>
      </c>
      <c r="E349" s="8">
        <v>5</v>
      </c>
    </row>
    <row r="350" spans="1:5" x14ac:dyDescent="0.35">
      <c r="A350" s="7">
        <v>1341</v>
      </c>
      <c r="B350" s="1">
        <v>45303</v>
      </c>
      <c r="C350" s="2" t="s">
        <v>11</v>
      </c>
      <c r="D350" s="2" t="s">
        <v>6</v>
      </c>
      <c r="E350" s="8">
        <v>4</v>
      </c>
    </row>
    <row r="351" spans="1:5" x14ac:dyDescent="0.35">
      <c r="A351" s="7">
        <v>1349</v>
      </c>
      <c r="B351" s="1">
        <v>45303</v>
      </c>
      <c r="C351" s="2" t="s">
        <v>20</v>
      </c>
      <c r="D351" s="2" t="s">
        <v>19</v>
      </c>
      <c r="E351" s="8">
        <v>3</v>
      </c>
    </row>
    <row r="352" spans="1:5" x14ac:dyDescent="0.35">
      <c r="A352" s="7">
        <v>1359</v>
      </c>
      <c r="B352" s="1">
        <v>45303</v>
      </c>
      <c r="C352" s="2" t="s">
        <v>8</v>
      </c>
      <c r="D352" s="2" t="s">
        <v>9</v>
      </c>
      <c r="E352" s="8">
        <v>1</v>
      </c>
    </row>
    <row r="353" spans="1:5" x14ac:dyDescent="0.35">
      <c r="A353" s="7">
        <v>1357</v>
      </c>
      <c r="B353" s="1">
        <v>45305</v>
      </c>
      <c r="C353" s="2" t="s">
        <v>14</v>
      </c>
      <c r="D353" s="2" t="s">
        <v>19</v>
      </c>
      <c r="E353" s="8">
        <v>10</v>
      </c>
    </row>
    <row r="354" spans="1:5" x14ac:dyDescent="0.35">
      <c r="A354" s="7">
        <v>1344</v>
      </c>
      <c r="B354" s="1">
        <v>45307</v>
      </c>
      <c r="C354" s="2" t="s">
        <v>18</v>
      </c>
      <c r="D354" s="2" t="s">
        <v>9</v>
      </c>
      <c r="E354" s="8">
        <v>10</v>
      </c>
    </row>
    <row r="355" spans="1:5" x14ac:dyDescent="0.35">
      <c r="A355" s="7">
        <v>1343</v>
      </c>
      <c r="B355" s="1">
        <v>45310</v>
      </c>
      <c r="C355" s="2" t="s">
        <v>12</v>
      </c>
      <c r="D355" s="2" t="s">
        <v>19</v>
      </c>
      <c r="E355" s="8">
        <v>1</v>
      </c>
    </row>
    <row r="356" spans="1:5" x14ac:dyDescent="0.35">
      <c r="A356" s="7">
        <v>1346</v>
      </c>
      <c r="B356" s="1">
        <v>45310</v>
      </c>
      <c r="C356" s="2" t="s">
        <v>11</v>
      </c>
      <c r="D356" s="2" t="s">
        <v>6</v>
      </c>
      <c r="E356" s="8">
        <v>2</v>
      </c>
    </row>
    <row r="357" spans="1:5" x14ac:dyDescent="0.35">
      <c r="A357" s="7">
        <v>1350</v>
      </c>
      <c r="B357" s="1">
        <v>45310</v>
      </c>
      <c r="C357" s="2" t="s">
        <v>18</v>
      </c>
      <c r="D357" s="2" t="s">
        <v>13</v>
      </c>
      <c r="E357" s="8">
        <v>1</v>
      </c>
    </row>
    <row r="358" spans="1:5" x14ac:dyDescent="0.35">
      <c r="A358" s="7">
        <v>1342</v>
      </c>
      <c r="B358" s="1">
        <v>45311</v>
      </c>
      <c r="C358" s="2" t="s">
        <v>21</v>
      </c>
      <c r="D358" s="2" t="s">
        <v>15</v>
      </c>
      <c r="E358" s="8">
        <v>2</v>
      </c>
    </row>
    <row r="359" spans="1:5" x14ac:dyDescent="0.35">
      <c r="A359" s="7">
        <v>1362</v>
      </c>
      <c r="B359" s="1">
        <v>45311</v>
      </c>
      <c r="C359" s="2" t="s">
        <v>5</v>
      </c>
      <c r="D359" s="2" t="s">
        <v>13</v>
      </c>
      <c r="E359" s="8">
        <v>4</v>
      </c>
    </row>
    <row r="360" spans="1:5" x14ac:dyDescent="0.35">
      <c r="A360" s="7">
        <v>1360</v>
      </c>
      <c r="B360" s="1">
        <v>45313</v>
      </c>
      <c r="C360" s="2" t="s">
        <v>11</v>
      </c>
      <c r="D360" s="2" t="s">
        <v>15</v>
      </c>
      <c r="E360" s="8">
        <v>2</v>
      </c>
    </row>
    <row r="361" spans="1:5" x14ac:dyDescent="0.35">
      <c r="A361" s="7">
        <v>1339</v>
      </c>
      <c r="B361" s="1">
        <v>45315</v>
      </c>
      <c r="C361" s="2" t="s">
        <v>10</v>
      </c>
      <c r="D361" s="2" t="s">
        <v>16</v>
      </c>
      <c r="E361" s="8">
        <v>1</v>
      </c>
    </row>
    <row r="362" spans="1:5" x14ac:dyDescent="0.35">
      <c r="A362" s="7">
        <v>1351</v>
      </c>
      <c r="B362" s="1">
        <v>45315</v>
      </c>
      <c r="C362" s="2" t="s">
        <v>11</v>
      </c>
      <c r="D362" s="2" t="s">
        <v>15</v>
      </c>
      <c r="E362" s="8">
        <v>1</v>
      </c>
    </row>
    <row r="363" spans="1:5" x14ac:dyDescent="0.35">
      <c r="A363" s="7">
        <v>1354</v>
      </c>
      <c r="B363" s="1">
        <v>45315</v>
      </c>
      <c r="C363" s="2" t="s">
        <v>12</v>
      </c>
      <c r="D363" s="2" t="s">
        <v>7</v>
      </c>
      <c r="E363" s="8">
        <v>2</v>
      </c>
    </row>
    <row r="364" spans="1:5" x14ac:dyDescent="0.35">
      <c r="A364" s="7">
        <v>1347</v>
      </c>
      <c r="B364" s="1">
        <v>45316</v>
      </c>
      <c r="C364" s="2" t="s">
        <v>10</v>
      </c>
      <c r="D364" s="2" t="s">
        <v>9</v>
      </c>
      <c r="E364" s="8">
        <v>6</v>
      </c>
    </row>
    <row r="365" spans="1:5" x14ac:dyDescent="0.35">
      <c r="A365" s="7">
        <v>1345</v>
      </c>
      <c r="B365" s="1">
        <v>45319</v>
      </c>
      <c r="C365" s="2" t="s">
        <v>11</v>
      </c>
      <c r="D365" s="2" t="s">
        <v>9</v>
      </c>
      <c r="E365" s="8">
        <v>3</v>
      </c>
    </row>
    <row r="366" spans="1:5" x14ac:dyDescent="0.35">
      <c r="A366" s="7">
        <v>1388</v>
      </c>
      <c r="B366" s="1">
        <v>45324</v>
      </c>
      <c r="C366" s="2" t="s">
        <v>14</v>
      </c>
      <c r="D366" s="2" t="s">
        <v>19</v>
      </c>
      <c r="E366" s="8">
        <v>5</v>
      </c>
    </row>
    <row r="367" spans="1:5" x14ac:dyDescent="0.35">
      <c r="A367" s="7">
        <v>1387</v>
      </c>
      <c r="B367" s="1">
        <v>45325</v>
      </c>
      <c r="C367" s="2" t="s">
        <v>12</v>
      </c>
      <c r="D367" s="2" t="s">
        <v>13</v>
      </c>
      <c r="E367" s="8">
        <v>6</v>
      </c>
    </row>
    <row r="368" spans="1:5" x14ac:dyDescent="0.35">
      <c r="A368" s="7">
        <v>1389</v>
      </c>
      <c r="B368" s="1">
        <v>45325</v>
      </c>
      <c r="C368" s="2" t="s">
        <v>12</v>
      </c>
      <c r="D368" s="2" t="s">
        <v>13</v>
      </c>
      <c r="E368" s="8">
        <v>2</v>
      </c>
    </row>
    <row r="369" spans="1:5" x14ac:dyDescent="0.35">
      <c r="A369" s="7">
        <v>1371</v>
      </c>
      <c r="B369" s="1">
        <v>45326</v>
      </c>
      <c r="C369" s="2" t="s">
        <v>10</v>
      </c>
      <c r="D369" s="2" t="s">
        <v>15</v>
      </c>
      <c r="E369" s="8">
        <v>2</v>
      </c>
    </row>
    <row r="370" spans="1:5" x14ac:dyDescent="0.35">
      <c r="A370" s="7">
        <v>1393</v>
      </c>
      <c r="B370" s="1">
        <v>45326</v>
      </c>
      <c r="C370" s="2" t="s">
        <v>21</v>
      </c>
      <c r="D370" s="2" t="s">
        <v>7</v>
      </c>
      <c r="E370" s="8">
        <v>5</v>
      </c>
    </row>
    <row r="371" spans="1:5" x14ac:dyDescent="0.35">
      <c r="A371" s="7">
        <v>1380</v>
      </c>
      <c r="B371" s="1">
        <v>45327</v>
      </c>
      <c r="C371" s="2" t="s">
        <v>5</v>
      </c>
      <c r="D371" s="2" t="s">
        <v>7</v>
      </c>
      <c r="E371" s="8">
        <v>1</v>
      </c>
    </row>
    <row r="372" spans="1:5" x14ac:dyDescent="0.35">
      <c r="A372" s="7">
        <v>1372</v>
      </c>
      <c r="B372" s="1">
        <v>45328</v>
      </c>
      <c r="C372" s="2" t="s">
        <v>21</v>
      </c>
      <c r="D372" s="2" t="s">
        <v>15</v>
      </c>
      <c r="E372" s="8">
        <v>3</v>
      </c>
    </row>
    <row r="373" spans="1:5" x14ac:dyDescent="0.35">
      <c r="A373" s="7">
        <v>1378</v>
      </c>
      <c r="B373" s="1">
        <v>45329</v>
      </c>
      <c r="C373" s="2" t="s">
        <v>8</v>
      </c>
      <c r="D373" s="2" t="s">
        <v>16</v>
      </c>
      <c r="E373" s="8">
        <v>6</v>
      </c>
    </row>
    <row r="374" spans="1:5" x14ac:dyDescent="0.35">
      <c r="A374" s="7">
        <v>1376</v>
      </c>
      <c r="B374" s="1">
        <v>45333</v>
      </c>
      <c r="C374" s="2" t="s">
        <v>12</v>
      </c>
      <c r="D374" s="2" t="s">
        <v>19</v>
      </c>
      <c r="E374" s="8">
        <v>2</v>
      </c>
    </row>
    <row r="375" spans="1:5" x14ac:dyDescent="0.35">
      <c r="A375" s="7">
        <v>1384</v>
      </c>
      <c r="B375" s="1">
        <v>45333</v>
      </c>
      <c r="C375" s="2" t="s">
        <v>12</v>
      </c>
      <c r="D375" s="2" t="s">
        <v>17</v>
      </c>
      <c r="E375" s="8">
        <v>10</v>
      </c>
    </row>
    <row r="376" spans="1:5" x14ac:dyDescent="0.35">
      <c r="A376" s="7">
        <v>1366</v>
      </c>
      <c r="B376" s="1">
        <v>45335</v>
      </c>
      <c r="C376" s="2" t="s">
        <v>18</v>
      </c>
      <c r="D376" s="2" t="s">
        <v>15</v>
      </c>
      <c r="E376" s="8">
        <v>1</v>
      </c>
    </row>
    <row r="377" spans="1:5" x14ac:dyDescent="0.35">
      <c r="A377" s="7">
        <v>1375</v>
      </c>
      <c r="B377" s="1">
        <v>45335</v>
      </c>
      <c r="C377" s="2" t="s">
        <v>8</v>
      </c>
      <c r="D377" s="2" t="s">
        <v>15</v>
      </c>
      <c r="E377" s="8">
        <v>1</v>
      </c>
    </row>
    <row r="378" spans="1:5" x14ac:dyDescent="0.35">
      <c r="A378" s="7">
        <v>1370</v>
      </c>
      <c r="B378" s="1">
        <v>45336</v>
      </c>
      <c r="C378" s="2" t="s">
        <v>12</v>
      </c>
      <c r="D378" s="2" t="s">
        <v>16</v>
      </c>
      <c r="E378" s="8">
        <v>8</v>
      </c>
    </row>
    <row r="379" spans="1:5" x14ac:dyDescent="0.35">
      <c r="A379" s="7">
        <v>1373</v>
      </c>
      <c r="B379" s="1">
        <v>45336</v>
      </c>
      <c r="C379" s="2" t="s">
        <v>12</v>
      </c>
      <c r="D379" s="2" t="s">
        <v>17</v>
      </c>
      <c r="E379" s="8">
        <v>1</v>
      </c>
    </row>
    <row r="380" spans="1:5" x14ac:dyDescent="0.35">
      <c r="A380" s="7">
        <v>1369</v>
      </c>
      <c r="B380" s="1">
        <v>45337</v>
      </c>
      <c r="C380" s="2" t="s">
        <v>10</v>
      </c>
      <c r="D380" s="2" t="s">
        <v>13</v>
      </c>
      <c r="E380" s="8">
        <v>1</v>
      </c>
    </row>
    <row r="381" spans="1:5" x14ac:dyDescent="0.35">
      <c r="A381" s="7">
        <v>1390</v>
      </c>
      <c r="B381" s="1">
        <v>45337</v>
      </c>
      <c r="C381" s="2" t="s">
        <v>8</v>
      </c>
      <c r="D381" s="2" t="s">
        <v>16</v>
      </c>
      <c r="E381" s="8">
        <v>4</v>
      </c>
    </row>
    <row r="382" spans="1:5" x14ac:dyDescent="0.35">
      <c r="A382" s="7">
        <v>1385</v>
      </c>
      <c r="B382" s="1">
        <v>45338</v>
      </c>
      <c r="C382" s="2" t="s">
        <v>14</v>
      </c>
      <c r="D382" s="2" t="s">
        <v>7</v>
      </c>
      <c r="E382" s="8">
        <v>1</v>
      </c>
    </row>
    <row r="383" spans="1:5" x14ac:dyDescent="0.35">
      <c r="A383" s="7">
        <v>1392</v>
      </c>
      <c r="B383" s="1">
        <v>45338</v>
      </c>
      <c r="C383" s="2" t="s">
        <v>12</v>
      </c>
      <c r="D383" s="2" t="s">
        <v>9</v>
      </c>
      <c r="E383" s="8">
        <v>8</v>
      </c>
    </row>
    <row r="384" spans="1:5" x14ac:dyDescent="0.35">
      <c r="A384" s="7">
        <v>1374</v>
      </c>
      <c r="B384" s="1">
        <v>45341</v>
      </c>
      <c r="C384" s="2" t="s">
        <v>5</v>
      </c>
      <c r="D384" s="2" t="s">
        <v>16</v>
      </c>
      <c r="E384" s="8">
        <v>4</v>
      </c>
    </row>
    <row r="385" spans="1:5" x14ac:dyDescent="0.35">
      <c r="A385" s="7">
        <v>1386</v>
      </c>
      <c r="B385" s="1">
        <v>45341</v>
      </c>
      <c r="C385" s="2" t="s">
        <v>20</v>
      </c>
      <c r="D385" s="2" t="s">
        <v>17</v>
      </c>
      <c r="E385" s="8">
        <v>2</v>
      </c>
    </row>
    <row r="386" spans="1:5" x14ac:dyDescent="0.35">
      <c r="A386" s="7">
        <v>1381</v>
      </c>
      <c r="B386" s="1">
        <v>45342</v>
      </c>
      <c r="C386" s="2" t="s">
        <v>5</v>
      </c>
      <c r="D386" s="2" t="s">
        <v>19</v>
      </c>
      <c r="E386" s="8">
        <v>1</v>
      </c>
    </row>
    <row r="387" spans="1:5" x14ac:dyDescent="0.35">
      <c r="A387" s="7">
        <v>1377</v>
      </c>
      <c r="B387" s="1">
        <v>45343</v>
      </c>
      <c r="C387" s="2" t="s">
        <v>11</v>
      </c>
      <c r="D387" s="2" t="s">
        <v>7</v>
      </c>
      <c r="E387" s="8">
        <v>6</v>
      </c>
    </row>
    <row r="388" spans="1:5" x14ac:dyDescent="0.35">
      <c r="A388" s="7">
        <v>1391</v>
      </c>
      <c r="B388" s="1">
        <v>45343</v>
      </c>
      <c r="C388" s="2" t="s">
        <v>14</v>
      </c>
      <c r="D388" s="2" t="s">
        <v>13</v>
      </c>
      <c r="E388" s="8">
        <v>8</v>
      </c>
    </row>
    <row r="389" spans="1:5" x14ac:dyDescent="0.35">
      <c r="A389" s="7">
        <v>1394</v>
      </c>
      <c r="B389" s="1">
        <v>45343</v>
      </c>
      <c r="C389" s="2" t="s">
        <v>11</v>
      </c>
      <c r="D389" s="2" t="s">
        <v>6</v>
      </c>
      <c r="E389" s="8">
        <v>6</v>
      </c>
    </row>
    <row r="390" spans="1:5" x14ac:dyDescent="0.35">
      <c r="A390" s="7">
        <v>1395</v>
      </c>
      <c r="B390" s="1">
        <v>45345</v>
      </c>
      <c r="C390" s="2" t="s">
        <v>21</v>
      </c>
      <c r="D390" s="2" t="s">
        <v>7</v>
      </c>
      <c r="E390" s="8">
        <v>2</v>
      </c>
    </row>
    <row r="391" spans="1:5" x14ac:dyDescent="0.35">
      <c r="A391" s="7">
        <v>1365</v>
      </c>
      <c r="B391" s="1">
        <v>45346</v>
      </c>
      <c r="C391" s="2" t="s">
        <v>21</v>
      </c>
      <c r="D391" s="2" t="s">
        <v>16</v>
      </c>
      <c r="E391" s="8">
        <v>5</v>
      </c>
    </row>
    <row r="392" spans="1:5" x14ac:dyDescent="0.35">
      <c r="A392" s="7">
        <v>1382</v>
      </c>
      <c r="B392" s="1">
        <v>45347</v>
      </c>
      <c r="C392" s="2" t="s">
        <v>11</v>
      </c>
      <c r="D392" s="2" t="s">
        <v>7</v>
      </c>
      <c r="E392" s="8">
        <v>1</v>
      </c>
    </row>
    <row r="393" spans="1:5" x14ac:dyDescent="0.35">
      <c r="A393" s="7">
        <v>1383</v>
      </c>
      <c r="B393" s="1">
        <v>45347</v>
      </c>
      <c r="C393" s="2" t="s">
        <v>14</v>
      </c>
      <c r="D393" s="2" t="s">
        <v>17</v>
      </c>
      <c r="E393" s="8">
        <v>8</v>
      </c>
    </row>
    <row r="394" spans="1:5" x14ac:dyDescent="0.35">
      <c r="A394" s="7">
        <v>1367</v>
      </c>
      <c r="B394" s="1">
        <v>45349</v>
      </c>
      <c r="C394" s="2" t="s">
        <v>8</v>
      </c>
      <c r="D394" s="2" t="s">
        <v>9</v>
      </c>
      <c r="E394" s="8">
        <v>6</v>
      </c>
    </row>
    <row r="395" spans="1:5" x14ac:dyDescent="0.35">
      <c r="A395" s="7">
        <v>1379</v>
      </c>
      <c r="B395" s="1">
        <v>45349</v>
      </c>
      <c r="C395" s="2" t="s">
        <v>12</v>
      </c>
      <c r="D395" s="2" t="s">
        <v>6</v>
      </c>
      <c r="E395" s="8">
        <v>10</v>
      </c>
    </row>
    <row r="396" spans="1:5" x14ac:dyDescent="0.35">
      <c r="A396" s="7">
        <v>1368</v>
      </c>
      <c r="B396" s="1">
        <v>45350</v>
      </c>
      <c r="C396" s="2" t="s">
        <v>11</v>
      </c>
      <c r="D396" s="2" t="s">
        <v>6</v>
      </c>
      <c r="E396" s="8">
        <v>4</v>
      </c>
    </row>
    <row r="397" spans="1:5" x14ac:dyDescent="0.35">
      <c r="A397" s="7">
        <v>1410</v>
      </c>
      <c r="B397" s="1">
        <v>45354</v>
      </c>
      <c r="C397" s="2" t="s">
        <v>18</v>
      </c>
      <c r="D397" s="2" t="s">
        <v>9</v>
      </c>
      <c r="E397" s="8">
        <v>1</v>
      </c>
    </row>
    <row r="398" spans="1:5" x14ac:dyDescent="0.35">
      <c r="A398" s="7">
        <v>1400</v>
      </c>
      <c r="B398" s="1">
        <v>45355</v>
      </c>
      <c r="C398" s="2" t="s">
        <v>11</v>
      </c>
      <c r="D398" s="2" t="s">
        <v>6</v>
      </c>
      <c r="E398" s="8">
        <v>3</v>
      </c>
    </row>
    <row r="399" spans="1:5" x14ac:dyDescent="0.35">
      <c r="A399" s="7">
        <v>1412</v>
      </c>
      <c r="B399" s="1">
        <v>45356</v>
      </c>
      <c r="C399" s="2" t="s">
        <v>12</v>
      </c>
      <c r="D399" s="2" t="s">
        <v>13</v>
      </c>
      <c r="E399" s="8">
        <v>8</v>
      </c>
    </row>
    <row r="400" spans="1:5" x14ac:dyDescent="0.35">
      <c r="A400" s="7">
        <v>1421</v>
      </c>
      <c r="B400" s="1">
        <v>45356</v>
      </c>
      <c r="C400" s="2" t="s">
        <v>5</v>
      </c>
      <c r="D400" s="2" t="s">
        <v>7</v>
      </c>
      <c r="E400" s="8">
        <v>8</v>
      </c>
    </row>
    <row r="401" spans="1:5" x14ac:dyDescent="0.35">
      <c r="A401" s="7">
        <v>1408</v>
      </c>
      <c r="B401" s="1">
        <v>45357</v>
      </c>
      <c r="C401" s="2" t="s">
        <v>12</v>
      </c>
      <c r="D401" s="2" t="s">
        <v>13</v>
      </c>
      <c r="E401" s="8">
        <v>2</v>
      </c>
    </row>
    <row r="402" spans="1:5" x14ac:dyDescent="0.35">
      <c r="A402" s="7">
        <v>1413</v>
      </c>
      <c r="B402" s="1">
        <v>45357</v>
      </c>
      <c r="C402" s="2" t="s">
        <v>18</v>
      </c>
      <c r="D402" s="2" t="s">
        <v>15</v>
      </c>
      <c r="E402" s="8">
        <v>1</v>
      </c>
    </row>
    <row r="403" spans="1:5" x14ac:dyDescent="0.35">
      <c r="A403" s="7">
        <v>1409</v>
      </c>
      <c r="B403" s="1">
        <v>45358</v>
      </c>
      <c r="C403" s="2" t="s">
        <v>12</v>
      </c>
      <c r="D403" s="2" t="s">
        <v>9</v>
      </c>
      <c r="E403" s="8">
        <v>5</v>
      </c>
    </row>
    <row r="404" spans="1:5" x14ac:dyDescent="0.35">
      <c r="A404" s="7">
        <v>1407</v>
      </c>
      <c r="B404" s="1">
        <v>45363</v>
      </c>
      <c r="C404" s="2" t="s">
        <v>10</v>
      </c>
      <c r="D404" s="2" t="s">
        <v>16</v>
      </c>
      <c r="E404" s="8">
        <v>6</v>
      </c>
    </row>
    <row r="405" spans="1:5" x14ac:dyDescent="0.35">
      <c r="A405" s="7">
        <v>1405</v>
      </c>
      <c r="B405" s="1">
        <v>45364</v>
      </c>
      <c r="C405" s="2" t="s">
        <v>20</v>
      </c>
      <c r="D405" s="2" t="s">
        <v>16</v>
      </c>
      <c r="E405" s="8">
        <v>6</v>
      </c>
    </row>
    <row r="406" spans="1:5" x14ac:dyDescent="0.35">
      <c r="A406" s="7">
        <v>1428</v>
      </c>
      <c r="B406" s="1">
        <v>45364</v>
      </c>
      <c r="C406" s="2" t="s">
        <v>10</v>
      </c>
      <c r="D406" s="2" t="s">
        <v>13</v>
      </c>
      <c r="E406" s="8">
        <v>1</v>
      </c>
    </row>
    <row r="407" spans="1:5" x14ac:dyDescent="0.35">
      <c r="A407" s="7">
        <v>1414</v>
      </c>
      <c r="B407" s="1">
        <v>45365</v>
      </c>
      <c r="C407" s="2" t="s">
        <v>14</v>
      </c>
      <c r="D407" s="2" t="s">
        <v>7</v>
      </c>
      <c r="E407" s="8">
        <v>1</v>
      </c>
    </row>
    <row r="408" spans="1:5" x14ac:dyDescent="0.35">
      <c r="A408" s="7">
        <v>1420</v>
      </c>
      <c r="B408" s="1">
        <v>45365</v>
      </c>
      <c r="C408" s="2" t="s">
        <v>8</v>
      </c>
      <c r="D408" s="2" t="s">
        <v>15</v>
      </c>
      <c r="E408" s="8">
        <v>6</v>
      </c>
    </row>
    <row r="409" spans="1:5" x14ac:dyDescent="0.35">
      <c r="A409" s="7">
        <v>1422</v>
      </c>
      <c r="B409" s="1">
        <v>45367</v>
      </c>
      <c r="C409" s="2" t="s">
        <v>21</v>
      </c>
      <c r="D409" s="2" t="s">
        <v>19</v>
      </c>
      <c r="E409" s="8">
        <v>10</v>
      </c>
    </row>
    <row r="410" spans="1:5" x14ac:dyDescent="0.35">
      <c r="A410" s="7">
        <v>1416</v>
      </c>
      <c r="B410" s="1">
        <v>45369</v>
      </c>
      <c r="C410" s="2" t="s">
        <v>14</v>
      </c>
      <c r="D410" s="2" t="s">
        <v>19</v>
      </c>
      <c r="E410" s="8">
        <v>2</v>
      </c>
    </row>
    <row r="411" spans="1:5" x14ac:dyDescent="0.35">
      <c r="A411" s="7">
        <v>1402</v>
      </c>
      <c r="B411" s="1">
        <v>45370</v>
      </c>
      <c r="C411" s="2" t="s">
        <v>12</v>
      </c>
      <c r="D411" s="2" t="s">
        <v>7</v>
      </c>
      <c r="E411" s="8">
        <v>1</v>
      </c>
    </row>
    <row r="412" spans="1:5" x14ac:dyDescent="0.35">
      <c r="A412" s="7">
        <v>1396</v>
      </c>
      <c r="B412" s="1">
        <v>45371</v>
      </c>
      <c r="C412" s="2" t="s">
        <v>8</v>
      </c>
      <c r="D412" s="2" t="s">
        <v>17</v>
      </c>
      <c r="E412" s="8">
        <v>6</v>
      </c>
    </row>
    <row r="413" spans="1:5" x14ac:dyDescent="0.35">
      <c r="A413" s="7">
        <v>1415</v>
      </c>
      <c r="B413" s="1">
        <v>45371</v>
      </c>
      <c r="C413" s="2" t="s">
        <v>5</v>
      </c>
      <c r="D413" s="2" t="s">
        <v>6</v>
      </c>
      <c r="E413" s="8">
        <v>5</v>
      </c>
    </row>
    <row r="414" spans="1:5" x14ac:dyDescent="0.35">
      <c r="A414" s="7">
        <v>1399</v>
      </c>
      <c r="B414" s="1">
        <v>45372</v>
      </c>
      <c r="C414" s="2" t="s">
        <v>21</v>
      </c>
      <c r="D414" s="2" t="s">
        <v>6</v>
      </c>
      <c r="E414" s="8">
        <v>10</v>
      </c>
    </row>
    <row r="415" spans="1:5" x14ac:dyDescent="0.35">
      <c r="A415" s="7">
        <v>1404</v>
      </c>
      <c r="B415" s="1">
        <v>45374</v>
      </c>
      <c r="C415" s="2" t="s">
        <v>18</v>
      </c>
      <c r="D415" s="2" t="s">
        <v>15</v>
      </c>
      <c r="E415" s="8">
        <v>8</v>
      </c>
    </row>
    <row r="416" spans="1:5" x14ac:dyDescent="0.35">
      <c r="A416" s="7">
        <v>1406</v>
      </c>
      <c r="B416" s="1">
        <v>45374</v>
      </c>
      <c r="C416" s="2" t="s">
        <v>18</v>
      </c>
      <c r="D416" s="2" t="s">
        <v>6</v>
      </c>
      <c r="E416" s="8">
        <v>10</v>
      </c>
    </row>
    <row r="417" spans="1:5" x14ac:dyDescent="0.35">
      <c r="A417" s="7">
        <v>1423</v>
      </c>
      <c r="B417" s="1">
        <v>45374</v>
      </c>
      <c r="C417" s="2" t="s">
        <v>8</v>
      </c>
      <c r="D417" s="2" t="s">
        <v>6</v>
      </c>
      <c r="E417" s="8">
        <v>1</v>
      </c>
    </row>
    <row r="418" spans="1:5" x14ac:dyDescent="0.35">
      <c r="A418" s="7">
        <v>1401</v>
      </c>
      <c r="B418" s="1">
        <v>45375</v>
      </c>
      <c r="C418" s="2" t="s">
        <v>20</v>
      </c>
      <c r="D418" s="2" t="s">
        <v>15</v>
      </c>
      <c r="E418" s="8">
        <v>2</v>
      </c>
    </row>
    <row r="419" spans="1:5" x14ac:dyDescent="0.35">
      <c r="A419" s="7">
        <v>1398</v>
      </c>
      <c r="B419" s="1">
        <v>45376</v>
      </c>
      <c r="C419" s="2" t="s">
        <v>10</v>
      </c>
      <c r="D419" s="2" t="s">
        <v>19</v>
      </c>
      <c r="E419" s="8">
        <v>4</v>
      </c>
    </row>
    <row r="420" spans="1:5" x14ac:dyDescent="0.35">
      <c r="A420" s="7">
        <v>1411</v>
      </c>
      <c r="B420" s="1">
        <v>45376</v>
      </c>
      <c r="C420" s="2" t="s">
        <v>11</v>
      </c>
      <c r="D420" s="2" t="s">
        <v>19</v>
      </c>
      <c r="E420" s="8">
        <v>6</v>
      </c>
    </row>
    <row r="421" spans="1:5" x14ac:dyDescent="0.35">
      <c r="A421" s="7">
        <v>1419</v>
      </c>
      <c r="B421" s="1">
        <v>45376</v>
      </c>
      <c r="C421" s="2" t="s">
        <v>14</v>
      </c>
      <c r="D421" s="2" t="s">
        <v>17</v>
      </c>
      <c r="E421" s="8">
        <v>2</v>
      </c>
    </row>
    <row r="422" spans="1:5" x14ac:dyDescent="0.35">
      <c r="A422" s="7">
        <v>1424</v>
      </c>
      <c r="B422" s="1">
        <v>45376</v>
      </c>
      <c r="C422" s="2" t="s">
        <v>20</v>
      </c>
      <c r="D422" s="2" t="s">
        <v>16</v>
      </c>
      <c r="E422" s="8">
        <v>1</v>
      </c>
    </row>
    <row r="423" spans="1:5" x14ac:dyDescent="0.35">
      <c r="A423" s="7">
        <v>1417</v>
      </c>
      <c r="B423" s="1">
        <v>45380</v>
      </c>
      <c r="C423" s="2" t="s">
        <v>20</v>
      </c>
      <c r="D423" s="2" t="s">
        <v>9</v>
      </c>
      <c r="E423" s="8">
        <v>5</v>
      </c>
    </row>
    <row r="424" spans="1:5" x14ac:dyDescent="0.35">
      <c r="A424" s="7">
        <v>1425</v>
      </c>
      <c r="B424" s="1">
        <v>45380</v>
      </c>
      <c r="C424" s="2" t="s">
        <v>20</v>
      </c>
      <c r="D424" s="2" t="s">
        <v>7</v>
      </c>
      <c r="E424" s="8">
        <v>5</v>
      </c>
    </row>
    <row r="425" spans="1:5" x14ac:dyDescent="0.35">
      <c r="A425" s="7">
        <v>1397</v>
      </c>
      <c r="B425" s="1">
        <v>45381</v>
      </c>
      <c r="C425" s="2" t="s">
        <v>12</v>
      </c>
      <c r="D425" s="2" t="s">
        <v>7</v>
      </c>
      <c r="E425" s="8">
        <v>3</v>
      </c>
    </row>
    <row r="426" spans="1:5" x14ac:dyDescent="0.35">
      <c r="A426" s="7">
        <v>1427</v>
      </c>
      <c r="B426" s="1">
        <v>45381</v>
      </c>
      <c r="C426" s="2" t="s">
        <v>14</v>
      </c>
      <c r="D426" s="2" t="s">
        <v>9</v>
      </c>
      <c r="E426" s="8">
        <v>3</v>
      </c>
    </row>
    <row r="427" spans="1:5" x14ac:dyDescent="0.35">
      <c r="A427" s="7">
        <v>1403</v>
      </c>
      <c r="B427" s="1">
        <v>45382</v>
      </c>
      <c r="C427" s="2" t="s">
        <v>12</v>
      </c>
      <c r="D427" s="2" t="s">
        <v>7</v>
      </c>
      <c r="E427" s="8">
        <v>2</v>
      </c>
    </row>
    <row r="428" spans="1:5" x14ac:dyDescent="0.35">
      <c r="A428" s="7">
        <v>1418</v>
      </c>
      <c r="B428" s="1">
        <v>45382</v>
      </c>
      <c r="C428" s="2" t="s">
        <v>12</v>
      </c>
      <c r="D428" s="2" t="s">
        <v>9</v>
      </c>
      <c r="E428" s="8">
        <v>10</v>
      </c>
    </row>
    <row r="429" spans="1:5" x14ac:dyDescent="0.35">
      <c r="A429" s="7">
        <v>1426</v>
      </c>
      <c r="B429" s="1">
        <v>45382</v>
      </c>
      <c r="C429" s="2" t="s">
        <v>10</v>
      </c>
      <c r="D429" s="2" t="s">
        <v>7</v>
      </c>
      <c r="E429" s="8">
        <v>1</v>
      </c>
    </row>
    <row r="430" spans="1:5" x14ac:dyDescent="0.35">
      <c r="A430" s="7">
        <v>1444</v>
      </c>
      <c r="B430" s="1">
        <v>45384</v>
      </c>
      <c r="C430" s="2" t="s">
        <v>10</v>
      </c>
      <c r="D430" s="2" t="s">
        <v>13</v>
      </c>
      <c r="E430" s="8">
        <v>5</v>
      </c>
    </row>
    <row r="431" spans="1:5" x14ac:dyDescent="0.35">
      <c r="A431" s="7">
        <v>1429</v>
      </c>
      <c r="B431" s="1">
        <v>45385</v>
      </c>
      <c r="C431" s="2" t="s">
        <v>5</v>
      </c>
      <c r="D431" s="2" t="s">
        <v>6</v>
      </c>
      <c r="E431" s="8">
        <v>4</v>
      </c>
    </row>
    <row r="432" spans="1:5" x14ac:dyDescent="0.35">
      <c r="A432" s="7">
        <v>1443</v>
      </c>
      <c r="B432" s="1">
        <v>45385</v>
      </c>
      <c r="C432" s="2" t="s">
        <v>8</v>
      </c>
      <c r="D432" s="2" t="s">
        <v>16</v>
      </c>
      <c r="E432" s="8">
        <v>3</v>
      </c>
    </row>
    <row r="433" spans="1:5" x14ac:dyDescent="0.35">
      <c r="A433" s="7">
        <v>1450</v>
      </c>
      <c r="B433" s="1">
        <v>45385</v>
      </c>
      <c r="C433" s="2" t="s">
        <v>18</v>
      </c>
      <c r="D433" s="2" t="s">
        <v>17</v>
      </c>
      <c r="E433" s="8">
        <v>1</v>
      </c>
    </row>
    <row r="434" spans="1:5" x14ac:dyDescent="0.35">
      <c r="A434" s="7">
        <v>1460</v>
      </c>
      <c r="B434" s="1">
        <v>45385</v>
      </c>
      <c r="C434" s="2" t="s">
        <v>11</v>
      </c>
      <c r="D434" s="2" t="s">
        <v>19</v>
      </c>
      <c r="E434" s="8">
        <v>4</v>
      </c>
    </row>
    <row r="435" spans="1:5" x14ac:dyDescent="0.35">
      <c r="A435" s="7">
        <v>1438</v>
      </c>
      <c r="B435" s="1">
        <v>45386</v>
      </c>
      <c r="C435" s="2" t="s">
        <v>14</v>
      </c>
      <c r="D435" s="2" t="s">
        <v>15</v>
      </c>
      <c r="E435" s="8">
        <v>1</v>
      </c>
    </row>
    <row r="436" spans="1:5" x14ac:dyDescent="0.35">
      <c r="A436" s="7">
        <v>1456</v>
      </c>
      <c r="B436" s="1">
        <v>45386</v>
      </c>
      <c r="C436" s="2" t="s">
        <v>12</v>
      </c>
      <c r="D436" s="2" t="s">
        <v>13</v>
      </c>
      <c r="E436" s="8">
        <v>2</v>
      </c>
    </row>
    <row r="437" spans="1:5" x14ac:dyDescent="0.35">
      <c r="A437" s="7">
        <v>1431</v>
      </c>
      <c r="B437" s="1">
        <v>45387</v>
      </c>
      <c r="C437" s="2" t="s">
        <v>12</v>
      </c>
      <c r="D437" s="2" t="s">
        <v>16</v>
      </c>
      <c r="E437" s="8">
        <v>1</v>
      </c>
    </row>
    <row r="438" spans="1:5" x14ac:dyDescent="0.35">
      <c r="A438" s="7">
        <v>1458</v>
      </c>
      <c r="B438" s="1">
        <v>45388</v>
      </c>
      <c r="C438" s="2" t="s">
        <v>10</v>
      </c>
      <c r="D438" s="2" t="s">
        <v>17</v>
      </c>
      <c r="E438" s="8">
        <v>3</v>
      </c>
    </row>
    <row r="439" spans="1:5" x14ac:dyDescent="0.35">
      <c r="A439" s="7">
        <v>1451</v>
      </c>
      <c r="B439" s="1">
        <v>45389</v>
      </c>
      <c r="C439" s="2" t="s">
        <v>21</v>
      </c>
      <c r="D439" s="2" t="s">
        <v>17</v>
      </c>
      <c r="E439" s="8">
        <v>2</v>
      </c>
    </row>
    <row r="440" spans="1:5" x14ac:dyDescent="0.35">
      <c r="A440" s="7">
        <v>1436</v>
      </c>
      <c r="B440" s="1">
        <v>45390</v>
      </c>
      <c r="C440" s="2" t="s">
        <v>11</v>
      </c>
      <c r="D440" s="2" t="s">
        <v>15</v>
      </c>
      <c r="E440" s="8">
        <v>2</v>
      </c>
    </row>
    <row r="441" spans="1:5" x14ac:dyDescent="0.35">
      <c r="A441" s="7">
        <v>1437</v>
      </c>
      <c r="B441" s="1">
        <v>45390</v>
      </c>
      <c r="C441" s="2" t="s">
        <v>11</v>
      </c>
      <c r="D441" s="2" t="s">
        <v>19</v>
      </c>
      <c r="E441" s="8">
        <v>1</v>
      </c>
    </row>
    <row r="442" spans="1:5" x14ac:dyDescent="0.35">
      <c r="A442" s="7">
        <v>1434</v>
      </c>
      <c r="B442" s="1">
        <v>45391</v>
      </c>
      <c r="C442" s="2" t="s">
        <v>11</v>
      </c>
      <c r="D442" s="2" t="s">
        <v>13</v>
      </c>
      <c r="E442" s="8">
        <v>1</v>
      </c>
    </row>
    <row r="443" spans="1:5" x14ac:dyDescent="0.35">
      <c r="A443" s="7">
        <v>1461</v>
      </c>
      <c r="B443" s="1">
        <v>45392</v>
      </c>
      <c r="C443" s="2" t="s">
        <v>18</v>
      </c>
      <c r="D443" s="2" t="s">
        <v>15</v>
      </c>
      <c r="E443" s="8">
        <v>6</v>
      </c>
    </row>
    <row r="444" spans="1:5" x14ac:dyDescent="0.35">
      <c r="A444" s="7">
        <v>1430</v>
      </c>
      <c r="B444" s="1">
        <v>45393</v>
      </c>
      <c r="C444" s="2" t="s">
        <v>5</v>
      </c>
      <c r="D444" s="2" t="s">
        <v>6</v>
      </c>
      <c r="E444" s="8">
        <v>1</v>
      </c>
    </row>
    <row r="445" spans="1:5" x14ac:dyDescent="0.35">
      <c r="A445" s="7">
        <v>1452</v>
      </c>
      <c r="B445" s="1">
        <v>45393</v>
      </c>
      <c r="C445" s="2" t="s">
        <v>5</v>
      </c>
      <c r="D445" s="2" t="s">
        <v>13</v>
      </c>
      <c r="E445" s="8">
        <v>1</v>
      </c>
    </row>
    <row r="446" spans="1:5" x14ac:dyDescent="0.35">
      <c r="A446" s="7">
        <v>1462</v>
      </c>
      <c r="B446" s="1">
        <v>45393</v>
      </c>
      <c r="C446" s="2" t="s">
        <v>11</v>
      </c>
      <c r="D446" s="2" t="s">
        <v>6</v>
      </c>
      <c r="E446" s="8">
        <v>1</v>
      </c>
    </row>
    <row r="447" spans="1:5" x14ac:dyDescent="0.35">
      <c r="A447" s="7">
        <v>1446</v>
      </c>
      <c r="B447" s="1">
        <v>45394</v>
      </c>
      <c r="C447" s="2" t="s">
        <v>12</v>
      </c>
      <c r="D447" s="2" t="s">
        <v>13</v>
      </c>
      <c r="E447" s="8">
        <v>1</v>
      </c>
    </row>
    <row r="448" spans="1:5" x14ac:dyDescent="0.35">
      <c r="A448" s="7">
        <v>1448</v>
      </c>
      <c r="B448" s="1">
        <v>45394</v>
      </c>
      <c r="C448" s="2" t="s">
        <v>18</v>
      </c>
      <c r="D448" s="2" t="s">
        <v>6</v>
      </c>
      <c r="E448" s="8">
        <v>1</v>
      </c>
    </row>
    <row r="449" spans="1:5" x14ac:dyDescent="0.35">
      <c r="A449" s="7">
        <v>1440</v>
      </c>
      <c r="B449" s="1">
        <v>45396</v>
      </c>
      <c r="C449" s="2" t="s">
        <v>18</v>
      </c>
      <c r="D449" s="2" t="s">
        <v>9</v>
      </c>
      <c r="E449" s="8">
        <v>2</v>
      </c>
    </row>
    <row r="450" spans="1:5" x14ac:dyDescent="0.35">
      <c r="A450" s="7">
        <v>1449</v>
      </c>
      <c r="B450" s="1">
        <v>45397</v>
      </c>
      <c r="C450" s="2" t="s">
        <v>18</v>
      </c>
      <c r="D450" s="2" t="s">
        <v>6</v>
      </c>
      <c r="E450" s="8">
        <v>10</v>
      </c>
    </row>
    <row r="451" spans="1:5" x14ac:dyDescent="0.35">
      <c r="A451" s="7">
        <v>1441</v>
      </c>
      <c r="B451" s="1">
        <v>45401</v>
      </c>
      <c r="C451" s="2" t="s">
        <v>12</v>
      </c>
      <c r="D451" s="2" t="s">
        <v>13</v>
      </c>
      <c r="E451" s="8">
        <v>2</v>
      </c>
    </row>
    <row r="452" spans="1:5" x14ac:dyDescent="0.35">
      <c r="A452" s="7">
        <v>1433</v>
      </c>
      <c r="B452" s="1">
        <v>45402</v>
      </c>
      <c r="C452" s="2" t="s">
        <v>14</v>
      </c>
      <c r="D452" s="2" t="s">
        <v>7</v>
      </c>
      <c r="E452" s="8">
        <v>5</v>
      </c>
    </row>
    <row r="453" spans="1:5" x14ac:dyDescent="0.35">
      <c r="A453" s="7">
        <v>1463</v>
      </c>
      <c r="B453" s="1">
        <v>45402</v>
      </c>
      <c r="C453" s="2" t="s">
        <v>20</v>
      </c>
      <c r="D453" s="2" t="s">
        <v>19</v>
      </c>
      <c r="E453" s="8">
        <v>5</v>
      </c>
    </row>
    <row r="454" spans="1:5" x14ac:dyDescent="0.35">
      <c r="A454" s="7">
        <v>1439</v>
      </c>
      <c r="B454" s="1">
        <v>45403</v>
      </c>
      <c r="C454" s="2" t="s">
        <v>8</v>
      </c>
      <c r="D454" s="2" t="s">
        <v>17</v>
      </c>
      <c r="E454" s="8">
        <v>1</v>
      </c>
    </row>
    <row r="455" spans="1:5" x14ac:dyDescent="0.35">
      <c r="A455" s="7">
        <v>1442</v>
      </c>
      <c r="B455" s="1">
        <v>45404</v>
      </c>
      <c r="C455" s="2" t="s">
        <v>18</v>
      </c>
      <c r="D455" s="2" t="s">
        <v>15</v>
      </c>
      <c r="E455" s="8">
        <v>10</v>
      </c>
    </row>
    <row r="456" spans="1:5" x14ac:dyDescent="0.35">
      <c r="A456" s="7">
        <v>1432</v>
      </c>
      <c r="B456" s="1">
        <v>45405</v>
      </c>
      <c r="C456" s="2" t="s">
        <v>20</v>
      </c>
      <c r="D456" s="2" t="s">
        <v>13</v>
      </c>
      <c r="E456" s="8">
        <v>5</v>
      </c>
    </row>
    <row r="457" spans="1:5" x14ac:dyDescent="0.35">
      <c r="A457" s="7">
        <v>1435</v>
      </c>
      <c r="B457" s="1">
        <v>45406</v>
      </c>
      <c r="C457" s="2" t="s">
        <v>18</v>
      </c>
      <c r="D457" s="2" t="s">
        <v>9</v>
      </c>
      <c r="E457" s="8">
        <v>6</v>
      </c>
    </row>
    <row r="458" spans="1:5" x14ac:dyDescent="0.35">
      <c r="A458" s="7">
        <v>1445</v>
      </c>
      <c r="B458" s="1">
        <v>45406</v>
      </c>
      <c r="C458" s="2" t="s">
        <v>12</v>
      </c>
      <c r="D458" s="2" t="s">
        <v>15</v>
      </c>
      <c r="E458" s="8">
        <v>2</v>
      </c>
    </row>
    <row r="459" spans="1:5" x14ac:dyDescent="0.35">
      <c r="A459" s="7">
        <v>1447</v>
      </c>
      <c r="B459" s="1">
        <v>45406</v>
      </c>
      <c r="C459" s="2" t="s">
        <v>11</v>
      </c>
      <c r="D459" s="2" t="s">
        <v>9</v>
      </c>
      <c r="E459" s="8">
        <v>8</v>
      </c>
    </row>
    <row r="460" spans="1:5" x14ac:dyDescent="0.35">
      <c r="A460" s="7">
        <v>1457</v>
      </c>
      <c r="B460" s="1">
        <v>45406</v>
      </c>
      <c r="C460" s="2" t="s">
        <v>10</v>
      </c>
      <c r="D460" s="2" t="s">
        <v>6</v>
      </c>
      <c r="E460" s="8">
        <v>4</v>
      </c>
    </row>
    <row r="461" spans="1:5" x14ac:dyDescent="0.35">
      <c r="A461" s="7">
        <v>1454</v>
      </c>
      <c r="B461" s="1">
        <v>45407</v>
      </c>
      <c r="C461" s="2" t="s">
        <v>20</v>
      </c>
      <c r="D461" s="2" t="s">
        <v>17</v>
      </c>
      <c r="E461" s="8">
        <v>1</v>
      </c>
    </row>
    <row r="462" spans="1:5" x14ac:dyDescent="0.35">
      <c r="A462" s="7">
        <v>1453</v>
      </c>
      <c r="B462" s="1">
        <v>45409</v>
      </c>
      <c r="C462" s="2" t="s">
        <v>8</v>
      </c>
      <c r="D462" s="2" t="s">
        <v>19</v>
      </c>
      <c r="E462" s="8">
        <v>4</v>
      </c>
    </row>
    <row r="463" spans="1:5" x14ac:dyDescent="0.35">
      <c r="A463" s="7">
        <v>1455</v>
      </c>
      <c r="B463" s="1">
        <v>45410</v>
      </c>
      <c r="C463" s="2" t="s">
        <v>20</v>
      </c>
      <c r="D463" s="2" t="s">
        <v>9</v>
      </c>
      <c r="E463" s="8">
        <v>3</v>
      </c>
    </row>
    <row r="464" spans="1:5" x14ac:dyDescent="0.35">
      <c r="A464" s="7">
        <v>1459</v>
      </c>
      <c r="B464" s="1">
        <v>45412</v>
      </c>
      <c r="C464" s="2" t="s">
        <v>14</v>
      </c>
      <c r="D464" s="2" t="s">
        <v>17</v>
      </c>
      <c r="E464" s="8">
        <v>3</v>
      </c>
    </row>
    <row r="465" spans="1:5" x14ac:dyDescent="0.35">
      <c r="A465" s="7">
        <v>1469</v>
      </c>
      <c r="B465" s="1">
        <v>45415</v>
      </c>
      <c r="C465" s="2" t="s">
        <v>21</v>
      </c>
      <c r="D465" s="2" t="s">
        <v>17</v>
      </c>
      <c r="E465" s="8">
        <v>1</v>
      </c>
    </row>
    <row r="466" spans="1:5" x14ac:dyDescent="0.35">
      <c r="A466" s="7">
        <v>1479</v>
      </c>
      <c r="B466" s="1">
        <v>45417</v>
      </c>
      <c r="C466" s="2" t="s">
        <v>5</v>
      </c>
      <c r="D466" s="2" t="s">
        <v>17</v>
      </c>
      <c r="E466" s="8">
        <v>1</v>
      </c>
    </row>
    <row r="467" spans="1:5" x14ac:dyDescent="0.35">
      <c r="A467" s="7">
        <v>1487</v>
      </c>
      <c r="B467" s="1">
        <v>45417</v>
      </c>
      <c r="C467" s="2" t="s">
        <v>14</v>
      </c>
      <c r="D467" s="2" t="s">
        <v>6</v>
      </c>
      <c r="E467" s="8">
        <v>6</v>
      </c>
    </row>
    <row r="468" spans="1:5" x14ac:dyDescent="0.35">
      <c r="A468" s="7">
        <v>1484</v>
      </c>
      <c r="B468" s="1">
        <v>45420</v>
      </c>
      <c r="C468" s="2" t="s">
        <v>12</v>
      </c>
      <c r="D468" s="2" t="s">
        <v>7</v>
      </c>
      <c r="E468" s="8">
        <v>6</v>
      </c>
    </row>
    <row r="469" spans="1:5" x14ac:dyDescent="0.35">
      <c r="A469" s="7">
        <v>1485</v>
      </c>
      <c r="B469" s="1">
        <v>45420</v>
      </c>
      <c r="C469" s="2" t="s">
        <v>5</v>
      </c>
      <c r="D469" s="2" t="s">
        <v>16</v>
      </c>
      <c r="E469" s="8">
        <v>1</v>
      </c>
    </row>
    <row r="470" spans="1:5" x14ac:dyDescent="0.35">
      <c r="A470" s="7">
        <v>1474</v>
      </c>
      <c r="B470" s="1">
        <v>45421</v>
      </c>
      <c r="C470" s="2" t="s">
        <v>12</v>
      </c>
      <c r="D470" s="2" t="s">
        <v>15</v>
      </c>
      <c r="E470" s="8">
        <v>10</v>
      </c>
    </row>
    <row r="471" spans="1:5" x14ac:dyDescent="0.35">
      <c r="A471" s="7">
        <v>1478</v>
      </c>
      <c r="B471" s="1">
        <v>45422</v>
      </c>
      <c r="C471" s="2" t="s">
        <v>5</v>
      </c>
      <c r="D471" s="2" t="s">
        <v>17</v>
      </c>
      <c r="E471" s="8">
        <v>8</v>
      </c>
    </row>
    <row r="472" spans="1:5" x14ac:dyDescent="0.35">
      <c r="A472" s="7">
        <v>1490</v>
      </c>
      <c r="B472" s="1">
        <v>45423</v>
      </c>
      <c r="C472" s="2" t="s">
        <v>11</v>
      </c>
      <c r="D472" s="2" t="s">
        <v>15</v>
      </c>
      <c r="E472" s="8">
        <v>1</v>
      </c>
    </row>
    <row r="473" spans="1:5" x14ac:dyDescent="0.35">
      <c r="A473" s="7">
        <v>1473</v>
      </c>
      <c r="B473" s="1">
        <v>45424</v>
      </c>
      <c r="C473" s="2" t="s">
        <v>18</v>
      </c>
      <c r="D473" s="2" t="s">
        <v>16</v>
      </c>
      <c r="E473" s="8">
        <v>6</v>
      </c>
    </row>
    <row r="474" spans="1:5" x14ac:dyDescent="0.35">
      <c r="A474" s="7">
        <v>1470</v>
      </c>
      <c r="B474" s="1">
        <v>45425</v>
      </c>
      <c r="C474" s="2" t="s">
        <v>12</v>
      </c>
      <c r="D474" s="2" t="s">
        <v>9</v>
      </c>
      <c r="E474" s="8">
        <v>3</v>
      </c>
    </row>
    <row r="475" spans="1:5" x14ac:dyDescent="0.35">
      <c r="A475" s="7">
        <v>1476</v>
      </c>
      <c r="B475" s="1">
        <v>45425</v>
      </c>
      <c r="C475" s="2" t="s">
        <v>14</v>
      </c>
      <c r="D475" s="2" t="s">
        <v>7</v>
      </c>
      <c r="E475" s="8">
        <v>6</v>
      </c>
    </row>
    <row r="476" spans="1:5" x14ac:dyDescent="0.35">
      <c r="A476" s="7">
        <v>1488</v>
      </c>
      <c r="B476" s="1">
        <v>45425</v>
      </c>
      <c r="C476" s="2" t="s">
        <v>11</v>
      </c>
      <c r="D476" s="2" t="s">
        <v>16</v>
      </c>
      <c r="E476" s="8">
        <v>2</v>
      </c>
    </row>
    <row r="477" spans="1:5" x14ac:dyDescent="0.35">
      <c r="A477" s="7">
        <v>1465</v>
      </c>
      <c r="B477" s="1">
        <v>45426</v>
      </c>
      <c r="C477" s="2" t="s">
        <v>12</v>
      </c>
      <c r="D477" s="2" t="s">
        <v>13</v>
      </c>
      <c r="E477" s="8">
        <v>8</v>
      </c>
    </row>
    <row r="478" spans="1:5" x14ac:dyDescent="0.35">
      <c r="A478" s="7">
        <v>1464</v>
      </c>
      <c r="B478" s="1">
        <v>45427</v>
      </c>
      <c r="C478" s="2" t="s">
        <v>14</v>
      </c>
      <c r="D478" s="2" t="s">
        <v>7</v>
      </c>
      <c r="E478" s="8">
        <v>3</v>
      </c>
    </row>
    <row r="479" spans="1:5" x14ac:dyDescent="0.35">
      <c r="A479" s="7">
        <v>1471</v>
      </c>
      <c r="B479" s="1">
        <v>45427</v>
      </c>
      <c r="C479" s="2" t="s">
        <v>18</v>
      </c>
      <c r="D479" s="2" t="s">
        <v>13</v>
      </c>
      <c r="E479" s="8">
        <v>10</v>
      </c>
    </row>
    <row r="480" spans="1:5" x14ac:dyDescent="0.35">
      <c r="A480" s="7">
        <v>1482</v>
      </c>
      <c r="B480" s="1">
        <v>45430</v>
      </c>
      <c r="C480" s="2" t="s">
        <v>12</v>
      </c>
      <c r="D480" s="2" t="s">
        <v>6</v>
      </c>
      <c r="E480" s="8">
        <v>1</v>
      </c>
    </row>
    <row r="481" spans="1:5" x14ac:dyDescent="0.35">
      <c r="A481" s="7">
        <v>1486</v>
      </c>
      <c r="B481" s="1">
        <v>45430</v>
      </c>
      <c r="C481" s="2" t="s">
        <v>21</v>
      </c>
      <c r="D481" s="2" t="s">
        <v>17</v>
      </c>
      <c r="E481" s="8">
        <v>3</v>
      </c>
    </row>
    <row r="482" spans="1:5" x14ac:dyDescent="0.35">
      <c r="A482" s="7">
        <v>1466</v>
      </c>
      <c r="B482" s="1">
        <v>45434</v>
      </c>
      <c r="C482" s="2" t="s">
        <v>21</v>
      </c>
      <c r="D482" s="2" t="s">
        <v>19</v>
      </c>
      <c r="E482" s="8">
        <v>1</v>
      </c>
    </row>
    <row r="483" spans="1:5" x14ac:dyDescent="0.35">
      <c r="A483" s="7">
        <v>1491</v>
      </c>
      <c r="B483" s="1">
        <v>45434</v>
      </c>
      <c r="C483" s="2" t="s">
        <v>14</v>
      </c>
      <c r="D483" s="2" t="s">
        <v>16</v>
      </c>
      <c r="E483" s="8">
        <v>5</v>
      </c>
    </row>
    <row r="484" spans="1:5" x14ac:dyDescent="0.35">
      <c r="A484" s="7">
        <v>1477</v>
      </c>
      <c r="B484" s="1">
        <v>45435</v>
      </c>
      <c r="C484" s="2" t="s">
        <v>20</v>
      </c>
      <c r="D484" s="2" t="s">
        <v>16</v>
      </c>
      <c r="E484" s="8">
        <v>2</v>
      </c>
    </row>
    <row r="485" spans="1:5" x14ac:dyDescent="0.35">
      <c r="A485" s="7">
        <v>1483</v>
      </c>
      <c r="B485" s="1">
        <v>45435</v>
      </c>
      <c r="C485" s="2" t="s">
        <v>20</v>
      </c>
      <c r="D485" s="2" t="s">
        <v>19</v>
      </c>
      <c r="E485" s="8">
        <v>1</v>
      </c>
    </row>
    <row r="486" spans="1:5" x14ac:dyDescent="0.35">
      <c r="A486" s="7">
        <v>1475</v>
      </c>
      <c r="B486" s="1">
        <v>45436</v>
      </c>
      <c r="C486" s="2" t="s">
        <v>11</v>
      </c>
      <c r="D486" s="2" t="s">
        <v>9</v>
      </c>
      <c r="E486" s="8">
        <v>1</v>
      </c>
    </row>
    <row r="487" spans="1:5" x14ac:dyDescent="0.35">
      <c r="A487" s="7">
        <v>1472</v>
      </c>
      <c r="B487" s="1">
        <v>45437</v>
      </c>
      <c r="C487" s="2" t="s">
        <v>12</v>
      </c>
      <c r="D487" s="2" t="s">
        <v>6</v>
      </c>
      <c r="E487" s="8">
        <v>5</v>
      </c>
    </row>
    <row r="488" spans="1:5" x14ac:dyDescent="0.35">
      <c r="A488" s="7">
        <v>1489</v>
      </c>
      <c r="B488" s="1">
        <v>45437</v>
      </c>
      <c r="C488" s="2" t="s">
        <v>8</v>
      </c>
      <c r="D488" s="2" t="s">
        <v>17</v>
      </c>
      <c r="E488" s="8">
        <v>4</v>
      </c>
    </row>
    <row r="489" spans="1:5" x14ac:dyDescent="0.35">
      <c r="A489" s="7">
        <v>1467</v>
      </c>
      <c r="B489" s="1">
        <v>45438</v>
      </c>
      <c r="C489" s="2" t="s">
        <v>12</v>
      </c>
      <c r="D489" s="2" t="s">
        <v>15</v>
      </c>
      <c r="E489" s="8">
        <v>6</v>
      </c>
    </row>
    <row r="490" spans="1:5" x14ac:dyDescent="0.35">
      <c r="A490" s="7">
        <v>1468</v>
      </c>
      <c r="B490" s="1">
        <v>45440</v>
      </c>
      <c r="C490" s="2" t="s">
        <v>21</v>
      </c>
      <c r="D490" s="2" t="s">
        <v>7</v>
      </c>
      <c r="E490" s="8">
        <v>1</v>
      </c>
    </row>
    <row r="491" spans="1:5" x14ac:dyDescent="0.35">
      <c r="A491" s="7">
        <v>1480</v>
      </c>
      <c r="B491" s="1">
        <v>45441</v>
      </c>
      <c r="C491" s="2" t="s">
        <v>14</v>
      </c>
      <c r="D491" s="2" t="s">
        <v>16</v>
      </c>
      <c r="E491" s="8">
        <v>1</v>
      </c>
    </row>
    <row r="492" spans="1:5" x14ac:dyDescent="0.35">
      <c r="A492" s="7">
        <v>1481</v>
      </c>
      <c r="B492" s="1">
        <v>45443</v>
      </c>
      <c r="C492" s="2" t="s">
        <v>11</v>
      </c>
      <c r="D492" s="2" t="s">
        <v>17</v>
      </c>
      <c r="E492" s="8">
        <v>10</v>
      </c>
    </row>
    <row r="493" spans="1:5" x14ac:dyDescent="0.35">
      <c r="A493" s="7">
        <v>1517</v>
      </c>
      <c r="B493" s="1">
        <v>45444</v>
      </c>
      <c r="C493" s="2" t="s">
        <v>20</v>
      </c>
      <c r="D493" s="2" t="s">
        <v>17</v>
      </c>
      <c r="E493" s="8">
        <v>5</v>
      </c>
    </row>
    <row r="494" spans="1:5" x14ac:dyDescent="0.35">
      <c r="A494" s="7">
        <v>1521</v>
      </c>
      <c r="B494" s="1">
        <v>45444</v>
      </c>
      <c r="C494" s="2" t="s">
        <v>20</v>
      </c>
      <c r="D494" s="2" t="s">
        <v>17</v>
      </c>
      <c r="E494" s="8">
        <v>6</v>
      </c>
    </row>
    <row r="495" spans="1:5" x14ac:dyDescent="0.35">
      <c r="A495" s="7">
        <v>1501</v>
      </c>
      <c r="B495" s="1">
        <v>45446</v>
      </c>
      <c r="C495" s="2" t="s">
        <v>21</v>
      </c>
      <c r="D495" s="2" t="s">
        <v>6</v>
      </c>
      <c r="E495" s="8">
        <v>1</v>
      </c>
    </row>
    <row r="496" spans="1:5" x14ac:dyDescent="0.35">
      <c r="A496" s="7">
        <v>1505</v>
      </c>
      <c r="B496" s="1">
        <v>45446</v>
      </c>
      <c r="C496" s="2" t="s">
        <v>20</v>
      </c>
      <c r="D496" s="2" t="s">
        <v>15</v>
      </c>
      <c r="E496" s="8">
        <v>5</v>
      </c>
    </row>
    <row r="497" spans="1:5" x14ac:dyDescent="0.35">
      <c r="A497" s="7">
        <v>1510</v>
      </c>
      <c r="B497" s="1">
        <v>45447</v>
      </c>
      <c r="C497" s="2" t="s">
        <v>8</v>
      </c>
      <c r="D497" s="2" t="s">
        <v>6</v>
      </c>
      <c r="E497" s="8">
        <v>6</v>
      </c>
    </row>
    <row r="498" spans="1:5" x14ac:dyDescent="0.35">
      <c r="A498" s="7">
        <v>1511</v>
      </c>
      <c r="B498" s="1">
        <v>45447</v>
      </c>
      <c r="C498" s="2" t="s">
        <v>5</v>
      </c>
      <c r="D498" s="2" t="s">
        <v>6</v>
      </c>
      <c r="E498" s="8">
        <v>5</v>
      </c>
    </row>
    <row r="499" spans="1:5" x14ac:dyDescent="0.35">
      <c r="A499" s="7">
        <v>1494</v>
      </c>
      <c r="B499" s="1">
        <v>45448</v>
      </c>
      <c r="C499" s="2" t="s">
        <v>11</v>
      </c>
      <c r="D499" s="2" t="s">
        <v>13</v>
      </c>
      <c r="E499" s="8">
        <v>6</v>
      </c>
    </row>
    <row r="500" spans="1:5" x14ac:dyDescent="0.35">
      <c r="A500" s="7">
        <v>1512</v>
      </c>
      <c r="B500" s="1">
        <v>45448</v>
      </c>
      <c r="C500" s="2" t="s">
        <v>14</v>
      </c>
      <c r="D500" s="2" t="s">
        <v>19</v>
      </c>
      <c r="E500" s="8">
        <v>2</v>
      </c>
    </row>
    <row r="501" spans="1:5" x14ac:dyDescent="0.35">
      <c r="A501" s="7">
        <v>1499</v>
      </c>
      <c r="B501" s="1">
        <v>45449</v>
      </c>
      <c r="C501" s="2" t="s">
        <v>8</v>
      </c>
      <c r="D501" s="2" t="s">
        <v>16</v>
      </c>
      <c r="E501" s="8">
        <v>10</v>
      </c>
    </row>
    <row r="502" spans="1:5" x14ac:dyDescent="0.35">
      <c r="A502" s="7">
        <v>1497</v>
      </c>
      <c r="B502" s="1">
        <v>45450</v>
      </c>
      <c r="C502" s="2" t="s">
        <v>11</v>
      </c>
      <c r="D502" s="2" t="s">
        <v>19</v>
      </c>
      <c r="E502" s="8">
        <v>2</v>
      </c>
    </row>
    <row r="503" spans="1:5" x14ac:dyDescent="0.35">
      <c r="A503" s="7">
        <v>1502</v>
      </c>
      <c r="B503" s="1">
        <v>45450</v>
      </c>
      <c r="C503" s="2" t="s">
        <v>20</v>
      </c>
      <c r="D503" s="2" t="s">
        <v>13</v>
      </c>
      <c r="E503" s="8">
        <v>10</v>
      </c>
    </row>
    <row r="504" spans="1:5" x14ac:dyDescent="0.35">
      <c r="A504" s="7">
        <v>1504</v>
      </c>
      <c r="B504" s="1">
        <v>45451</v>
      </c>
      <c r="C504" s="2" t="s">
        <v>20</v>
      </c>
      <c r="D504" s="2" t="s">
        <v>19</v>
      </c>
      <c r="E504" s="8">
        <v>5</v>
      </c>
    </row>
    <row r="505" spans="1:5" x14ac:dyDescent="0.35">
      <c r="A505" s="7">
        <v>1498</v>
      </c>
      <c r="B505" s="1">
        <v>45453</v>
      </c>
      <c r="C505" s="2" t="s">
        <v>18</v>
      </c>
      <c r="D505" s="2" t="s">
        <v>19</v>
      </c>
      <c r="E505" s="8">
        <v>10</v>
      </c>
    </row>
    <row r="506" spans="1:5" x14ac:dyDescent="0.35">
      <c r="A506" s="7">
        <v>1495</v>
      </c>
      <c r="B506" s="1">
        <v>45454</v>
      </c>
      <c r="C506" s="2" t="s">
        <v>18</v>
      </c>
      <c r="D506" s="2" t="s">
        <v>19</v>
      </c>
      <c r="E506" s="8">
        <v>1</v>
      </c>
    </row>
    <row r="507" spans="1:5" x14ac:dyDescent="0.35">
      <c r="A507" s="7">
        <v>1507</v>
      </c>
      <c r="B507" s="1">
        <v>45454</v>
      </c>
      <c r="C507" s="2" t="s">
        <v>14</v>
      </c>
      <c r="D507" s="2" t="s">
        <v>17</v>
      </c>
      <c r="E507" s="8">
        <v>2</v>
      </c>
    </row>
    <row r="508" spans="1:5" x14ac:dyDescent="0.35">
      <c r="A508" s="7">
        <v>1519</v>
      </c>
      <c r="B508" s="1">
        <v>45455</v>
      </c>
      <c r="C508" s="2" t="s">
        <v>5</v>
      </c>
      <c r="D508" s="2" t="s">
        <v>9</v>
      </c>
      <c r="E508" s="8">
        <v>8</v>
      </c>
    </row>
    <row r="509" spans="1:5" x14ac:dyDescent="0.35">
      <c r="A509" s="7">
        <v>1513</v>
      </c>
      <c r="B509" s="1">
        <v>45456</v>
      </c>
      <c r="C509" s="2" t="s">
        <v>21</v>
      </c>
      <c r="D509" s="2" t="s">
        <v>16</v>
      </c>
      <c r="E509" s="8">
        <v>2</v>
      </c>
    </row>
    <row r="510" spans="1:5" x14ac:dyDescent="0.35">
      <c r="A510" s="7">
        <v>1506</v>
      </c>
      <c r="B510" s="1">
        <v>45457</v>
      </c>
      <c r="C510" s="2" t="s">
        <v>18</v>
      </c>
      <c r="D510" s="2" t="s">
        <v>13</v>
      </c>
      <c r="E510" s="8">
        <v>5</v>
      </c>
    </row>
    <row r="511" spans="1:5" x14ac:dyDescent="0.35">
      <c r="A511" s="7">
        <v>1516</v>
      </c>
      <c r="B511" s="1">
        <v>45458</v>
      </c>
      <c r="C511" s="2" t="s">
        <v>14</v>
      </c>
      <c r="D511" s="2" t="s">
        <v>7</v>
      </c>
      <c r="E511" s="8">
        <v>6</v>
      </c>
    </row>
    <row r="512" spans="1:5" x14ac:dyDescent="0.35">
      <c r="A512" s="7">
        <v>1518</v>
      </c>
      <c r="B512" s="1">
        <v>45458</v>
      </c>
      <c r="C512" s="2" t="s">
        <v>10</v>
      </c>
      <c r="D512" s="2" t="s">
        <v>16</v>
      </c>
      <c r="E512" s="8">
        <v>6</v>
      </c>
    </row>
    <row r="513" spans="1:5" x14ac:dyDescent="0.35">
      <c r="A513" s="7">
        <v>1520</v>
      </c>
      <c r="B513" s="1">
        <v>45459</v>
      </c>
      <c r="C513" s="2" t="s">
        <v>21</v>
      </c>
      <c r="D513" s="2" t="s">
        <v>13</v>
      </c>
      <c r="E513" s="8">
        <v>2</v>
      </c>
    </row>
    <row r="514" spans="1:5" x14ac:dyDescent="0.35">
      <c r="A514" s="7">
        <v>1493</v>
      </c>
      <c r="B514" s="1">
        <v>45460</v>
      </c>
      <c r="C514" s="2" t="s">
        <v>18</v>
      </c>
      <c r="D514" s="2" t="s">
        <v>7</v>
      </c>
      <c r="E514" s="8">
        <v>4</v>
      </c>
    </row>
    <row r="515" spans="1:5" x14ac:dyDescent="0.35">
      <c r="A515" s="7">
        <v>1500</v>
      </c>
      <c r="B515" s="1">
        <v>45463</v>
      </c>
      <c r="C515" s="2" t="s">
        <v>18</v>
      </c>
      <c r="D515" s="2" t="s">
        <v>7</v>
      </c>
      <c r="E515" s="8">
        <v>10</v>
      </c>
    </row>
    <row r="516" spans="1:5" x14ac:dyDescent="0.35">
      <c r="A516" s="7">
        <v>1492</v>
      </c>
      <c r="B516" s="1">
        <v>45464</v>
      </c>
      <c r="C516" s="2" t="s">
        <v>18</v>
      </c>
      <c r="D516" s="2" t="s">
        <v>6</v>
      </c>
      <c r="E516" s="8">
        <v>6</v>
      </c>
    </row>
    <row r="517" spans="1:5" x14ac:dyDescent="0.35">
      <c r="A517" s="7">
        <v>1508</v>
      </c>
      <c r="B517" s="1">
        <v>45467</v>
      </c>
      <c r="C517" s="2" t="s">
        <v>12</v>
      </c>
      <c r="D517" s="2" t="s">
        <v>7</v>
      </c>
      <c r="E517" s="8">
        <v>3</v>
      </c>
    </row>
    <row r="518" spans="1:5" x14ac:dyDescent="0.35">
      <c r="A518" s="7">
        <v>1509</v>
      </c>
      <c r="B518" s="1">
        <v>45468</v>
      </c>
      <c r="C518" s="2" t="s">
        <v>10</v>
      </c>
      <c r="D518" s="2" t="s">
        <v>6</v>
      </c>
      <c r="E518" s="8">
        <v>1</v>
      </c>
    </row>
    <row r="519" spans="1:5" x14ac:dyDescent="0.35">
      <c r="A519" s="7">
        <v>1515</v>
      </c>
      <c r="B519" s="1">
        <v>45468</v>
      </c>
      <c r="C519" s="2" t="s">
        <v>12</v>
      </c>
      <c r="D519" s="2" t="s">
        <v>6</v>
      </c>
      <c r="E519" s="8">
        <v>2</v>
      </c>
    </row>
    <row r="520" spans="1:5" x14ac:dyDescent="0.35">
      <c r="A520" s="7">
        <v>1514</v>
      </c>
      <c r="B520" s="1">
        <v>45470</v>
      </c>
      <c r="C520" s="2" t="s">
        <v>5</v>
      </c>
      <c r="D520" s="2" t="s">
        <v>15</v>
      </c>
      <c r="E520" s="8">
        <v>1</v>
      </c>
    </row>
    <row r="521" spans="1:5" x14ac:dyDescent="0.35">
      <c r="A521" s="7">
        <v>1496</v>
      </c>
      <c r="B521" s="1">
        <v>45472</v>
      </c>
      <c r="C521" s="2" t="s">
        <v>12</v>
      </c>
      <c r="D521" s="2" t="s">
        <v>9</v>
      </c>
      <c r="E521" s="8">
        <v>6</v>
      </c>
    </row>
    <row r="522" spans="1:5" x14ac:dyDescent="0.35">
      <c r="A522" s="7">
        <v>1503</v>
      </c>
      <c r="B522" s="1">
        <v>45472</v>
      </c>
      <c r="C522" s="2" t="s">
        <v>21</v>
      </c>
      <c r="D522" s="2" t="s">
        <v>15</v>
      </c>
      <c r="E522" s="8">
        <v>5</v>
      </c>
    </row>
    <row r="523" spans="1:5" x14ac:dyDescent="0.35">
      <c r="A523" s="7">
        <v>1543</v>
      </c>
      <c r="B523" s="1">
        <v>45474</v>
      </c>
      <c r="C523" s="2" t="s">
        <v>11</v>
      </c>
      <c r="D523" s="2" t="s">
        <v>13</v>
      </c>
      <c r="E523" s="8">
        <v>2</v>
      </c>
    </row>
    <row r="524" spans="1:5" x14ac:dyDescent="0.35">
      <c r="A524" s="7">
        <v>1523</v>
      </c>
      <c r="B524" s="1">
        <v>45475</v>
      </c>
      <c r="C524" s="2" t="s">
        <v>10</v>
      </c>
      <c r="D524" s="2" t="s">
        <v>6</v>
      </c>
      <c r="E524" s="8">
        <v>3</v>
      </c>
    </row>
    <row r="525" spans="1:5" x14ac:dyDescent="0.35">
      <c r="A525" s="7">
        <v>1530</v>
      </c>
      <c r="B525" s="1">
        <v>45475</v>
      </c>
      <c r="C525" s="2" t="s">
        <v>8</v>
      </c>
      <c r="D525" s="2" t="s">
        <v>15</v>
      </c>
      <c r="E525" s="8">
        <v>1</v>
      </c>
    </row>
    <row r="526" spans="1:5" x14ac:dyDescent="0.35">
      <c r="A526" s="7">
        <v>1527</v>
      </c>
      <c r="B526" s="1">
        <v>45477</v>
      </c>
      <c r="C526" s="2" t="s">
        <v>11</v>
      </c>
      <c r="D526" s="2" t="s">
        <v>19</v>
      </c>
      <c r="E526" s="8">
        <v>1</v>
      </c>
    </row>
    <row r="527" spans="1:5" x14ac:dyDescent="0.35">
      <c r="A527" s="7">
        <v>1532</v>
      </c>
      <c r="B527" s="1">
        <v>45478</v>
      </c>
      <c r="C527" s="2" t="s">
        <v>8</v>
      </c>
      <c r="D527" s="2" t="s">
        <v>17</v>
      </c>
      <c r="E527" s="8">
        <v>5</v>
      </c>
    </row>
    <row r="528" spans="1:5" x14ac:dyDescent="0.35">
      <c r="A528" s="7">
        <v>1544</v>
      </c>
      <c r="B528" s="1">
        <v>45478</v>
      </c>
      <c r="C528" s="2" t="s">
        <v>12</v>
      </c>
      <c r="D528" s="2" t="s">
        <v>17</v>
      </c>
      <c r="E528" s="8">
        <v>4</v>
      </c>
    </row>
    <row r="529" spans="1:5" x14ac:dyDescent="0.35">
      <c r="A529" s="7">
        <v>1542</v>
      </c>
      <c r="B529" s="1">
        <v>45481</v>
      </c>
      <c r="C529" s="2" t="s">
        <v>18</v>
      </c>
      <c r="D529" s="2" t="s">
        <v>15</v>
      </c>
      <c r="E529" s="8">
        <v>10</v>
      </c>
    </row>
    <row r="530" spans="1:5" x14ac:dyDescent="0.35">
      <c r="A530" s="7">
        <v>1525</v>
      </c>
      <c r="B530" s="1">
        <v>45483</v>
      </c>
      <c r="C530" s="2" t="s">
        <v>12</v>
      </c>
      <c r="D530" s="2" t="s">
        <v>9</v>
      </c>
      <c r="E530" s="8">
        <v>6</v>
      </c>
    </row>
    <row r="531" spans="1:5" x14ac:dyDescent="0.35">
      <c r="A531" s="7">
        <v>1538</v>
      </c>
      <c r="B531" s="1">
        <v>45483</v>
      </c>
      <c r="C531" s="2" t="s">
        <v>10</v>
      </c>
      <c r="D531" s="2" t="s">
        <v>16</v>
      </c>
      <c r="E531" s="8">
        <v>8</v>
      </c>
    </row>
    <row r="532" spans="1:5" x14ac:dyDescent="0.35">
      <c r="A532" s="7">
        <v>1533</v>
      </c>
      <c r="B532" s="1">
        <v>45484</v>
      </c>
      <c r="C532" s="2" t="s">
        <v>12</v>
      </c>
      <c r="D532" s="2" t="s">
        <v>7</v>
      </c>
      <c r="E532" s="8">
        <v>8</v>
      </c>
    </row>
    <row r="533" spans="1:5" x14ac:dyDescent="0.35">
      <c r="A533" s="7">
        <v>1548</v>
      </c>
      <c r="B533" s="1">
        <v>45484</v>
      </c>
      <c r="C533" s="2" t="s">
        <v>8</v>
      </c>
      <c r="D533" s="2" t="s">
        <v>17</v>
      </c>
      <c r="E533" s="8">
        <v>4</v>
      </c>
    </row>
    <row r="534" spans="1:5" x14ac:dyDescent="0.35">
      <c r="A534" s="7">
        <v>1526</v>
      </c>
      <c r="B534" s="1">
        <v>45488</v>
      </c>
      <c r="C534" s="2" t="s">
        <v>10</v>
      </c>
      <c r="D534" s="2" t="s">
        <v>16</v>
      </c>
      <c r="E534" s="8">
        <v>6</v>
      </c>
    </row>
    <row r="535" spans="1:5" x14ac:dyDescent="0.35">
      <c r="A535" s="7">
        <v>1540</v>
      </c>
      <c r="B535" s="1">
        <v>45489</v>
      </c>
      <c r="C535" s="2" t="s">
        <v>21</v>
      </c>
      <c r="D535" s="2" t="s">
        <v>9</v>
      </c>
      <c r="E535" s="8">
        <v>8</v>
      </c>
    </row>
    <row r="536" spans="1:5" x14ac:dyDescent="0.35">
      <c r="A536" s="7">
        <v>1545</v>
      </c>
      <c r="B536" s="1">
        <v>45490</v>
      </c>
      <c r="C536" s="2" t="s">
        <v>5</v>
      </c>
      <c r="D536" s="2" t="s">
        <v>15</v>
      </c>
      <c r="E536" s="8">
        <v>4</v>
      </c>
    </row>
    <row r="537" spans="1:5" x14ac:dyDescent="0.35">
      <c r="A537" s="7">
        <v>1546</v>
      </c>
      <c r="B537" s="1">
        <v>45490</v>
      </c>
      <c r="C537" s="2" t="s">
        <v>21</v>
      </c>
      <c r="D537" s="2" t="s">
        <v>17</v>
      </c>
      <c r="E537" s="8">
        <v>1</v>
      </c>
    </row>
    <row r="538" spans="1:5" x14ac:dyDescent="0.35">
      <c r="A538" s="7">
        <v>1524</v>
      </c>
      <c r="B538" s="1">
        <v>45491</v>
      </c>
      <c r="C538" s="2" t="s">
        <v>21</v>
      </c>
      <c r="D538" s="2" t="s">
        <v>15</v>
      </c>
      <c r="E538" s="8">
        <v>8</v>
      </c>
    </row>
    <row r="539" spans="1:5" x14ac:dyDescent="0.35">
      <c r="A539" s="7">
        <v>1528</v>
      </c>
      <c r="B539" s="1">
        <v>45491</v>
      </c>
      <c r="C539" s="2" t="s">
        <v>12</v>
      </c>
      <c r="D539" s="2" t="s">
        <v>15</v>
      </c>
      <c r="E539" s="8">
        <v>3</v>
      </c>
    </row>
    <row r="540" spans="1:5" x14ac:dyDescent="0.35">
      <c r="A540" s="7">
        <v>1529</v>
      </c>
      <c r="B540" s="1">
        <v>45493</v>
      </c>
      <c r="C540" s="2" t="s">
        <v>18</v>
      </c>
      <c r="D540" s="2" t="s">
        <v>6</v>
      </c>
      <c r="E540" s="8">
        <v>2</v>
      </c>
    </row>
    <row r="541" spans="1:5" x14ac:dyDescent="0.35">
      <c r="A541" s="7">
        <v>1537</v>
      </c>
      <c r="B541" s="1">
        <v>45495</v>
      </c>
      <c r="C541" s="2" t="s">
        <v>12</v>
      </c>
      <c r="D541" s="2" t="s">
        <v>13</v>
      </c>
      <c r="E541" s="8">
        <v>3</v>
      </c>
    </row>
    <row r="542" spans="1:5" x14ac:dyDescent="0.35">
      <c r="A542" s="7">
        <v>1547</v>
      </c>
      <c r="B542" s="1">
        <v>45495</v>
      </c>
      <c r="C542" s="2" t="s">
        <v>8</v>
      </c>
      <c r="D542" s="2" t="s">
        <v>9</v>
      </c>
      <c r="E542" s="8">
        <v>3</v>
      </c>
    </row>
    <row r="543" spans="1:5" x14ac:dyDescent="0.35">
      <c r="A543" s="7">
        <v>1522</v>
      </c>
      <c r="B543" s="1">
        <v>45497</v>
      </c>
      <c r="C543" s="2" t="s">
        <v>18</v>
      </c>
      <c r="D543" s="2" t="s">
        <v>15</v>
      </c>
      <c r="E543" s="8">
        <v>2</v>
      </c>
    </row>
    <row r="544" spans="1:5" x14ac:dyDescent="0.35">
      <c r="A544" s="7">
        <v>1534</v>
      </c>
      <c r="B544" s="1">
        <v>45497</v>
      </c>
      <c r="C544" s="2" t="s">
        <v>10</v>
      </c>
      <c r="D544" s="2" t="s">
        <v>7</v>
      </c>
      <c r="E544" s="8">
        <v>8</v>
      </c>
    </row>
    <row r="545" spans="1:5" x14ac:dyDescent="0.35">
      <c r="A545" s="7">
        <v>1541</v>
      </c>
      <c r="B545" s="1">
        <v>45497</v>
      </c>
      <c r="C545" s="2" t="s">
        <v>8</v>
      </c>
      <c r="D545" s="2" t="s">
        <v>7</v>
      </c>
      <c r="E545" s="8">
        <v>10</v>
      </c>
    </row>
    <row r="546" spans="1:5" x14ac:dyDescent="0.35">
      <c r="A546" s="7">
        <v>1531</v>
      </c>
      <c r="B546" s="1">
        <v>45499</v>
      </c>
      <c r="C546" s="2" t="s">
        <v>18</v>
      </c>
      <c r="D546" s="2" t="s">
        <v>13</v>
      </c>
      <c r="E546" s="8">
        <v>3</v>
      </c>
    </row>
    <row r="547" spans="1:5" x14ac:dyDescent="0.35">
      <c r="A547" s="7">
        <v>1535</v>
      </c>
      <c r="B547" s="1">
        <v>45500</v>
      </c>
      <c r="C547" s="2" t="s">
        <v>12</v>
      </c>
      <c r="D547" s="2" t="s">
        <v>19</v>
      </c>
      <c r="E547" s="8">
        <v>6</v>
      </c>
    </row>
    <row r="548" spans="1:5" x14ac:dyDescent="0.35">
      <c r="A548" s="7">
        <v>1536</v>
      </c>
      <c r="B548" s="1">
        <v>45500</v>
      </c>
      <c r="C548" s="2" t="s">
        <v>20</v>
      </c>
      <c r="D548" s="2" t="s">
        <v>17</v>
      </c>
      <c r="E548" s="8">
        <v>5</v>
      </c>
    </row>
    <row r="549" spans="1:5" x14ac:dyDescent="0.35">
      <c r="A549" s="7">
        <v>1539</v>
      </c>
      <c r="B549" s="1">
        <v>45504</v>
      </c>
      <c r="C549" s="2" t="s">
        <v>14</v>
      </c>
      <c r="D549" s="2" t="s">
        <v>13</v>
      </c>
      <c r="E549" s="8">
        <v>2</v>
      </c>
    </row>
    <row r="550" spans="1:5" x14ac:dyDescent="0.35">
      <c r="A550" s="7">
        <v>1561</v>
      </c>
      <c r="B550" s="1">
        <v>45506</v>
      </c>
      <c r="C550" s="2" t="s">
        <v>5</v>
      </c>
      <c r="D550" s="2" t="s">
        <v>16</v>
      </c>
      <c r="E550" s="8">
        <v>2</v>
      </c>
    </row>
    <row r="551" spans="1:5" x14ac:dyDescent="0.35">
      <c r="A551" s="7">
        <v>1562</v>
      </c>
      <c r="B551" s="1">
        <v>45508</v>
      </c>
      <c r="C551" s="2" t="s">
        <v>5</v>
      </c>
      <c r="D551" s="2" t="s">
        <v>9</v>
      </c>
      <c r="E551" s="8">
        <v>1</v>
      </c>
    </row>
    <row r="552" spans="1:5" x14ac:dyDescent="0.35">
      <c r="A552" s="7">
        <v>1563</v>
      </c>
      <c r="B552" s="1">
        <v>45508</v>
      </c>
      <c r="C552" s="2" t="s">
        <v>12</v>
      </c>
      <c r="D552" s="2" t="s">
        <v>15</v>
      </c>
      <c r="E552" s="8">
        <v>5</v>
      </c>
    </row>
    <row r="553" spans="1:5" x14ac:dyDescent="0.35">
      <c r="A553" s="7">
        <v>1560</v>
      </c>
      <c r="B553" s="1">
        <v>45509</v>
      </c>
      <c r="C553" s="2" t="s">
        <v>8</v>
      </c>
      <c r="D553" s="2" t="s">
        <v>19</v>
      </c>
      <c r="E553" s="8">
        <v>2</v>
      </c>
    </row>
    <row r="554" spans="1:5" x14ac:dyDescent="0.35">
      <c r="A554" s="7">
        <v>1571</v>
      </c>
      <c r="B554" s="1">
        <v>45510</v>
      </c>
      <c r="C554" s="2" t="s">
        <v>10</v>
      </c>
      <c r="D554" s="2" t="s">
        <v>13</v>
      </c>
      <c r="E554" s="8">
        <v>5</v>
      </c>
    </row>
    <row r="555" spans="1:5" x14ac:dyDescent="0.35">
      <c r="A555" s="7">
        <v>1559</v>
      </c>
      <c r="B555" s="1">
        <v>45511</v>
      </c>
      <c r="C555" s="2" t="s">
        <v>14</v>
      </c>
      <c r="D555" s="2" t="s">
        <v>19</v>
      </c>
      <c r="E555" s="8">
        <v>2</v>
      </c>
    </row>
    <row r="556" spans="1:5" x14ac:dyDescent="0.35">
      <c r="A556" s="7">
        <v>1566</v>
      </c>
      <c r="B556" s="1">
        <v>45511</v>
      </c>
      <c r="C556" s="2" t="s">
        <v>14</v>
      </c>
      <c r="D556" s="2" t="s">
        <v>17</v>
      </c>
      <c r="E556" s="8">
        <v>10</v>
      </c>
    </row>
    <row r="557" spans="1:5" x14ac:dyDescent="0.35">
      <c r="A557" s="7">
        <v>1576</v>
      </c>
      <c r="B557" s="1">
        <v>45513</v>
      </c>
      <c r="C557" s="2" t="s">
        <v>14</v>
      </c>
      <c r="D557" s="2" t="s">
        <v>7</v>
      </c>
      <c r="E557" s="8">
        <v>10</v>
      </c>
    </row>
    <row r="558" spans="1:5" x14ac:dyDescent="0.35">
      <c r="A558" s="7">
        <v>1557</v>
      </c>
      <c r="B558" s="1">
        <v>45514</v>
      </c>
      <c r="C558" s="2" t="s">
        <v>20</v>
      </c>
      <c r="D558" s="2" t="s">
        <v>7</v>
      </c>
      <c r="E558" s="8">
        <v>1</v>
      </c>
    </row>
    <row r="559" spans="1:5" x14ac:dyDescent="0.35">
      <c r="A559" s="7">
        <v>1572</v>
      </c>
      <c r="B559" s="1">
        <v>45514</v>
      </c>
      <c r="C559" s="2" t="s">
        <v>21</v>
      </c>
      <c r="D559" s="2" t="s">
        <v>19</v>
      </c>
      <c r="E559" s="8">
        <v>1</v>
      </c>
    </row>
    <row r="560" spans="1:5" x14ac:dyDescent="0.35">
      <c r="A560" s="7">
        <v>1553</v>
      </c>
      <c r="B560" s="1">
        <v>45515</v>
      </c>
      <c r="C560" s="2" t="s">
        <v>5</v>
      </c>
      <c r="D560" s="2" t="s">
        <v>19</v>
      </c>
      <c r="E560" s="8">
        <v>5</v>
      </c>
    </row>
    <row r="561" spans="1:5" x14ac:dyDescent="0.35">
      <c r="A561" s="7">
        <v>1575</v>
      </c>
      <c r="B561" s="1">
        <v>45515</v>
      </c>
      <c r="C561" s="2" t="s">
        <v>5</v>
      </c>
      <c r="D561" s="2" t="s">
        <v>19</v>
      </c>
      <c r="E561" s="8">
        <v>1</v>
      </c>
    </row>
    <row r="562" spans="1:5" x14ac:dyDescent="0.35">
      <c r="A562" s="7">
        <v>1573</v>
      </c>
      <c r="B562" s="1">
        <v>45519</v>
      </c>
      <c r="C562" s="2" t="s">
        <v>12</v>
      </c>
      <c r="D562" s="2" t="s">
        <v>16</v>
      </c>
      <c r="E562" s="8">
        <v>2</v>
      </c>
    </row>
    <row r="563" spans="1:5" x14ac:dyDescent="0.35">
      <c r="A563" s="7">
        <v>1574</v>
      </c>
      <c r="B563" s="1">
        <v>45519</v>
      </c>
      <c r="C563" s="2" t="s">
        <v>18</v>
      </c>
      <c r="D563" s="2" t="s">
        <v>17</v>
      </c>
      <c r="E563" s="8">
        <v>6</v>
      </c>
    </row>
    <row r="564" spans="1:5" x14ac:dyDescent="0.35">
      <c r="A564" s="7">
        <v>1550</v>
      </c>
      <c r="B564" s="1">
        <v>45520</v>
      </c>
      <c r="C564" s="2" t="s">
        <v>20</v>
      </c>
      <c r="D564" s="2" t="s">
        <v>6</v>
      </c>
      <c r="E564" s="8">
        <v>8</v>
      </c>
    </row>
    <row r="565" spans="1:5" x14ac:dyDescent="0.35">
      <c r="A565" s="7">
        <v>1549</v>
      </c>
      <c r="B565" s="1">
        <v>45522</v>
      </c>
      <c r="C565" s="2" t="s">
        <v>8</v>
      </c>
      <c r="D565" s="2" t="s">
        <v>17</v>
      </c>
      <c r="E565" s="8">
        <v>3</v>
      </c>
    </row>
    <row r="566" spans="1:5" x14ac:dyDescent="0.35">
      <c r="A566" s="7">
        <v>1551</v>
      </c>
      <c r="B566" s="1">
        <v>45522</v>
      </c>
      <c r="C566" s="2" t="s">
        <v>5</v>
      </c>
      <c r="D566" s="2" t="s">
        <v>9</v>
      </c>
      <c r="E566" s="8">
        <v>2</v>
      </c>
    </row>
    <row r="567" spans="1:5" x14ac:dyDescent="0.35">
      <c r="A567" s="7">
        <v>1555</v>
      </c>
      <c r="B567" s="1">
        <v>45523</v>
      </c>
      <c r="C567" s="2" t="s">
        <v>20</v>
      </c>
      <c r="D567" s="2" t="s">
        <v>19</v>
      </c>
      <c r="E567" s="8">
        <v>1</v>
      </c>
    </row>
    <row r="568" spans="1:5" x14ac:dyDescent="0.35">
      <c r="A568" s="7">
        <v>1568</v>
      </c>
      <c r="B568" s="1">
        <v>45523</v>
      </c>
      <c r="C568" s="2" t="s">
        <v>11</v>
      </c>
      <c r="D568" s="2" t="s">
        <v>13</v>
      </c>
      <c r="E568" s="8">
        <v>10</v>
      </c>
    </row>
    <row r="569" spans="1:5" x14ac:dyDescent="0.35">
      <c r="A569" s="7">
        <v>1558</v>
      </c>
      <c r="B569" s="1">
        <v>45525</v>
      </c>
      <c r="C569" s="2" t="s">
        <v>12</v>
      </c>
      <c r="D569" s="2" t="s">
        <v>16</v>
      </c>
      <c r="E569" s="8">
        <v>5</v>
      </c>
    </row>
    <row r="570" spans="1:5" x14ac:dyDescent="0.35">
      <c r="A570" s="7">
        <v>1567</v>
      </c>
      <c r="B570" s="1">
        <v>45525</v>
      </c>
      <c r="C570" s="2" t="s">
        <v>12</v>
      </c>
      <c r="D570" s="2" t="s">
        <v>19</v>
      </c>
      <c r="E570" s="8">
        <v>2</v>
      </c>
    </row>
    <row r="571" spans="1:5" x14ac:dyDescent="0.35">
      <c r="A571" s="7">
        <v>1552</v>
      </c>
      <c r="B571" s="1">
        <v>45529</v>
      </c>
      <c r="C571" s="2" t="s">
        <v>5</v>
      </c>
      <c r="D571" s="2" t="s">
        <v>19</v>
      </c>
      <c r="E571" s="8">
        <v>2</v>
      </c>
    </row>
    <row r="572" spans="1:5" x14ac:dyDescent="0.35">
      <c r="A572" s="7">
        <v>1577</v>
      </c>
      <c r="B572" s="1">
        <v>45530</v>
      </c>
      <c r="C572" s="2" t="s">
        <v>21</v>
      </c>
      <c r="D572" s="2" t="s">
        <v>7</v>
      </c>
      <c r="E572" s="8">
        <v>3</v>
      </c>
    </row>
    <row r="573" spans="1:5" x14ac:dyDescent="0.35">
      <c r="A573" s="7">
        <v>1554</v>
      </c>
      <c r="B573" s="1">
        <v>45534</v>
      </c>
      <c r="C573" s="2" t="s">
        <v>12</v>
      </c>
      <c r="D573" s="2" t="s">
        <v>17</v>
      </c>
      <c r="E573" s="8">
        <v>6</v>
      </c>
    </row>
    <row r="574" spans="1:5" x14ac:dyDescent="0.35">
      <c r="A574" s="7">
        <v>1564</v>
      </c>
      <c r="B574" s="1">
        <v>45534</v>
      </c>
      <c r="C574" s="2" t="s">
        <v>21</v>
      </c>
      <c r="D574" s="2" t="s">
        <v>7</v>
      </c>
      <c r="E574" s="8">
        <v>6</v>
      </c>
    </row>
    <row r="575" spans="1:5" x14ac:dyDescent="0.35">
      <c r="A575" s="7">
        <v>1565</v>
      </c>
      <c r="B575" s="1">
        <v>45534</v>
      </c>
      <c r="C575" s="2" t="s">
        <v>10</v>
      </c>
      <c r="D575" s="2" t="s">
        <v>7</v>
      </c>
      <c r="E575" s="8">
        <v>10</v>
      </c>
    </row>
    <row r="576" spans="1:5" x14ac:dyDescent="0.35">
      <c r="A576" s="7">
        <v>1569</v>
      </c>
      <c r="B576" s="1">
        <v>45534</v>
      </c>
      <c r="C576" s="2" t="s">
        <v>8</v>
      </c>
      <c r="D576" s="2" t="s">
        <v>9</v>
      </c>
      <c r="E576" s="8">
        <v>1</v>
      </c>
    </row>
    <row r="577" spans="1:5" x14ac:dyDescent="0.35">
      <c r="A577" s="7">
        <v>1570</v>
      </c>
      <c r="B577" s="1">
        <v>45534</v>
      </c>
      <c r="C577" s="2" t="s">
        <v>10</v>
      </c>
      <c r="D577" s="2" t="s">
        <v>7</v>
      </c>
      <c r="E577" s="8">
        <v>1</v>
      </c>
    </row>
    <row r="578" spans="1:5" x14ac:dyDescent="0.35">
      <c r="A578" s="7">
        <v>1556</v>
      </c>
      <c r="B578" s="1">
        <v>45535</v>
      </c>
      <c r="C578" s="2" t="s">
        <v>10</v>
      </c>
      <c r="D578" s="2" t="s">
        <v>15</v>
      </c>
      <c r="E578" s="8">
        <v>3</v>
      </c>
    </row>
    <row r="579" spans="1:5" x14ac:dyDescent="0.35">
      <c r="A579" s="7">
        <v>1600</v>
      </c>
      <c r="B579" s="1">
        <v>45537</v>
      </c>
      <c r="C579" s="2" t="s">
        <v>14</v>
      </c>
      <c r="D579" s="2" t="s">
        <v>15</v>
      </c>
      <c r="E579" s="8">
        <v>8</v>
      </c>
    </row>
    <row r="580" spans="1:5" x14ac:dyDescent="0.35">
      <c r="A580" s="7">
        <v>1580</v>
      </c>
      <c r="B580" s="1">
        <v>45539</v>
      </c>
      <c r="C580" s="2" t="s">
        <v>10</v>
      </c>
      <c r="D580" s="2" t="s">
        <v>16</v>
      </c>
      <c r="E580" s="8">
        <v>10</v>
      </c>
    </row>
    <row r="581" spans="1:5" x14ac:dyDescent="0.35">
      <c r="A581" s="7">
        <v>1594</v>
      </c>
      <c r="B581" s="1">
        <v>45539</v>
      </c>
      <c r="C581" s="2" t="s">
        <v>11</v>
      </c>
      <c r="D581" s="2" t="s">
        <v>6</v>
      </c>
      <c r="E581" s="8">
        <v>8</v>
      </c>
    </row>
    <row r="582" spans="1:5" x14ac:dyDescent="0.35">
      <c r="A582" s="7">
        <v>1586</v>
      </c>
      <c r="B582" s="1">
        <v>45541</v>
      </c>
      <c r="C582" s="2" t="s">
        <v>14</v>
      </c>
      <c r="D582" s="2" t="s">
        <v>16</v>
      </c>
      <c r="E582" s="8">
        <v>2</v>
      </c>
    </row>
    <row r="583" spans="1:5" x14ac:dyDescent="0.35">
      <c r="A583" s="7">
        <v>1609</v>
      </c>
      <c r="B583" s="1">
        <v>45541</v>
      </c>
      <c r="C583" s="2" t="s">
        <v>12</v>
      </c>
      <c r="D583" s="2" t="s">
        <v>7</v>
      </c>
      <c r="E583" s="8">
        <v>1</v>
      </c>
    </row>
    <row r="584" spans="1:5" x14ac:dyDescent="0.35">
      <c r="A584" s="7">
        <v>1595</v>
      </c>
      <c r="B584" s="1">
        <v>45542</v>
      </c>
      <c r="C584" s="2" t="s">
        <v>8</v>
      </c>
      <c r="D584" s="2" t="s">
        <v>13</v>
      </c>
      <c r="E584" s="8">
        <v>6</v>
      </c>
    </row>
    <row r="585" spans="1:5" x14ac:dyDescent="0.35">
      <c r="A585" s="7">
        <v>1597</v>
      </c>
      <c r="B585" s="1">
        <v>45542</v>
      </c>
      <c r="C585" s="2" t="s">
        <v>11</v>
      </c>
      <c r="D585" s="2" t="s">
        <v>17</v>
      </c>
      <c r="E585" s="8">
        <v>10</v>
      </c>
    </row>
    <row r="586" spans="1:5" x14ac:dyDescent="0.35">
      <c r="A586" s="7">
        <v>1605</v>
      </c>
      <c r="B586" s="1">
        <v>45545</v>
      </c>
      <c r="C586" s="2" t="s">
        <v>14</v>
      </c>
      <c r="D586" s="2" t="s">
        <v>16</v>
      </c>
      <c r="E586" s="8">
        <v>1</v>
      </c>
    </row>
    <row r="587" spans="1:5" x14ac:dyDescent="0.35">
      <c r="A587" s="7">
        <v>1579</v>
      </c>
      <c r="B587" s="1">
        <v>45546</v>
      </c>
      <c r="C587" s="2" t="s">
        <v>10</v>
      </c>
      <c r="D587" s="2" t="s">
        <v>15</v>
      </c>
      <c r="E587" s="8">
        <v>6</v>
      </c>
    </row>
    <row r="588" spans="1:5" x14ac:dyDescent="0.35">
      <c r="A588" s="7">
        <v>1581</v>
      </c>
      <c r="B588" s="1">
        <v>45546</v>
      </c>
      <c r="C588" s="2" t="s">
        <v>18</v>
      </c>
      <c r="D588" s="2" t="s">
        <v>7</v>
      </c>
      <c r="E588" s="8">
        <v>5</v>
      </c>
    </row>
    <row r="589" spans="1:5" x14ac:dyDescent="0.35">
      <c r="A589" s="7">
        <v>1583</v>
      </c>
      <c r="B589" s="1">
        <v>45546</v>
      </c>
      <c r="C589" s="2" t="s">
        <v>14</v>
      </c>
      <c r="D589" s="2" t="s">
        <v>9</v>
      </c>
      <c r="E589" s="8">
        <v>2</v>
      </c>
    </row>
    <row r="590" spans="1:5" x14ac:dyDescent="0.35">
      <c r="A590" s="7">
        <v>1590</v>
      </c>
      <c r="B590" s="1">
        <v>45547</v>
      </c>
      <c r="C590" s="2" t="s">
        <v>14</v>
      </c>
      <c r="D590" s="2" t="s">
        <v>7</v>
      </c>
      <c r="E590" s="8">
        <v>8</v>
      </c>
    </row>
    <row r="591" spans="1:5" x14ac:dyDescent="0.35">
      <c r="A591" s="7">
        <v>1603</v>
      </c>
      <c r="B591" s="1">
        <v>45547</v>
      </c>
      <c r="C591" s="2" t="s">
        <v>21</v>
      </c>
      <c r="D591" s="2" t="s">
        <v>16</v>
      </c>
      <c r="E591" s="8">
        <v>4</v>
      </c>
    </row>
    <row r="592" spans="1:5" x14ac:dyDescent="0.35">
      <c r="A592" s="7">
        <v>1582</v>
      </c>
      <c r="B592" s="1">
        <v>45548</v>
      </c>
      <c r="C592" s="2" t="s">
        <v>21</v>
      </c>
      <c r="D592" s="2" t="s">
        <v>9</v>
      </c>
      <c r="E592" s="8">
        <v>2</v>
      </c>
    </row>
    <row r="593" spans="1:5" x14ac:dyDescent="0.35">
      <c r="A593" s="7">
        <v>1601</v>
      </c>
      <c r="B593" s="1">
        <v>45548</v>
      </c>
      <c r="C593" s="2" t="s">
        <v>20</v>
      </c>
      <c r="D593" s="2" t="s">
        <v>17</v>
      </c>
      <c r="E593" s="8">
        <v>1</v>
      </c>
    </row>
    <row r="594" spans="1:5" x14ac:dyDescent="0.35">
      <c r="A594" s="7">
        <v>1598</v>
      </c>
      <c r="B594" s="1">
        <v>45550</v>
      </c>
      <c r="C594" s="2" t="s">
        <v>11</v>
      </c>
      <c r="D594" s="2" t="s">
        <v>17</v>
      </c>
      <c r="E594" s="8">
        <v>6</v>
      </c>
    </row>
    <row r="595" spans="1:5" x14ac:dyDescent="0.35">
      <c r="A595" s="7">
        <v>1607</v>
      </c>
      <c r="B595" s="1">
        <v>45550</v>
      </c>
      <c r="C595" s="2" t="s">
        <v>12</v>
      </c>
      <c r="D595" s="2" t="s">
        <v>15</v>
      </c>
      <c r="E595" s="8">
        <v>4</v>
      </c>
    </row>
    <row r="596" spans="1:5" x14ac:dyDescent="0.35">
      <c r="A596" s="7">
        <v>1589</v>
      </c>
      <c r="B596" s="1">
        <v>45551</v>
      </c>
      <c r="C596" s="2" t="s">
        <v>5</v>
      </c>
      <c r="D596" s="2" t="s">
        <v>9</v>
      </c>
      <c r="E596" s="8">
        <v>1</v>
      </c>
    </row>
    <row r="597" spans="1:5" x14ac:dyDescent="0.35">
      <c r="A597" s="7">
        <v>1593</v>
      </c>
      <c r="B597" s="1">
        <v>45552</v>
      </c>
      <c r="C597" s="2" t="s">
        <v>8</v>
      </c>
      <c r="D597" s="2" t="s">
        <v>16</v>
      </c>
      <c r="E597" s="8">
        <v>5</v>
      </c>
    </row>
    <row r="598" spans="1:5" x14ac:dyDescent="0.35">
      <c r="A598" s="7">
        <v>1599</v>
      </c>
      <c r="B598" s="1">
        <v>45552</v>
      </c>
      <c r="C598" s="2" t="s">
        <v>14</v>
      </c>
      <c r="D598" s="2" t="s">
        <v>13</v>
      </c>
      <c r="E598" s="8">
        <v>1</v>
      </c>
    </row>
    <row r="599" spans="1:5" x14ac:dyDescent="0.35">
      <c r="A599" s="7">
        <v>1602</v>
      </c>
      <c r="B599" s="1">
        <v>45554</v>
      </c>
      <c r="C599" s="2" t="s">
        <v>21</v>
      </c>
      <c r="D599" s="2" t="s">
        <v>19</v>
      </c>
      <c r="E599" s="8">
        <v>2</v>
      </c>
    </row>
    <row r="600" spans="1:5" x14ac:dyDescent="0.35">
      <c r="A600" s="7">
        <v>1588</v>
      </c>
      <c r="B600" s="1">
        <v>45555</v>
      </c>
      <c r="C600" s="2" t="s">
        <v>20</v>
      </c>
      <c r="D600" s="2" t="s">
        <v>16</v>
      </c>
      <c r="E600" s="8">
        <v>3</v>
      </c>
    </row>
    <row r="601" spans="1:5" x14ac:dyDescent="0.35">
      <c r="A601" s="7">
        <v>1584</v>
      </c>
      <c r="B601" s="1">
        <v>45556</v>
      </c>
      <c r="C601" s="2" t="s">
        <v>21</v>
      </c>
      <c r="D601" s="2" t="s">
        <v>19</v>
      </c>
      <c r="E601" s="8">
        <v>2</v>
      </c>
    </row>
    <row r="602" spans="1:5" x14ac:dyDescent="0.35">
      <c r="A602" s="7">
        <v>1585</v>
      </c>
      <c r="B602" s="1">
        <v>45557</v>
      </c>
      <c r="C602" s="2" t="s">
        <v>5</v>
      </c>
      <c r="D602" s="2" t="s">
        <v>6</v>
      </c>
      <c r="E602" s="8">
        <v>1</v>
      </c>
    </row>
    <row r="603" spans="1:5" x14ac:dyDescent="0.35">
      <c r="A603" s="7">
        <v>1608</v>
      </c>
      <c r="B603" s="1">
        <v>45557</v>
      </c>
      <c r="C603" s="2" t="s">
        <v>10</v>
      </c>
      <c r="D603" s="2" t="s">
        <v>15</v>
      </c>
      <c r="E603" s="8">
        <v>1</v>
      </c>
    </row>
    <row r="604" spans="1:5" x14ac:dyDescent="0.35">
      <c r="A604" s="7">
        <v>1587</v>
      </c>
      <c r="B604" s="1">
        <v>45558</v>
      </c>
      <c r="C604" s="2" t="s">
        <v>8</v>
      </c>
      <c r="D604" s="2" t="s">
        <v>15</v>
      </c>
      <c r="E604" s="8">
        <v>2</v>
      </c>
    </row>
    <row r="605" spans="1:5" x14ac:dyDescent="0.35">
      <c r="A605" s="7">
        <v>1591</v>
      </c>
      <c r="B605" s="1">
        <v>45560</v>
      </c>
      <c r="C605" s="2" t="s">
        <v>8</v>
      </c>
      <c r="D605" s="2" t="s">
        <v>15</v>
      </c>
      <c r="E605" s="8">
        <v>5</v>
      </c>
    </row>
    <row r="606" spans="1:5" x14ac:dyDescent="0.35">
      <c r="A606" s="7">
        <v>1592</v>
      </c>
      <c r="B606" s="1">
        <v>45560</v>
      </c>
      <c r="C606" s="2" t="s">
        <v>5</v>
      </c>
      <c r="D606" s="2" t="s">
        <v>9</v>
      </c>
      <c r="E606" s="8">
        <v>10</v>
      </c>
    </row>
    <row r="607" spans="1:5" x14ac:dyDescent="0.35">
      <c r="A607" s="7">
        <v>1606</v>
      </c>
      <c r="B607" s="1">
        <v>45560</v>
      </c>
      <c r="C607" s="2" t="s">
        <v>18</v>
      </c>
      <c r="D607" s="2" t="s">
        <v>15</v>
      </c>
      <c r="E607" s="8">
        <v>1</v>
      </c>
    </row>
    <row r="608" spans="1:5" x14ac:dyDescent="0.35">
      <c r="A608" s="7">
        <v>1578</v>
      </c>
      <c r="B608" s="1">
        <v>45563</v>
      </c>
      <c r="C608" s="2" t="s">
        <v>18</v>
      </c>
      <c r="D608" s="2" t="s">
        <v>9</v>
      </c>
      <c r="E608" s="8">
        <v>8</v>
      </c>
    </row>
    <row r="609" spans="1:5" x14ac:dyDescent="0.35">
      <c r="A609" s="7">
        <v>1596</v>
      </c>
      <c r="B609" s="1">
        <v>45563</v>
      </c>
      <c r="C609" s="2" t="s">
        <v>18</v>
      </c>
      <c r="D609" s="2" t="s">
        <v>7</v>
      </c>
      <c r="E609" s="8">
        <v>3</v>
      </c>
    </row>
    <row r="610" spans="1:5" x14ac:dyDescent="0.35">
      <c r="A610" s="7">
        <v>1604</v>
      </c>
      <c r="B610" s="1">
        <v>45565</v>
      </c>
      <c r="C610" s="2" t="s">
        <v>8</v>
      </c>
      <c r="D610" s="2" t="s">
        <v>16</v>
      </c>
      <c r="E610" s="8">
        <v>1</v>
      </c>
    </row>
    <row r="611" spans="1:5" x14ac:dyDescent="0.35">
      <c r="A611" s="7">
        <v>1616</v>
      </c>
      <c r="B611" s="1">
        <v>45568</v>
      </c>
      <c r="C611" s="2" t="s">
        <v>5</v>
      </c>
      <c r="D611" s="2" t="s">
        <v>13</v>
      </c>
      <c r="E611" s="8">
        <v>2</v>
      </c>
    </row>
    <row r="612" spans="1:5" x14ac:dyDescent="0.35">
      <c r="A612" s="7">
        <v>1634</v>
      </c>
      <c r="B612" s="1">
        <v>45568</v>
      </c>
      <c r="C612" s="2" t="s">
        <v>12</v>
      </c>
      <c r="D612" s="2" t="s">
        <v>9</v>
      </c>
      <c r="E612" s="8">
        <v>10</v>
      </c>
    </row>
    <row r="613" spans="1:5" x14ac:dyDescent="0.35">
      <c r="A613" s="7">
        <v>1614</v>
      </c>
      <c r="B613" s="1">
        <v>45572</v>
      </c>
      <c r="C613" s="2" t="s">
        <v>18</v>
      </c>
      <c r="D613" s="2" t="s">
        <v>6</v>
      </c>
      <c r="E613" s="8">
        <v>2</v>
      </c>
    </row>
    <row r="614" spans="1:5" x14ac:dyDescent="0.35">
      <c r="A614" s="7">
        <v>1619</v>
      </c>
      <c r="B614" s="1">
        <v>45572</v>
      </c>
      <c r="C614" s="2" t="s">
        <v>5</v>
      </c>
      <c r="D614" s="2" t="s">
        <v>17</v>
      </c>
      <c r="E614" s="8">
        <v>6</v>
      </c>
    </row>
    <row r="615" spans="1:5" x14ac:dyDescent="0.35">
      <c r="A615" s="7">
        <v>1639</v>
      </c>
      <c r="B615" s="1">
        <v>45572</v>
      </c>
      <c r="C615" s="2" t="s">
        <v>20</v>
      </c>
      <c r="D615" s="2" t="s">
        <v>6</v>
      </c>
      <c r="E615" s="8">
        <v>1</v>
      </c>
    </row>
    <row r="616" spans="1:5" x14ac:dyDescent="0.35">
      <c r="A616" s="7">
        <v>1649</v>
      </c>
      <c r="B616" s="1">
        <v>45572</v>
      </c>
      <c r="C616" s="2" t="s">
        <v>20</v>
      </c>
      <c r="D616" s="2" t="s">
        <v>15</v>
      </c>
      <c r="E616" s="8">
        <v>1</v>
      </c>
    </row>
    <row r="617" spans="1:5" x14ac:dyDescent="0.35">
      <c r="A617" s="7">
        <v>1633</v>
      </c>
      <c r="B617" s="1">
        <v>45574</v>
      </c>
      <c r="C617" s="2" t="s">
        <v>10</v>
      </c>
      <c r="D617" s="2" t="s">
        <v>7</v>
      </c>
      <c r="E617" s="8">
        <v>2</v>
      </c>
    </row>
    <row r="618" spans="1:5" x14ac:dyDescent="0.35">
      <c r="A618" s="7">
        <v>1648</v>
      </c>
      <c r="B618" s="1">
        <v>45574</v>
      </c>
      <c r="C618" s="2" t="s">
        <v>18</v>
      </c>
      <c r="D618" s="2" t="s">
        <v>9</v>
      </c>
      <c r="E618" s="8">
        <v>1</v>
      </c>
    </row>
    <row r="619" spans="1:5" x14ac:dyDescent="0.35">
      <c r="A619" s="7">
        <v>1611</v>
      </c>
      <c r="B619" s="1">
        <v>45575</v>
      </c>
      <c r="C619" s="2" t="s">
        <v>21</v>
      </c>
      <c r="D619" s="2" t="s">
        <v>9</v>
      </c>
      <c r="E619" s="8">
        <v>1</v>
      </c>
    </row>
    <row r="620" spans="1:5" x14ac:dyDescent="0.35">
      <c r="A620" s="7">
        <v>1620</v>
      </c>
      <c r="B620" s="1">
        <v>45575</v>
      </c>
      <c r="C620" s="2" t="s">
        <v>18</v>
      </c>
      <c r="D620" s="2" t="s">
        <v>13</v>
      </c>
      <c r="E620" s="8">
        <v>6</v>
      </c>
    </row>
    <row r="621" spans="1:5" x14ac:dyDescent="0.35">
      <c r="A621" s="7">
        <v>1628</v>
      </c>
      <c r="B621" s="1">
        <v>45575</v>
      </c>
      <c r="C621" s="2" t="s">
        <v>10</v>
      </c>
      <c r="D621" s="2" t="s">
        <v>15</v>
      </c>
      <c r="E621" s="8">
        <v>1</v>
      </c>
    </row>
    <row r="622" spans="1:5" x14ac:dyDescent="0.35">
      <c r="A622" s="7">
        <v>1644</v>
      </c>
      <c r="B622" s="1">
        <v>45577</v>
      </c>
      <c r="C622" s="2" t="s">
        <v>20</v>
      </c>
      <c r="D622" s="2" t="s">
        <v>6</v>
      </c>
      <c r="E622" s="8">
        <v>2</v>
      </c>
    </row>
    <row r="623" spans="1:5" x14ac:dyDescent="0.35">
      <c r="A623" s="7">
        <v>1646</v>
      </c>
      <c r="B623" s="1">
        <v>45577</v>
      </c>
      <c r="C623" s="2" t="s">
        <v>12</v>
      </c>
      <c r="D623" s="2" t="s">
        <v>17</v>
      </c>
      <c r="E623" s="8">
        <v>2</v>
      </c>
    </row>
    <row r="624" spans="1:5" x14ac:dyDescent="0.35">
      <c r="A624" s="7">
        <v>1618</v>
      </c>
      <c r="B624" s="1">
        <v>45578</v>
      </c>
      <c r="C624" s="2" t="s">
        <v>5</v>
      </c>
      <c r="D624" s="2" t="s">
        <v>13</v>
      </c>
      <c r="E624" s="8">
        <v>1</v>
      </c>
    </row>
    <row r="625" spans="1:5" x14ac:dyDescent="0.35">
      <c r="A625" s="7">
        <v>1636</v>
      </c>
      <c r="B625" s="1">
        <v>45578</v>
      </c>
      <c r="C625" s="2" t="s">
        <v>21</v>
      </c>
      <c r="D625" s="2" t="s">
        <v>9</v>
      </c>
      <c r="E625" s="8">
        <v>2</v>
      </c>
    </row>
    <row r="626" spans="1:5" x14ac:dyDescent="0.35">
      <c r="A626" s="7">
        <v>1615</v>
      </c>
      <c r="B626" s="1">
        <v>45579</v>
      </c>
      <c r="C626" s="2" t="s">
        <v>21</v>
      </c>
      <c r="D626" s="2" t="s">
        <v>16</v>
      </c>
      <c r="E626" s="8">
        <v>10</v>
      </c>
    </row>
    <row r="627" spans="1:5" x14ac:dyDescent="0.35">
      <c r="A627" s="7">
        <v>1623</v>
      </c>
      <c r="B627" s="1">
        <v>45579</v>
      </c>
      <c r="C627" s="2" t="s">
        <v>8</v>
      </c>
      <c r="D627" s="2" t="s">
        <v>7</v>
      </c>
      <c r="E627" s="8">
        <v>2</v>
      </c>
    </row>
    <row r="628" spans="1:5" x14ac:dyDescent="0.35">
      <c r="A628" s="7">
        <v>1657</v>
      </c>
      <c r="B628" s="1">
        <v>45579</v>
      </c>
      <c r="C628" s="2" t="s">
        <v>21</v>
      </c>
      <c r="D628" s="2" t="s">
        <v>16</v>
      </c>
      <c r="E628" s="8">
        <v>1</v>
      </c>
    </row>
    <row r="629" spans="1:5" x14ac:dyDescent="0.35">
      <c r="A629" s="7">
        <v>1613</v>
      </c>
      <c r="B629" s="1">
        <v>45580</v>
      </c>
      <c r="C629" s="2" t="s">
        <v>5</v>
      </c>
      <c r="D629" s="2" t="s">
        <v>15</v>
      </c>
      <c r="E629" s="8">
        <v>2</v>
      </c>
    </row>
    <row r="630" spans="1:5" x14ac:dyDescent="0.35">
      <c r="A630" s="7">
        <v>1625</v>
      </c>
      <c r="B630" s="1">
        <v>45581</v>
      </c>
      <c r="C630" s="2" t="s">
        <v>10</v>
      </c>
      <c r="D630" s="2" t="s">
        <v>7</v>
      </c>
      <c r="E630" s="8">
        <v>6</v>
      </c>
    </row>
    <row r="631" spans="1:5" x14ac:dyDescent="0.35">
      <c r="A631" s="7">
        <v>1629</v>
      </c>
      <c r="B631" s="1">
        <v>45581</v>
      </c>
      <c r="C631" s="2" t="s">
        <v>18</v>
      </c>
      <c r="D631" s="2" t="s">
        <v>15</v>
      </c>
      <c r="E631" s="8">
        <v>6</v>
      </c>
    </row>
    <row r="632" spans="1:5" x14ac:dyDescent="0.35">
      <c r="A632" s="7">
        <v>1632</v>
      </c>
      <c r="B632" s="1">
        <v>45582</v>
      </c>
      <c r="C632" s="2" t="s">
        <v>10</v>
      </c>
      <c r="D632" s="2" t="s">
        <v>15</v>
      </c>
      <c r="E632" s="8">
        <v>6</v>
      </c>
    </row>
    <row r="633" spans="1:5" x14ac:dyDescent="0.35">
      <c r="A633" s="7">
        <v>1659</v>
      </c>
      <c r="B633" s="1">
        <v>45582</v>
      </c>
      <c r="C633" s="2" t="s">
        <v>21</v>
      </c>
      <c r="D633" s="2" t="s">
        <v>7</v>
      </c>
      <c r="E633" s="8">
        <v>2</v>
      </c>
    </row>
    <row r="634" spans="1:5" x14ac:dyDescent="0.35">
      <c r="A634" s="7">
        <v>1612</v>
      </c>
      <c r="B634" s="1">
        <v>45583</v>
      </c>
      <c r="C634" s="2" t="s">
        <v>8</v>
      </c>
      <c r="D634" s="2" t="s">
        <v>17</v>
      </c>
      <c r="E634" s="8">
        <v>4</v>
      </c>
    </row>
    <row r="635" spans="1:5" x14ac:dyDescent="0.35">
      <c r="A635" s="7">
        <v>1624</v>
      </c>
      <c r="B635" s="1">
        <v>45583</v>
      </c>
      <c r="C635" s="2" t="s">
        <v>20</v>
      </c>
      <c r="D635" s="2" t="s">
        <v>19</v>
      </c>
      <c r="E635" s="8">
        <v>1</v>
      </c>
    </row>
    <row r="636" spans="1:5" x14ac:dyDescent="0.35">
      <c r="A636" s="7">
        <v>1631</v>
      </c>
      <c r="B636" s="1">
        <v>45583</v>
      </c>
      <c r="C636" s="2" t="s">
        <v>14</v>
      </c>
      <c r="D636" s="2" t="s">
        <v>7</v>
      </c>
      <c r="E636" s="8">
        <v>1</v>
      </c>
    </row>
    <row r="637" spans="1:5" x14ac:dyDescent="0.35">
      <c r="A637" s="7">
        <v>1635</v>
      </c>
      <c r="B637" s="1">
        <v>45583</v>
      </c>
      <c r="C637" s="2" t="s">
        <v>12</v>
      </c>
      <c r="D637" s="2" t="s">
        <v>17</v>
      </c>
      <c r="E637" s="8">
        <v>1</v>
      </c>
    </row>
    <row r="638" spans="1:5" x14ac:dyDescent="0.35">
      <c r="A638" s="7">
        <v>1643</v>
      </c>
      <c r="B638" s="1">
        <v>45583</v>
      </c>
      <c r="C638" s="2" t="s">
        <v>10</v>
      </c>
      <c r="D638" s="2" t="s">
        <v>19</v>
      </c>
      <c r="E638" s="8">
        <v>5</v>
      </c>
    </row>
    <row r="639" spans="1:5" x14ac:dyDescent="0.35">
      <c r="A639" s="7">
        <v>1647</v>
      </c>
      <c r="B639" s="1">
        <v>45584</v>
      </c>
      <c r="C639" s="2" t="s">
        <v>10</v>
      </c>
      <c r="D639" s="2" t="s">
        <v>6</v>
      </c>
      <c r="E639" s="8">
        <v>1</v>
      </c>
    </row>
    <row r="640" spans="1:5" x14ac:dyDescent="0.35">
      <c r="A640" s="7">
        <v>1650</v>
      </c>
      <c r="B640" s="1">
        <v>45584</v>
      </c>
      <c r="C640" s="2" t="s">
        <v>5</v>
      </c>
      <c r="D640" s="2" t="s">
        <v>6</v>
      </c>
      <c r="E640" s="8">
        <v>4</v>
      </c>
    </row>
    <row r="641" spans="1:5" x14ac:dyDescent="0.35">
      <c r="A641" s="7">
        <v>1617</v>
      </c>
      <c r="B641" s="1">
        <v>45585</v>
      </c>
      <c r="C641" s="2" t="s">
        <v>21</v>
      </c>
      <c r="D641" s="2" t="s">
        <v>16</v>
      </c>
      <c r="E641" s="8">
        <v>5</v>
      </c>
    </row>
    <row r="642" spans="1:5" x14ac:dyDescent="0.35">
      <c r="A642" s="7">
        <v>1621</v>
      </c>
      <c r="B642" s="1">
        <v>45585</v>
      </c>
      <c r="C642" s="2" t="s">
        <v>12</v>
      </c>
      <c r="D642" s="2" t="s">
        <v>9</v>
      </c>
      <c r="E642" s="8">
        <v>8</v>
      </c>
    </row>
    <row r="643" spans="1:5" x14ac:dyDescent="0.35">
      <c r="A643" s="7">
        <v>1651</v>
      </c>
      <c r="B643" s="1">
        <v>45586</v>
      </c>
      <c r="C643" s="2" t="s">
        <v>14</v>
      </c>
      <c r="D643" s="2" t="s">
        <v>9</v>
      </c>
      <c r="E643" s="8">
        <v>6</v>
      </c>
    </row>
    <row r="644" spans="1:5" x14ac:dyDescent="0.35">
      <c r="A644" s="7">
        <v>1655</v>
      </c>
      <c r="B644" s="1">
        <v>45586</v>
      </c>
      <c r="C644" s="2" t="s">
        <v>18</v>
      </c>
      <c r="D644" s="2" t="s">
        <v>17</v>
      </c>
      <c r="E644" s="8">
        <v>6</v>
      </c>
    </row>
    <row r="645" spans="1:5" x14ac:dyDescent="0.35">
      <c r="A645" s="7">
        <v>1626</v>
      </c>
      <c r="B645" s="1">
        <v>45587</v>
      </c>
      <c r="C645" s="2" t="s">
        <v>12</v>
      </c>
      <c r="D645" s="2" t="s">
        <v>13</v>
      </c>
      <c r="E645" s="8">
        <v>10</v>
      </c>
    </row>
    <row r="646" spans="1:5" x14ac:dyDescent="0.35">
      <c r="A646" s="7">
        <v>1627</v>
      </c>
      <c r="B646" s="1">
        <v>45588</v>
      </c>
      <c r="C646" s="2" t="s">
        <v>8</v>
      </c>
      <c r="D646" s="2" t="s">
        <v>15</v>
      </c>
      <c r="E646" s="8">
        <v>3</v>
      </c>
    </row>
    <row r="647" spans="1:5" x14ac:dyDescent="0.35">
      <c r="A647" s="7">
        <v>1658</v>
      </c>
      <c r="B647" s="1">
        <v>45588</v>
      </c>
      <c r="C647" s="2" t="s">
        <v>5</v>
      </c>
      <c r="D647" s="2" t="s">
        <v>7</v>
      </c>
      <c r="E647" s="8">
        <v>1</v>
      </c>
    </row>
    <row r="648" spans="1:5" x14ac:dyDescent="0.35">
      <c r="A648" s="7">
        <v>1610</v>
      </c>
      <c r="B648" s="1">
        <v>45589</v>
      </c>
      <c r="C648" s="2" t="s">
        <v>8</v>
      </c>
      <c r="D648" s="2" t="s">
        <v>15</v>
      </c>
      <c r="E648" s="8">
        <v>1</v>
      </c>
    </row>
    <row r="649" spans="1:5" x14ac:dyDescent="0.35">
      <c r="A649" s="7">
        <v>1653</v>
      </c>
      <c r="B649" s="1">
        <v>45589</v>
      </c>
      <c r="C649" s="2" t="s">
        <v>14</v>
      </c>
      <c r="D649" s="2" t="s">
        <v>17</v>
      </c>
      <c r="E649" s="8">
        <v>1</v>
      </c>
    </row>
    <row r="650" spans="1:5" x14ac:dyDescent="0.35">
      <c r="A650" s="7">
        <v>1654</v>
      </c>
      <c r="B650" s="1">
        <v>45589</v>
      </c>
      <c r="C650" s="2" t="s">
        <v>18</v>
      </c>
      <c r="D650" s="2" t="s">
        <v>6</v>
      </c>
      <c r="E650" s="8">
        <v>1</v>
      </c>
    </row>
    <row r="651" spans="1:5" x14ac:dyDescent="0.35">
      <c r="A651" s="7">
        <v>1642</v>
      </c>
      <c r="B651" s="1">
        <v>45590</v>
      </c>
      <c r="C651" s="2" t="s">
        <v>8</v>
      </c>
      <c r="D651" s="2" t="s">
        <v>9</v>
      </c>
      <c r="E651" s="8">
        <v>3</v>
      </c>
    </row>
    <row r="652" spans="1:5" x14ac:dyDescent="0.35">
      <c r="A652" s="7">
        <v>1637</v>
      </c>
      <c r="B652" s="1">
        <v>45591</v>
      </c>
      <c r="C652" s="2" t="s">
        <v>11</v>
      </c>
      <c r="D652" s="2" t="s">
        <v>13</v>
      </c>
      <c r="E652" s="8">
        <v>2</v>
      </c>
    </row>
    <row r="653" spans="1:5" x14ac:dyDescent="0.35">
      <c r="A653" s="7">
        <v>1645</v>
      </c>
      <c r="B653" s="1">
        <v>45591</v>
      </c>
      <c r="C653" s="2" t="s">
        <v>14</v>
      </c>
      <c r="D653" s="2" t="s">
        <v>17</v>
      </c>
      <c r="E653" s="8">
        <v>1</v>
      </c>
    </row>
    <row r="654" spans="1:5" x14ac:dyDescent="0.35">
      <c r="A654" s="7">
        <v>1656</v>
      </c>
      <c r="B654" s="1">
        <v>45592</v>
      </c>
      <c r="C654" s="2" t="s">
        <v>8</v>
      </c>
      <c r="D654" s="2" t="s">
        <v>13</v>
      </c>
      <c r="E654" s="8">
        <v>1</v>
      </c>
    </row>
    <row r="655" spans="1:5" x14ac:dyDescent="0.35">
      <c r="A655" s="7">
        <v>1630</v>
      </c>
      <c r="B655" s="1">
        <v>45593</v>
      </c>
      <c r="C655" s="2" t="s">
        <v>5</v>
      </c>
      <c r="D655" s="2" t="s">
        <v>9</v>
      </c>
      <c r="E655" s="8">
        <v>2</v>
      </c>
    </row>
    <row r="656" spans="1:5" x14ac:dyDescent="0.35">
      <c r="A656" s="7">
        <v>1638</v>
      </c>
      <c r="B656" s="1">
        <v>45593</v>
      </c>
      <c r="C656" s="2" t="s">
        <v>14</v>
      </c>
      <c r="D656" s="2" t="s">
        <v>9</v>
      </c>
      <c r="E656" s="8">
        <v>2</v>
      </c>
    </row>
    <row r="657" spans="1:5" x14ac:dyDescent="0.35">
      <c r="A657" s="7">
        <v>1622</v>
      </c>
      <c r="B657" s="1">
        <v>45594</v>
      </c>
      <c r="C657" s="2" t="s">
        <v>5</v>
      </c>
      <c r="D657" s="2" t="s">
        <v>6</v>
      </c>
      <c r="E657" s="8">
        <v>2</v>
      </c>
    </row>
    <row r="658" spans="1:5" x14ac:dyDescent="0.35">
      <c r="A658" s="7">
        <v>1640</v>
      </c>
      <c r="B658" s="1">
        <v>45595</v>
      </c>
      <c r="C658" s="2" t="s">
        <v>11</v>
      </c>
      <c r="D658" s="2" t="s">
        <v>9</v>
      </c>
      <c r="E658" s="8">
        <v>5</v>
      </c>
    </row>
    <row r="659" spans="1:5" x14ac:dyDescent="0.35">
      <c r="A659" s="7">
        <v>1641</v>
      </c>
      <c r="B659" s="1">
        <v>45595</v>
      </c>
      <c r="C659" s="2" t="s">
        <v>5</v>
      </c>
      <c r="D659" s="2" t="s">
        <v>9</v>
      </c>
      <c r="E659" s="8">
        <v>4</v>
      </c>
    </row>
    <row r="660" spans="1:5" x14ac:dyDescent="0.35">
      <c r="A660" s="7">
        <v>1652</v>
      </c>
      <c r="B660" s="1">
        <v>45596</v>
      </c>
      <c r="C660" s="2" t="s">
        <v>20</v>
      </c>
      <c r="D660" s="2" t="s">
        <v>6</v>
      </c>
      <c r="E660" s="8">
        <v>5</v>
      </c>
    </row>
    <row r="661" spans="1:5" x14ac:dyDescent="0.35">
      <c r="A661" s="7">
        <v>1661</v>
      </c>
      <c r="B661" s="1">
        <v>45597</v>
      </c>
      <c r="C661" s="2" t="s">
        <v>14</v>
      </c>
      <c r="D661" s="2" t="s">
        <v>17</v>
      </c>
      <c r="E661" s="8">
        <v>1</v>
      </c>
    </row>
    <row r="662" spans="1:5" x14ac:dyDescent="0.35">
      <c r="A662" s="7">
        <v>1663</v>
      </c>
      <c r="B662" s="1">
        <v>45597</v>
      </c>
      <c r="C662" s="2" t="s">
        <v>8</v>
      </c>
      <c r="D662" s="2" t="s">
        <v>19</v>
      </c>
      <c r="E662" s="8">
        <v>2</v>
      </c>
    </row>
    <row r="663" spans="1:5" x14ac:dyDescent="0.35">
      <c r="A663" s="7">
        <v>1678</v>
      </c>
      <c r="B663" s="1">
        <v>45597</v>
      </c>
      <c r="C663" s="2" t="s">
        <v>18</v>
      </c>
      <c r="D663" s="2" t="s">
        <v>13</v>
      </c>
      <c r="E663" s="8">
        <v>3</v>
      </c>
    </row>
    <row r="664" spans="1:5" x14ac:dyDescent="0.35">
      <c r="A664" s="7">
        <v>1683</v>
      </c>
      <c r="B664" s="1">
        <v>45598</v>
      </c>
      <c r="C664" s="2" t="s">
        <v>8</v>
      </c>
      <c r="D664" s="2" t="s">
        <v>16</v>
      </c>
      <c r="E664" s="8">
        <v>3</v>
      </c>
    </row>
    <row r="665" spans="1:5" x14ac:dyDescent="0.35">
      <c r="A665" s="7">
        <v>1667</v>
      </c>
      <c r="B665" s="1">
        <v>45599</v>
      </c>
      <c r="C665" s="2" t="s">
        <v>20</v>
      </c>
      <c r="D665" s="2" t="s">
        <v>6</v>
      </c>
      <c r="E665" s="8">
        <v>4</v>
      </c>
    </row>
    <row r="666" spans="1:5" x14ac:dyDescent="0.35">
      <c r="A666" s="7">
        <v>1672</v>
      </c>
      <c r="B666" s="1">
        <v>45599</v>
      </c>
      <c r="C666" s="2" t="s">
        <v>21</v>
      </c>
      <c r="D666" s="2" t="s">
        <v>13</v>
      </c>
      <c r="E666" s="8">
        <v>1</v>
      </c>
    </row>
    <row r="667" spans="1:5" x14ac:dyDescent="0.35">
      <c r="A667" s="7">
        <v>1690</v>
      </c>
      <c r="B667" s="1">
        <v>45599</v>
      </c>
      <c r="C667" s="2" t="s">
        <v>5</v>
      </c>
      <c r="D667" s="2" t="s">
        <v>19</v>
      </c>
      <c r="E667" s="8">
        <v>1</v>
      </c>
    </row>
    <row r="668" spans="1:5" x14ac:dyDescent="0.35">
      <c r="A668" s="7">
        <v>1697</v>
      </c>
      <c r="B668" s="1">
        <v>45599</v>
      </c>
      <c r="C668" s="2" t="s">
        <v>11</v>
      </c>
      <c r="D668" s="2" t="s">
        <v>15</v>
      </c>
      <c r="E668" s="8">
        <v>1</v>
      </c>
    </row>
    <row r="669" spans="1:5" x14ac:dyDescent="0.35">
      <c r="A669" s="7">
        <v>1694</v>
      </c>
      <c r="B669" s="1">
        <v>45600</v>
      </c>
      <c r="C669" s="2" t="s">
        <v>12</v>
      </c>
      <c r="D669" s="2" t="s">
        <v>17</v>
      </c>
      <c r="E669" s="8">
        <v>2</v>
      </c>
    </row>
    <row r="670" spans="1:5" x14ac:dyDescent="0.35">
      <c r="A670" s="7">
        <v>1707</v>
      </c>
      <c r="B670" s="1">
        <v>45600</v>
      </c>
      <c r="C670" s="2" t="s">
        <v>5</v>
      </c>
      <c r="D670" s="2" t="s">
        <v>17</v>
      </c>
      <c r="E670" s="8">
        <v>5</v>
      </c>
    </row>
    <row r="671" spans="1:5" x14ac:dyDescent="0.35">
      <c r="A671" s="7">
        <v>1703</v>
      </c>
      <c r="B671" s="1">
        <v>45601</v>
      </c>
      <c r="C671" s="2" t="s">
        <v>20</v>
      </c>
      <c r="D671" s="2" t="s">
        <v>19</v>
      </c>
      <c r="E671" s="8">
        <v>5</v>
      </c>
    </row>
    <row r="672" spans="1:5" x14ac:dyDescent="0.35">
      <c r="A672" s="7">
        <v>1665</v>
      </c>
      <c r="B672" s="1">
        <v>45604</v>
      </c>
      <c r="C672" s="2" t="s">
        <v>8</v>
      </c>
      <c r="D672" s="2" t="s">
        <v>16</v>
      </c>
      <c r="E672" s="8">
        <v>1</v>
      </c>
    </row>
    <row r="673" spans="1:5" x14ac:dyDescent="0.35">
      <c r="A673" s="7">
        <v>1687</v>
      </c>
      <c r="B673" s="1">
        <v>45604</v>
      </c>
      <c r="C673" s="2" t="s">
        <v>14</v>
      </c>
      <c r="D673" s="2" t="s">
        <v>19</v>
      </c>
      <c r="E673" s="8">
        <v>5</v>
      </c>
    </row>
    <row r="674" spans="1:5" x14ac:dyDescent="0.35">
      <c r="A674" s="7">
        <v>1706</v>
      </c>
      <c r="B674" s="1">
        <v>45604</v>
      </c>
      <c r="C674" s="2" t="s">
        <v>12</v>
      </c>
      <c r="D674" s="2" t="s">
        <v>16</v>
      </c>
      <c r="E674" s="8">
        <v>2</v>
      </c>
    </row>
    <row r="675" spans="1:5" x14ac:dyDescent="0.35">
      <c r="A675" s="7">
        <v>1702</v>
      </c>
      <c r="B675" s="1">
        <v>45605</v>
      </c>
      <c r="C675" s="2" t="s">
        <v>18</v>
      </c>
      <c r="D675" s="2" t="s">
        <v>15</v>
      </c>
      <c r="E675" s="8">
        <v>1</v>
      </c>
    </row>
    <row r="676" spans="1:5" x14ac:dyDescent="0.35">
      <c r="A676" s="7">
        <v>1704</v>
      </c>
      <c r="B676" s="1">
        <v>45605</v>
      </c>
      <c r="C676" s="2" t="s">
        <v>18</v>
      </c>
      <c r="D676" s="2" t="s">
        <v>16</v>
      </c>
      <c r="E676" s="8">
        <v>4</v>
      </c>
    </row>
    <row r="677" spans="1:5" x14ac:dyDescent="0.35">
      <c r="A677" s="7">
        <v>1693</v>
      </c>
      <c r="B677" s="1">
        <v>45606</v>
      </c>
      <c r="C677" s="2" t="s">
        <v>11</v>
      </c>
      <c r="D677" s="2" t="s">
        <v>16</v>
      </c>
      <c r="E677" s="8">
        <v>1</v>
      </c>
    </row>
    <row r="678" spans="1:5" x14ac:dyDescent="0.35">
      <c r="A678" s="7">
        <v>1699</v>
      </c>
      <c r="B678" s="1">
        <v>45606</v>
      </c>
      <c r="C678" s="2" t="s">
        <v>10</v>
      </c>
      <c r="D678" s="2" t="s">
        <v>6</v>
      </c>
      <c r="E678" s="8">
        <v>1</v>
      </c>
    </row>
    <row r="679" spans="1:5" x14ac:dyDescent="0.35">
      <c r="A679" s="7">
        <v>1692</v>
      </c>
      <c r="B679" s="1">
        <v>45608</v>
      </c>
      <c r="C679" s="2" t="s">
        <v>10</v>
      </c>
      <c r="D679" s="2" t="s">
        <v>7</v>
      </c>
      <c r="E679" s="8">
        <v>3</v>
      </c>
    </row>
    <row r="680" spans="1:5" x14ac:dyDescent="0.35">
      <c r="A680" s="7">
        <v>1670</v>
      </c>
      <c r="B680" s="1">
        <v>45609</v>
      </c>
      <c r="C680" s="2" t="s">
        <v>21</v>
      </c>
      <c r="D680" s="2" t="s">
        <v>16</v>
      </c>
      <c r="E680" s="8">
        <v>1</v>
      </c>
    </row>
    <row r="681" spans="1:5" x14ac:dyDescent="0.35">
      <c r="A681" s="7">
        <v>1708</v>
      </c>
      <c r="B681" s="1">
        <v>45609</v>
      </c>
      <c r="C681" s="2" t="s">
        <v>20</v>
      </c>
      <c r="D681" s="2" t="s">
        <v>7</v>
      </c>
      <c r="E681" s="8">
        <v>1</v>
      </c>
    </row>
    <row r="682" spans="1:5" x14ac:dyDescent="0.35">
      <c r="A682" s="7">
        <v>1688</v>
      </c>
      <c r="B682" s="1">
        <v>45610</v>
      </c>
      <c r="C682" s="2" t="s">
        <v>8</v>
      </c>
      <c r="D682" s="2" t="s">
        <v>6</v>
      </c>
      <c r="E682" s="8">
        <v>4</v>
      </c>
    </row>
    <row r="683" spans="1:5" x14ac:dyDescent="0.35">
      <c r="A683" s="7">
        <v>1695</v>
      </c>
      <c r="B683" s="1">
        <v>45610</v>
      </c>
      <c r="C683" s="2" t="s">
        <v>11</v>
      </c>
      <c r="D683" s="2" t="s">
        <v>7</v>
      </c>
      <c r="E683" s="8">
        <v>1</v>
      </c>
    </row>
    <row r="684" spans="1:5" x14ac:dyDescent="0.35">
      <c r="A684" s="7">
        <v>1671</v>
      </c>
      <c r="B684" s="1">
        <v>45612</v>
      </c>
      <c r="C684" s="2" t="s">
        <v>10</v>
      </c>
      <c r="D684" s="2" t="s">
        <v>15</v>
      </c>
      <c r="E684" s="8">
        <v>6</v>
      </c>
    </row>
    <row r="685" spans="1:5" x14ac:dyDescent="0.35">
      <c r="A685" s="7">
        <v>1662</v>
      </c>
      <c r="B685" s="1">
        <v>45613</v>
      </c>
      <c r="C685" s="2" t="s">
        <v>21</v>
      </c>
      <c r="D685" s="2" t="s">
        <v>15</v>
      </c>
      <c r="E685" s="8">
        <v>1</v>
      </c>
    </row>
    <row r="686" spans="1:5" x14ac:dyDescent="0.35">
      <c r="A686" s="7">
        <v>1696</v>
      </c>
      <c r="B686" s="1">
        <v>45613</v>
      </c>
      <c r="C686" s="2" t="s">
        <v>8</v>
      </c>
      <c r="D686" s="2" t="s">
        <v>17</v>
      </c>
      <c r="E686" s="8">
        <v>6</v>
      </c>
    </row>
    <row r="687" spans="1:5" x14ac:dyDescent="0.35">
      <c r="A687" s="7">
        <v>1668</v>
      </c>
      <c r="B687" s="1">
        <v>45615</v>
      </c>
      <c r="C687" s="2" t="s">
        <v>10</v>
      </c>
      <c r="D687" s="2" t="s">
        <v>6</v>
      </c>
      <c r="E687" s="8">
        <v>5</v>
      </c>
    </row>
    <row r="688" spans="1:5" x14ac:dyDescent="0.35">
      <c r="A688" s="7">
        <v>1677</v>
      </c>
      <c r="B688" s="1">
        <v>45615</v>
      </c>
      <c r="C688" s="2" t="s">
        <v>20</v>
      </c>
      <c r="D688" s="2" t="s">
        <v>16</v>
      </c>
      <c r="E688" s="8">
        <v>6</v>
      </c>
    </row>
    <row r="689" spans="1:5" x14ac:dyDescent="0.35">
      <c r="A689" s="7">
        <v>1680</v>
      </c>
      <c r="B689" s="1">
        <v>45615</v>
      </c>
      <c r="C689" s="2" t="s">
        <v>20</v>
      </c>
      <c r="D689" s="2" t="s">
        <v>16</v>
      </c>
      <c r="E689" s="8">
        <v>1</v>
      </c>
    </row>
    <row r="690" spans="1:5" x14ac:dyDescent="0.35">
      <c r="A690" s="7">
        <v>1698</v>
      </c>
      <c r="B690" s="1">
        <v>45616</v>
      </c>
      <c r="C690" s="2" t="s">
        <v>8</v>
      </c>
      <c r="D690" s="2" t="s">
        <v>6</v>
      </c>
      <c r="E690" s="8">
        <v>1</v>
      </c>
    </row>
    <row r="691" spans="1:5" x14ac:dyDescent="0.35">
      <c r="A691" s="7">
        <v>1660</v>
      </c>
      <c r="B691" s="1">
        <v>45617</v>
      </c>
      <c r="C691" s="2" t="s">
        <v>21</v>
      </c>
      <c r="D691" s="2" t="s">
        <v>6</v>
      </c>
      <c r="E691" s="8">
        <v>8</v>
      </c>
    </row>
    <row r="692" spans="1:5" x14ac:dyDescent="0.35">
      <c r="A692" s="7">
        <v>1686</v>
      </c>
      <c r="B692" s="1">
        <v>45617</v>
      </c>
      <c r="C692" s="2" t="s">
        <v>12</v>
      </c>
      <c r="D692" s="2" t="s">
        <v>15</v>
      </c>
      <c r="E692" s="8">
        <v>1</v>
      </c>
    </row>
    <row r="693" spans="1:5" x14ac:dyDescent="0.35">
      <c r="A693" s="7">
        <v>1669</v>
      </c>
      <c r="B693" s="1">
        <v>45618</v>
      </c>
      <c r="C693" s="2" t="s">
        <v>5</v>
      </c>
      <c r="D693" s="2" t="s">
        <v>9</v>
      </c>
      <c r="E693" s="8">
        <v>2</v>
      </c>
    </row>
    <row r="694" spans="1:5" x14ac:dyDescent="0.35">
      <c r="A694" s="7">
        <v>1701</v>
      </c>
      <c r="B694" s="1">
        <v>45618</v>
      </c>
      <c r="C694" s="2" t="s">
        <v>8</v>
      </c>
      <c r="D694" s="2" t="s">
        <v>9</v>
      </c>
      <c r="E694" s="8">
        <v>1</v>
      </c>
    </row>
    <row r="695" spans="1:5" x14ac:dyDescent="0.35">
      <c r="A695" s="7">
        <v>1691</v>
      </c>
      <c r="B695" s="1">
        <v>45619</v>
      </c>
      <c r="C695" s="2" t="s">
        <v>18</v>
      </c>
      <c r="D695" s="2" t="s">
        <v>19</v>
      </c>
      <c r="E695" s="8">
        <v>4</v>
      </c>
    </row>
    <row r="696" spans="1:5" x14ac:dyDescent="0.35">
      <c r="A696" s="7">
        <v>1700</v>
      </c>
      <c r="B696" s="1">
        <v>45620</v>
      </c>
      <c r="C696" s="2" t="s">
        <v>10</v>
      </c>
      <c r="D696" s="2" t="s">
        <v>15</v>
      </c>
      <c r="E696" s="8">
        <v>1</v>
      </c>
    </row>
    <row r="697" spans="1:5" x14ac:dyDescent="0.35">
      <c r="A697" s="7">
        <v>1685</v>
      </c>
      <c r="B697" s="1">
        <v>45621</v>
      </c>
      <c r="C697" s="2" t="s">
        <v>12</v>
      </c>
      <c r="D697" s="2" t="s">
        <v>16</v>
      </c>
      <c r="E697" s="8">
        <v>8</v>
      </c>
    </row>
    <row r="698" spans="1:5" x14ac:dyDescent="0.35">
      <c r="A698" s="7">
        <v>1689</v>
      </c>
      <c r="B698" s="1">
        <v>45621</v>
      </c>
      <c r="C698" s="2" t="s">
        <v>10</v>
      </c>
      <c r="D698" s="2" t="s">
        <v>7</v>
      </c>
      <c r="E698" s="8">
        <v>1</v>
      </c>
    </row>
    <row r="699" spans="1:5" x14ac:dyDescent="0.35">
      <c r="A699" s="7">
        <v>1673</v>
      </c>
      <c r="B699" s="1">
        <v>45622</v>
      </c>
      <c r="C699" s="2" t="s">
        <v>10</v>
      </c>
      <c r="D699" s="2" t="s">
        <v>17</v>
      </c>
      <c r="E699" s="8">
        <v>10</v>
      </c>
    </row>
    <row r="700" spans="1:5" x14ac:dyDescent="0.35">
      <c r="A700" s="7">
        <v>1682</v>
      </c>
      <c r="B700" s="1">
        <v>45622</v>
      </c>
      <c r="C700" s="2" t="s">
        <v>10</v>
      </c>
      <c r="D700" s="2" t="s">
        <v>6</v>
      </c>
      <c r="E700" s="8">
        <v>1</v>
      </c>
    </row>
    <row r="701" spans="1:5" x14ac:dyDescent="0.35">
      <c r="A701" s="7">
        <v>1705</v>
      </c>
      <c r="B701" s="1">
        <v>45622</v>
      </c>
      <c r="C701" s="2" t="s">
        <v>20</v>
      </c>
      <c r="D701" s="2" t="s">
        <v>15</v>
      </c>
      <c r="E701" s="8">
        <v>5</v>
      </c>
    </row>
    <row r="702" spans="1:5" x14ac:dyDescent="0.35">
      <c r="A702" s="7">
        <v>1666</v>
      </c>
      <c r="B702" s="1">
        <v>45623</v>
      </c>
      <c r="C702" s="2" t="s">
        <v>8</v>
      </c>
      <c r="D702" s="2" t="s">
        <v>9</v>
      </c>
      <c r="E702" s="8">
        <v>2</v>
      </c>
    </row>
    <row r="703" spans="1:5" x14ac:dyDescent="0.35">
      <c r="A703" s="7">
        <v>1684</v>
      </c>
      <c r="B703" s="1">
        <v>45623</v>
      </c>
      <c r="C703" s="2" t="s">
        <v>10</v>
      </c>
      <c r="D703" s="2" t="s">
        <v>16</v>
      </c>
      <c r="E703" s="8">
        <v>2</v>
      </c>
    </row>
    <row r="704" spans="1:5" x14ac:dyDescent="0.35">
      <c r="A704" s="7">
        <v>1675</v>
      </c>
      <c r="B704" s="1">
        <v>45625</v>
      </c>
      <c r="C704" s="2" t="s">
        <v>5</v>
      </c>
      <c r="D704" s="2" t="s">
        <v>13</v>
      </c>
      <c r="E704" s="8">
        <v>2</v>
      </c>
    </row>
    <row r="705" spans="1:5" x14ac:dyDescent="0.35">
      <c r="A705" s="7">
        <v>1681</v>
      </c>
      <c r="B705" s="1">
        <v>45625</v>
      </c>
      <c r="C705" s="2" t="s">
        <v>10</v>
      </c>
      <c r="D705" s="2" t="s">
        <v>9</v>
      </c>
      <c r="E705" s="8">
        <v>10</v>
      </c>
    </row>
    <row r="706" spans="1:5" x14ac:dyDescent="0.35">
      <c r="A706" s="7">
        <v>1664</v>
      </c>
      <c r="B706" s="1">
        <v>45626</v>
      </c>
      <c r="C706" s="2" t="s">
        <v>18</v>
      </c>
      <c r="D706" s="2" t="s">
        <v>15</v>
      </c>
      <c r="E706" s="8">
        <v>1</v>
      </c>
    </row>
    <row r="707" spans="1:5" x14ac:dyDescent="0.35">
      <c r="A707" s="7">
        <v>1674</v>
      </c>
      <c r="B707" s="1">
        <v>45626</v>
      </c>
      <c r="C707" s="2" t="s">
        <v>11</v>
      </c>
      <c r="D707" s="2" t="s">
        <v>6</v>
      </c>
      <c r="E707" s="8">
        <v>6</v>
      </c>
    </row>
    <row r="708" spans="1:5" x14ac:dyDescent="0.35">
      <c r="A708" s="7">
        <v>1676</v>
      </c>
      <c r="B708" s="1">
        <v>45626</v>
      </c>
      <c r="C708" s="2" t="s">
        <v>20</v>
      </c>
      <c r="D708" s="2" t="s">
        <v>17</v>
      </c>
      <c r="E708" s="8">
        <v>1</v>
      </c>
    </row>
    <row r="709" spans="1:5" x14ac:dyDescent="0.35">
      <c r="A709" s="7">
        <v>1679</v>
      </c>
      <c r="B709" s="1">
        <v>45626</v>
      </c>
      <c r="C709" s="2" t="s">
        <v>18</v>
      </c>
      <c r="D709" s="2" t="s">
        <v>9</v>
      </c>
      <c r="E709" s="8">
        <v>4</v>
      </c>
    </row>
    <row r="710" spans="1:5" x14ac:dyDescent="0.35">
      <c r="A710" s="7">
        <v>1714</v>
      </c>
      <c r="B710" s="1">
        <v>45630</v>
      </c>
      <c r="C710" s="2" t="s">
        <v>10</v>
      </c>
      <c r="D710" s="2" t="s">
        <v>19</v>
      </c>
      <c r="E710" s="8">
        <v>3</v>
      </c>
    </row>
    <row r="711" spans="1:5" x14ac:dyDescent="0.35">
      <c r="A711" s="7">
        <v>1727</v>
      </c>
      <c r="B711" s="1">
        <v>45630</v>
      </c>
      <c r="C711" s="2" t="s">
        <v>11</v>
      </c>
      <c r="D711" s="2" t="s">
        <v>15</v>
      </c>
      <c r="E711" s="8">
        <v>1</v>
      </c>
    </row>
    <row r="712" spans="1:5" x14ac:dyDescent="0.35">
      <c r="A712" s="7">
        <v>1719</v>
      </c>
      <c r="B712" s="1">
        <v>45631</v>
      </c>
      <c r="C712" s="2" t="s">
        <v>20</v>
      </c>
      <c r="D712" s="2" t="s">
        <v>9</v>
      </c>
      <c r="E712" s="8">
        <v>10</v>
      </c>
    </row>
    <row r="713" spans="1:5" x14ac:dyDescent="0.35">
      <c r="A713" s="7">
        <v>1711</v>
      </c>
      <c r="B713" s="1">
        <v>45632</v>
      </c>
      <c r="C713" s="2" t="s">
        <v>14</v>
      </c>
      <c r="D713" s="2" t="s">
        <v>9</v>
      </c>
      <c r="E713" s="8">
        <v>3</v>
      </c>
    </row>
    <row r="714" spans="1:5" x14ac:dyDescent="0.35">
      <c r="A714" s="7">
        <v>1739</v>
      </c>
      <c r="B714" s="1">
        <v>45632</v>
      </c>
      <c r="C714" s="2" t="s">
        <v>5</v>
      </c>
      <c r="D714" s="2" t="s">
        <v>7</v>
      </c>
      <c r="E714" s="8">
        <v>6</v>
      </c>
    </row>
    <row r="715" spans="1:5" x14ac:dyDescent="0.35">
      <c r="A715" s="7">
        <v>1718</v>
      </c>
      <c r="B715" s="1">
        <v>45636</v>
      </c>
      <c r="C715" s="2" t="s">
        <v>18</v>
      </c>
      <c r="D715" s="2" t="s">
        <v>17</v>
      </c>
      <c r="E715" s="8">
        <v>10</v>
      </c>
    </row>
    <row r="716" spans="1:5" x14ac:dyDescent="0.35">
      <c r="A716" s="7">
        <v>1731</v>
      </c>
      <c r="B716" s="1">
        <v>45636</v>
      </c>
      <c r="C716" s="2" t="s">
        <v>14</v>
      </c>
      <c r="D716" s="2" t="s">
        <v>13</v>
      </c>
      <c r="E716" s="8">
        <v>1</v>
      </c>
    </row>
    <row r="717" spans="1:5" x14ac:dyDescent="0.35">
      <c r="A717" s="7">
        <v>1736</v>
      </c>
      <c r="B717" s="1">
        <v>45636</v>
      </c>
      <c r="C717" s="2" t="s">
        <v>12</v>
      </c>
      <c r="D717" s="2" t="s">
        <v>17</v>
      </c>
      <c r="E717" s="8">
        <v>1</v>
      </c>
    </row>
    <row r="718" spans="1:5" x14ac:dyDescent="0.35">
      <c r="A718" s="7">
        <v>1709</v>
      </c>
      <c r="B718" s="1">
        <v>45637</v>
      </c>
      <c r="C718" s="2" t="s">
        <v>12</v>
      </c>
      <c r="D718" s="2" t="s">
        <v>15</v>
      </c>
      <c r="E718" s="8">
        <v>5</v>
      </c>
    </row>
    <row r="719" spans="1:5" x14ac:dyDescent="0.35">
      <c r="A719" s="7">
        <v>1710</v>
      </c>
      <c r="B719" s="1">
        <v>45637</v>
      </c>
      <c r="C719" s="2" t="s">
        <v>18</v>
      </c>
      <c r="D719" s="2" t="s">
        <v>15</v>
      </c>
      <c r="E719" s="8">
        <v>2</v>
      </c>
    </row>
    <row r="720" spans="1:5" x14ac:dyDescent="0.35">
      <c r="A720" s="7">
        <v>1733</v>
      </c>
      <c r="B720" s="1">
        <v>45637</v>
      </c>
      <c r="C720" s="2" t="s">
        <v>12</v>
      </c>
      <c r="D720" s="2" t="s">
        <v>7</v>
      </c>
      <c r="E720" s="8">
        <v>2</v>
      </c>
    </row>
    <row r="721" spans="1:5" x14ac:dyDescent="0.35">
      <c r="A721" s="7">
        <v>1730</v>
      </c>
      <c r="B721" s="1">
        <v>45638</v>
      </c>
      <c r="C721" s="2" t="s">
        <v>8</v>
      </c>
      <c r="D721" s="2" t="s">
        <v>17</v>
      </c>
      <c r="E721" s="8">
        <v>1</v>
      </c>
    </row>
    <row r="722" spans="1:5" x14ac:dyDescent="0.35">
      <c r="A722" s="7">
        <v>1713</v>
      </c>
      <c r="B722" s="1">
        <v>45639</v>
      </c>
      <c r="C722" s="2" t="s">
        <v>5</v>
      </c>
      <c r="D722" s="2" t="s">
        <v>17</v>
      </c>
      <c r="E722" s="8">
        <v>3</v>
      </c>
    </row>
    <row r="723" spans="1:5" x14ac:dyDescent="0.35">
      <c r="A723" s="7">
        <v>1729</v>
      </c>
      <c r="B723" s="1">
        <v>45639</v>
      </c>
      <c r="C723" s="2" t="s">
        <v>14</v>
      </c>
      <c r="D723" s="2" t="s">
        <v>9</v>
      </c>
      <c r="E723" s="8">
        <v>3</v>
      </c>
    </row>
    <row r="724" spans="1:5" x14ac:dyDescent="0.35">
      <c r="A724" s="7">
        <v>1740</v>
      </c>
      <c r="B724" s="1">
        <v>45640</v>
      </c>
      <c r="C724" s="2" t="s">
        <v>12</v>
      </c>
      <c r="D724" s="2" t="s">
        <v>7</v>
      </c>
      <c r="E724" s="8">
        <v>6</v>
      </c>
    </row>
    <row r="725" spans="1:5" x14ac:dyDescent="0.35">
      <c r="A725" s="7">
        <v>1716</v>
      </c>
      <c r="B725" s="1">
        <v>45641</v>
      </c>
      <c r="C725" s="2" t="s">
        <v>14</v>
      </c>
      <c r="D725" s="2" t="s">
        <v>13</v>
      </c>
      <c r="E725" s="8">
        <v>2</v>
      </c>
    </row>
    <row r="726" spans="1:5" x14ac:dyDescent="0.35">
      <c r="A726" s="7">
        <v>1720</v>
      </c>
      <c r="B726" s="1">
        <v>45641</v>
      </c>
      <c r="C726" s="2" t="s">
        <v>10</v>
      </c>
      <c r="D726" s="2" t="s">
        <v>15</v>
      </c>
      <c r="E726" s="8">
        <v>1</v>
      </c>
    </row>
    <row r="727" spans="1:5" x14ac:dyDescent="0.35">
      <c r="A727" s="7">
        <v>1735</v>
      </c>
      <c r="B727" s="1">
        <v>45641</v>
      </c>
      <c r="C727" s="2" t="s">
        <v>14</v>
      </c>
      <c r="D727" s="2" t="s">
        <v>6</v>
      </c>
      <c r="E727" s="8">
        <v>1</v>
      </c>
    </row>
    <row r="728" spans="1:5" x14ac:dyDescent="0.35">
      <c r="A728" s="7">
        <v>1734</v>
      </c>
      <c r="B728" s="1">
        <v>45642</v>
      </c>
      <c r="C728" s="2" t="s">
        <v>5</v>
      </c>
      <c r="D728" s="2" t="s">
        <v>17</v>
      </c>
      <c r="E728" s="8">
        <v>6</v>
      </c>
    </row>
    <row r="729" spans="1:5" x14ac:dyDescent="0.35">
      <c r="A729" s="7">
        <v>1721</v>
      </c>
      <c r="B729" s="1">
        <v>45643</v>
      </c>
      <c r="C729" s="2" t="s">
        <v>10</v>
      </c>
      <c r="D729" s="2" t="s">
        <v>17</v>
      </c>
      <c r="E729" s="8">
        <v>6</v>
      </c>
    </row>
    <row r="730" spans="1:5" x14ac:dyDescent="0.35">
      <c r="A730" s="7">
        <v>1725</v>
      </c>
      <c r="B730" s="1">
        <v>45646</v>
      </c>
      <c r="C730" s="2" t="s">
        <v>18</v>
      </c>
      <c r="D730" s="2" t="s">
        <v>6</v>
      </c>
      <c r="E730" s="8">
        <v>10</v>
      </c>
    </row>
    <row r="731" spans="1:5" x14ac:dyDescent="0.35">
      <c r="A731" s="7">
        <v>1723</v>
      </c>
      <c r="B731" s="1">
        <v>45647</v>
      </c>
      <c r="C731" s="2" t="s">
        <v>8</v>
      </c>
      <c r="D731" s="2" t="s">
        <v>6</v>
      </c>
      <c r="E731" s="8">
        <v>8</v>
      </c>
    </row>
    <row r="732" spans="1:5" x14ac:dyDescent="0.35">
      <c r="A732" s="7">
        <v>1741</v>
      </c>
      <c r="B732" s="1">
        <v>45647</v>
      </c>
      <c r="C732" s="2" t="s">
        <v>5</v>
      </c>
      <c r="D732" s="2" t="s">
        <v>17</v>
      </c>
      <c r="E732" s="8">
        <v>4</v>
      </c>
    </row>
    <row r="733" spans="1:5" x14ac:dyDescent="0.35">
      <c r="A733" s="7">
        <v>1715</v>
      </c>
      <c r="B733" s="1">
        <v>45648</v>
      </c>
      <c r="C733" s="2" t="s">
        <v>8</v>
      </c>
      <c r="D733" s="2" t="s">
        <v>9</v>
      </c>
      <c r="E733" s="8">
        <v>1</v>
      </c>
    </row>
    <row r="734" spans="1:5" x14ac:dyDescent="0.35">
      <c r="A734" s="7">
        <v>1717</v>
      </c>
      <c r="B734" s="1">
        <v>45648</v>
      </c>
      <c r="C734" s="2" t="s">
        <v>11</v>
      </c>
      <c r="D734" s="2" t="s">
        <v>19</v>
      </c>
      <c r="E734" s="8">
        <v>4</v>
      </c>
    </row>
    <row r="735" spans="1:5" x14ac:dyDescent="0.35">
      <c r="A735" s="7">
        <v>1724</v>
      </c>
      <c r="B735" s="1">
        <v>45648</v>
      </c>
      <c r="C735" s="2" t="s">
        <v>11</v>
      </c>
      <c r="D735" s="2" t="s">
        <v>16</v>
      </c>
      <c r="E735" s="8">
        <v>2</v>
      </c>
    </row>
    <row r="736" spans="1:5" x14ac:dyDescent="0.35">
      <c r="A736" s="7">
        <v>1742</v>
      </c>
      <c r="B736" s="1">
        <v>45648</v>
      </c>
      <c r="C736" s="2" t="s">
        <v>18</v>
      </c>
      <c r="D736" s="2" t="s">
        <v>7</v>
      </c>
      <c r="E736" s="8">
        <v>10</v>
      </c>
    </row>
    <row r="737" spans="1:5" x14ac:dyDescent="0.35">
      <c r="A737" s="7">
        <v>1712</v>
      </c>
      <c r="B737" s="1">
        <v>45650</v>
      </c>
      <c r="C737" s="2" t="s">
        <v>12</v>
      </c>
      <c r="D737" s="2" t="s">
        <v>15</v>
      </c>
      <c r="E737" s="8">
        <v>2</v>
      </c>
    </row>
    <row r="738" spans="1:5" x14ac:dyDescent="0.35">
      <c r="A738" s="7">
        <v>1728</v>
      </c>
      <c r="B738" s="1">
        <v>45650</v>
      </c>
      <c r="C738" s="2" t="s">
        <v>5</v>
      </c>
      <c r="D738" s="2" t="s">
        <v>19</v>
      </c>
      <c r="E738" s="8">
        <v>6</v>
      </c>
    </row>
    <row r="739" spans="1:5" x14ac:dyDescent="0.35">
      <c r="A739" s="7">
        <v>1722</v>
      </c>
      <c r="B739" s="1">
        <v>45652</v>
      </c>
      <c r="C739" s="2" t="s">
        <v>8</v>
      </c>
      <c r="D739" s="2" t="s">
        <v>15</v>
      </c>
      <c r="E739" s="8">
        <v>1</v>
      </c>
    </row>
    <row r="740" spans="1:5" x14ac:dyDescent="0.35">
      <c r="A740" s="7">
        <v>1738</v>
      </c>
      <c r="B740" s="1">
        <v>45652</v>
      </c>
      <c r="C740" s="2" t="s">
        <v>11</v>
      </c>
      <c r="D740" s="2" t="s">
        <v>6</v>
      </c>
      <c r="E740" s="8">
        <v>10</v>
      </c>
    </row>
    <row r="741" spans="1:5" x14ac:dyDescent="0.35">
      <c r="A741" s="7">
        <v>1732</v>
      </c>
      <c r="B741" s="1">
        <v>45653</v>
      </c>
      <c r="C741" s="2" t="s">
        <v>11</v>
      </c>
      <c r="D741" s="2" t="s">
        <v>15</v>
      </c>
      <c r="E741" s="8">
        <v>1</v>
      </c>
    </row>
    <row r="742" spans="1:5" x14ac:dyDescent="0.35">
      <c r="A742" s="7">
        <v>1737</v>
      </c>
      <c r="B742" s="1">
        <v>45654</v>
      </c>
      <c r="C742" s="2" t="s">
        <v>11</v>
      </c>
      <c r="D742" s="2" t="s">
        <v>13</v>
      </c>
      <c r="E742" s="8">
        <v>1</v>
      </c>
    </row>
    <row r="743" spans="1:5" x14ac:dyDescent="0.35">
      <c r="A743" s="12">
        <v>1726</v>
      </c>
      <c r="B743" s="13">
        <v>45657</v>
      </c>
      <c r="C743" s="14" t="s">
        <v>10</v>
      </c>
      <c r="D743" s="14" t="s">
        <v>13</v>
      </c>
      <c r="E743" s="15">
        <v>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election activeCell="C17" sqref="C17"/>
    </sheetView>
  </sheetViews>
  <sheetFormatPr defaultRowHeight="14.5" x14ac:dyDescent="0.35"/>
  <cols>
    <col min="1" max="1" width="12.6328125" customWidth="1"/>
    <col min="2" max="2" width="20" customWidth="1"/>
    <col min="3" max="4" width="16" customWidth="1"/>
  </cols>
  <sheetData>
    <row r="1" spans="1:4" x14ac:dyDescent="0.35">
      <c r="A1" s="9" t="s">
        <v>2</v>
      </c>
      <c r="B1" s="10" t="s">
        <v>22</v>
      </c>
      <c r="C1" s="10" t="s">
        <v>23</v>
      </c>
      <c r="D1" s="11" t="s">
        <v>24</v>
      </c>
    </row>
    <row r="2" spans="1:4" x14ac:dyDescent="0.35">
      <c r="A2" s="7" t="s">
        <v>21</v>
      </c>
      <c r="B2" s="2" t="s">
        <v>25</v>
      </c>
      <c r="C2" s="2" t="s">
        <v>26</v>
      </c>
      <c r="D2" s="16">
        <v>780</v>
      </c>
    </row>
    <row r="3" spans="1:4" x14ac:dyDescent="0.35">
      <c r="A3" s="7" t="s">
        <v>11</v>
      </c>
      <c r="B3" s="2" t="s">
        <v>27</v>
      </c>
      <c r="C3" s="2" t="s">
        <v>26</v>
      </c>
      <c r="D3" s="16">
        <v>1430</v>
      </c>
    </row>
    <row r="4" spans="1:4" x14ac:dyDescent="0.35">
      <c r="A4" s="7" t="s">
        <v>18</v>
      </c>
      <c r="B4" s="2" t="s">
        <v>28</v>
      </c>
      <c r="C4" s="2" t="s">
        <v>26</v>
      </c>
      <c r="D4" s="16">
        <v>7700</v>
      </c>
    </row>
    <row r="5" spans="1:4" x14ac:dyDescent="0.35">
      <c r="A5" s="7" t="s">
        <v>5</v>
      </c>
      <c r="B5" s="2" t="s">
        <v>29</v>
      </c>
      <c r="C5" s="2" t="s">
        <v>30</v>
      </c>
      <c r="D5" s="16">
        <v>6750</v>
      </c>
    </row>
    <row r="6" spans="1:4" x14ac:dyDescent="0.35">
      <c r="A6" s="7" t="s">
        <v>20</v>
      </c>
      <c r="B6" s="2" t="s">
        <v>31</v>
      </c>
      <c r="C6" s="2" t="s">
        <v>30</v>
      </c>
      <c r="D6" s="16">
        <v>11010</v>
      </c>
    </row>
    <row r="7" spans="1:4" x14ac:dyDescent="0.35">
      <c r="A7" s="7" t="s">
        <v>12</v>
      </c>
      <c r="B7" s="2" t="s">
        <v>32</v>
      </c>
      <c r="C7" s="2" t="s">
        <v>33</v>
      </c>
      <c r="D7" s="16">
        <v>3910</v>
      </c>
    </row>
    <row r="8" spans="1:4" x14ac:dyDescent="0.35">
      <c r="A8" s="7" t="s">
        <v>10</v>
      </c>
      <c r="B8" s="2" t="s">
        <v>34</v>
      </c>
      <c r="C8" s="2" t="s">
        <v>33</v>
      </c>
      <c r="D8" s="16">
        <v>4070</v>
      </c>
    </row>
    <row r="9" spans="1:4" x14ac:dyDescent="0.35">
      <c r="A9" s="7" t="s">
        <v>14</v>
      </c>
      <c r="B9" s="2" t="s">
        <v>35</v>
      </c>
      <c r="C9" s="2" t="s">
        <v>36</v>
      </c>
      <c r="D9" s="16">
        <v>1110</v>
      </c>
    </row>
    <row r="10" spans="1:4" x14ac:dyDescent="0.35">
      <c r="A10" s="12" t="s">
        <v>8</v>
      </c>
      <c r="B10" s="14" t="s">
        <v>37</v>
      </c>
      <c r="C10" s="14" t="s">
        <v>36</v>
      </c>
      <c r="D10" s="17">
        <v>880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activeCell="B20" sqref="B20"/>
    </sheetView>
  </sheetViews>
  <sheetFormatPr defaultRowHeight="14.5" x14ac:dyDescent="0.35"/>
  <cols>
    <col min="1" max="1" width="15.90625" customWidth="1"/>
    <col min="2" max="2" width="18" customWidth="1"/>
    <col min="3" max="3" width="12" customWidth="1"/>
    <col min="4" max="4" width="14" customWidth="1"/>
  </cols>
  <sheetData>
    <row r="1" spans="1:4" x14ac:dyDescent="0.35">
      <c r="A1" s="9" t="s">
        <v>3</v>
      </c>
      <c r="B1" s="10" t="s">
        <v>38</v>
      </c>
      <c r="C1" s="10" t="s">
        <v>39</v>
      </c>
      <c r="D1" s="11" t="s">
        <v>40</v>
      </c>
    </row>
    <row r="2" spans="1:4" x14ac:dyDescent="0.35">
      <c r="A2" s="7" t="s">
        <v>13</v>
      </c>
      <c r="B2" s="2" t="s">
        <v>41</v>
      </c>
      <c r="C2" s="2" t="s">
        <v>42</v>
      </c>
      <c r="D2" s="8" t="s">
        <v>43</v>
      </c>
    </row>
    <row r="3" spans="1:4" x14ac:dyDescent="0.35">
      <c r="A3" s="7" t="s">
        <v>16</v>
      </c>
      <c r="B3" s="2" t="s">
        <v>44</v>
      </c>
      <c r="C3" s="2" t="s">
        <v>42</v>
      </c>
      <c r="D3" s="8" t="s">
        <v>45</v>
      </c>
    </row>
    <row r="4" spans="1:4" x14ac:dyDescent="0.35">
      <c r="A4" s="7" t="s">
        <v>7</v>
      </c>
      <c r="B4" s="2" t="s">
        <v>46</v>
      </c>
      <c r="C4" s="2" t="s">
        <v>47</v>
      </c>
      <c r="D4" s="8" t="s">
        <v>48</v>
      </c>
    </row>
    <row r="5" spans="1:4" x14ac:dyDescent="0.35">
      <c r="A5" s="7" t="s">
        <v>9</v>
      </c>
      <c r="B5" s="2" t="s">
        <v>49</v>
      </c>
      <c r="C5" s="2" t="s">
        <v>47</v>
      </c>
      <c r="D5" s="8" t="s">
        <v>48</v>
      </c>
    </row>
    <row r="6" spans="1:4" x14ac:dyDescent="0.35">
      <c r="A6" s="7" t="s">
        <v>19</v>
      </c>
      <c r="B6" s="2" t="s">
        <v>50</v>
      </c>
      <c r="C6" s="2" t="s">
        <v>51</v>
      </c>
      <c r="D6" s="8" t="s">
        <v>52</v>
      </c>
    </row>
    <row r="7" spans="1:4" x14ac:dyDescent="0.35">
      <c r="A7" s="7" t="s">
        <v>6</v>
      </c>
      <c r="B7" s="2" t="s">
        <v>53</v>
      </c>
      <c r="C7" s="2" t="s">
        <v>51</v>
      </c>
      <c r="D7" s="8" t="s">
        <v>52</v>
      </c>
    </row>
    <row r="8" spans="1:4" x14ac:dyDescent="0.35">
      <c r="A8" s="7" t="s">
        <v>15</v>
      </c>
      <c r="B8" s="2" t="s">
        <v>54</v>
      </c>
      <c r="C8" s="2" t="s">
        <v>55</v>
      </c>
      <c r="D8" s="8" t="s">
        <v>56</v>
      </c>
    </row>
    <row r="9" spans="1:4" x14ac:dyDescent="0.35">
      <c r="A9" s="12" t="s">
        <v>17</v>
      </c>
      <c r="B9" s="14" t="s">
        <v>57</v>
      </c>
      <c r="C9" s="14" t="s">
        <v>55</v>
      </c>
      <c r="D9" s="15" t="s">
        <v>58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7"/>
  <sheetViews>
    <sheetView workbookViewId="0">
      <selection activeCell="E11" sqref="E11"/>
    </sheetView>
  </sheetViews>
  <sheetFormatPr defaultRowHeight="14.5" x14ac:dyDescent="0.35"/>
  <cols>
    <col min="1" max="1" width="14" customWidth="1"/>
    <col min="2" max="2" width="12" customWidth="1"/>
    <col min="3" max="3" width="20.6328125" customWidth="1"/>
  </cols>
  <sheetData>
    <row r="1" spans="1:3" x14ac:dyDescent="0.35">
      <c r="A1" s="9" t="s">
        <v>59</v>
      </c>
      <c r="B1" s="10" t="s">
        <v>39</v>
      </c>
      <c r="C1" s="11" t="s">
        <v>60</v>
      </c>
    </row>
    <row r="2" spans="1:3" x14ac:dyDescent="0.35">
      <c r="A2" s="18">
        <v>44927</v>
      </c>
      <c r="B2" s="2" t="s">
        <v>42</v>
      </c>
      <c r="C2" s="16">
        <v>550000</v>
      </c>
    </row>
    <row r="3" spans="1:3" x14ac:dyDescent="0.35">
      <c r="A3" s="18">
        <v>44927</v>
      </c>
      <c r="B3" s="2" t="s">
        <v>47</v>
      </c>
      <c r="C3" s="16">
        <v>620000</v>
      </c>
    </row>
    <row r="4" spans="1:3" x14ac:dyDescent="0.35">
      <c r="A4" s="18">
        <v>44927</v>
      </c>
      <c r="B4" s="2" t="s">
        <v>51</v>
      </c>
      <c r="C4" s="16">
        <v>400000</v>
      </c>
    </row>
    <row r="5" spans="1:3" x14ac:dyDescent="0.35">
      <c r="A5" s="18">
        <v>44927</v>
      </c>
      <c r="B5" s="2" t="s">
        <v>55</v>
      </c>
      <c r="C5" s="16">
        <v>580000</v>
      </c>
    </row>
    <row r="6" spans="1:3" x14ac:dyDescent="0.35">
      <c r="A6" s="18">
        <v>44958</v>
      </c>
      <c r="B6" s="2" t="s">
        <v>42</v>
      </c>
      <c r="C6" s="16">
        <v>550000</v>
      </c>
    </row>
    <row r="7" spans="1:3" x14ac:dyDescent="0.35">
      <c r="A7" s="18">
        <v>44958</v>
      </c>
      <c r="B7" s="2" t="s">
        <v>47</v>
      </c>
      <c r="C7" s="16">
        <v>620000</v>
      </c>
    </row>
    <row r="8" spans="1:3" x14ac:dyDescent="0.35">
      <c r="A8" s="18">
        <v>44958</v>
      </c>
      <c r="B8" s="2" t="s">
        <v>51</v>
      </c>
      <c r="C8" s="16">
        <v>400000</v>
      </c>
    </row>
    <row r="9" spans="1:3" x14ac:dyDescent="0.35">
      <c r="A9" s="18">
        <v>44958</v>
      </c>
      <c r="B9" s="2" t="s">
        <v>55</v>
      </c>
      <c r="C9" s="16">
        <v>580000</v>
      </c>
    </row>
    <row r="10" spans="1:3" x14ac:dyDescent="0.35">
      <c r="A10" s="18">
        <v>44986</v>
      </c>
      <c r="B10" s="2" t="s">
        <v>42</v>
      </c>
      <c r="C10" s="16">
        <v>550000</v>
      </c>
    </row>
    <row r="11" spans="1:3" x14ac:dyDescent="0.35">
      <c r="A11" s="18">
        <v>44986</v>
      </c>
      <c r="B11" s="2" t="s">
        <v>47</v>
      </c>
      <c r="C11" s="16">
        <v>620000</v>
      </c>
    </row>
    <row r="12" spans="1:3" x14ac:dyDescent="0.35">
      <c r="A12" s="18">
        <v>44986</v>
      </c>
      <c r="B12" s="2" t="s">
        <v>51</v>
      </c>
      <c r="C12" s="16">
        <v>400000</v>
      </c>
    </row>
    <row r="13" spans="1:3" x14ac:dyDescent="0.35">
      <c r="A13" s="18">
        <v>44986</v>
      </c>
      <c r="B13" s="2" t="s">
        <v>55</v>
      </c>
      <c r="C13" s="16">
        <v>580000</v>
      </c>
    </row>
    <row r="14" spans="1:3" x14ac:dyDescent="0.35">
      <c r="A14" s="18">
        <v>45017</v>
      </c>
      <c r="B14" s="2" t="s">
        <v>42</v>
      </c>
      <c r="C14" s="16">
        <v>572000</v>
      </c>
    </row>
    <row r="15" spans="1:3" x14ac:dyDescent="0.35">
      <c r="A15" s="18">
        <v>45017</v>
      </c>
      <c r="B15" s="2" t="s">
        <v>47</v>
      </c>
      <c r="C15" s="16">
        <v>645000</v>
      </c>
    </row>
    <row r="16" spans="1:3" x14ac:dyDescent="0.35">
      <c r="A16" s="18">
        <v>45017</v>
      </c>
      <c r="B16" s="2" t="s">
        <v>51</v>
      </c>
      <c r="C16" s="16">
        <v>416000</v>
      </c>
    </row>
    <row r="17" spans="1:3" x14ac:dyDescent="0.35">
      <c r="A17" s="18">
        <v>45017</v>
      </c>
      <c r="B17" s="2" t="s">
        <v>55</v>
      </c>
      <c r="C17" s="16">
        <v>603000</v>
      </c>
    </row>
    <row r="18" spans="1:3" x14ac:dyDescent="0.35">
      <c r="A18" s="18">
        <v>45047</v>
      </c>
      <c r="B18" s="2" t="s">
        <v>42</v>
      </c>
      <c r="C18" s="16">
        <v>572000</v>
      </c>
    </row>
    <row r="19" spans="1:3" x14ac:dyDescent="0.35">
      <c r="A19" s="18">
        <v>45047</v>
      </c>
      <c r="B19" s="2" t="s">
        <v>47</v>
      </c>
      <c r="C19" s="16">
        <v>645000</v>
      </c>
    </row>
    <row r="20" spans="1:3" x14ac:dyDescent="0.35">
      <c r="A20" s="18">
        <v>45047</v>
      </c>
      <c r="B20" s="2" t="s">
        <v>51</v>
      </c>
      <c r="C20" s="16">
        <v>416000</v>
      </c>
    </row>
    <row r="21" spans="1:3" x14ac:dyDescent="0.35">
      <c r="A21" s="18">
        <v>45047</v>
      </c>
      <c r="B21" s="2" t="s">
        <v>55</v>
      </c>
      <c r="C21" s="16">
        <v>603000</v>
      </c>
    </row>
    <row r="22" spans="1:3" x14ac:dyDescent="0.35">
      <c r="A22" s="18">
        <v>45078</v>
      </c>
      <c r="B22" s="2" t="s">
        <v>42</v>
      </c>
      <c r="C22" s="16">
        <v>572000</v>
      </c>
    </row>
    <row r="23" spans="1:3" x14ac:dyDescent="0.35">
      <c r="A23" s="18">
        <v>45078</v>
      </c>
      <c r="B23" s="2" t="s">
        <v>47</v>
      </c>
      <c r="C23" s="16">
        <v>645000</v>
      </c>
    </row>
    <row r="24" spans="1:3" x14ac:dyDescent="0.35">
      <c r="A24" s="18">
        <v>45078</v>
      </c>
      <c r="B24" s="2" t="s">
        <v>51</v>
      </c>
      <c r="C24" s="16">
        <v>416000</v>
      </c>
    </row>
    <row r="25" spans="1:3" x14ac:dyDescent="0.35">
      <c r="A25" s="18">
        <v>45078</v>
      </c>
      <c r="B25" s="2" t="s">
        <v>55</v>
      </c>
      <c r="C25" s="16">
        <v>603000</v>
      </c>
    </row>
    <row r="26" spans="1:3" x14ac:dyDescent="0.35">
      <c r="A26" s="18">
        <v>45108</v>
      </c>
      <c r="B26" s="2" t="s">
        <v>42</v>
      </c>
      <c r="C26" s="16">
        <v>594000</v>
      </c>
    </row>
    <row r="27" spans="1:3" x14ac:dyDescent="0.35">
      <c r="A27" s="18">
        <v>45108</v>
      </c>
      <c r="B27" s="2" t="s">
        <v>47</v>
      </c>
      <c r="C27" s="16">
        <v>670000</v>
      </c>
    </row>
    <row r="28" spans="1:3" x14ac:dyDescent="0.35">
      <c r="A28" s="18">
        <v>45108</v>
      </c>
      <c r="B28" s="2" t="s">
        <v>51</v>
      </c>
      <c r="C28" s="16">
        <v>432000</v>
      </c>
    </row>
    <row r="29" spans="1:3" x14ac:dyDescent="0.35">
      <c r="A29" s="18">
        <v>45108</v>
      </c>
      <c r="B29" s="2" t="s">
        <v>55</v>
      </c>
      <c r="C29" s="16">
        <v>626000</v>
      </c>
    </row>
    <row r="30" spans="1:3" x14ac:dyDescent="0.35">
      <c r="A30" s="18">
        <v>45139</v>
      </c>
      <c r="B30" s="2" t="s">
        <v>42</v>
      </c>
      <c r="C30" s="16">
        <v>594000</v>
      </c>
    </row>
    <row r="31" spans="1:3" x14ac:dyDescent="0.35">
      <c r="A31" s="18">
        <v>45139</v>
      </c>
      <c r="B31" s="2" t="s">
        <v>47</v>
      </c>
      <c r="C31" s="16">
        <v>670000</v>
      </c>
    </row>
    <row r="32" spans="1:3" x14ac:dyDescent="0.35">
      <c r="A32" s="18">
        <v>45139</v>
      </c>
      <c r="B32" s="2" t="s">
        <v>51</v>
      </c>
      <c r="C32" s="16">
        <v>432000</v>
      </c>
    </row>
    <row r="33" spans="1:3" x14ac:dyDescent="0.35">
      <c r="A33" s="18">
        <v>45139</v>
      </c>
      <c r="B33" s="2" t="s">
        <v>55</v>
      </c>
      <c r="C33" s="16">
        <v>626000</v>
      </c>
    </row>
    <row r="34" spans="1:3" x14ac:dyDescent="0.35">
      <c r="A34" s="18">
        <v>45170</v>
      </c>
      <c r="B34" s="2" t="s">
        <v>42</v>
      </c>
      <c r="C34" s="16">
        <v>594000</v>
      </c>
    </row>
    <row r="35" spans="1:3" x14ac:dyDescent="0.35">
      <c r="A35" s="18">
        <v>45170</v>
      </c>
      <c r="B35" s="2" t="s">
        <v>47</v>
      </c>
      <c r="C35" s="16">
        <v>670000</v>
      </c>
    </row>
    <row r="36" spans="1:3" x14ac:dyDescent="0.35">
      <c r="A36" s="18">
        <v>45170</v>
      </c>
      <c r="B36" s="2" t="s">
        <v>51</v>
      </c>
      <c r="C36" s="16">
        <v>432000</v>
      </c>
    </row>
    <row r="37" spans="1:3" x14ac:dyDescent="0.35">
      <c r="A37" s="18">
        <v>45170</v>
      </c>
      <c r="B37" s="2" t="s">
        <v>55</v>
      </c>
      <c r="C37" s="16">
        <v>626000</v>
      </c>
    </row>
    <row r="38" spans="1:3" x14ac:dyDescent="0.35">
      <c r="A38" s="18">
        <v>45200</v>
      </c>
      <c r="B38" s="2" t="s">
        <v>42</v>
      </c>
      <c r="C38" s="16">
        <v>616000</v>
      </c>
    </row>
    <row r="39" spans="1:3" x14ac:dyDescent="0.35">
      <c r="A39" s="18">
        <v>45200</v>
      </c>
      <c r="B39" s="2" t="s">
        <v>47</v>
      </c>
      <c r="C39" s="16">
        <v>694000</v>
      </c>
    </row>
    <row r="40" spans="1:3" x14ac:dyDescent="0.35">
      <c r="A40" s="18">
        <v>45200</v>
      </c>
      <c r="B40" s="2" t="s">
        <v>51</v>
      </c>
      <c r="C40" s="16">
        <v>448000</v>
      </c>
    </row>
    <row r="41" spans="1:3" x14ac:dyDescent="0.35">
      <c r="A41" s="18">
        <v>45200</v>
      </c>
      <c r="B41" s="2" t="s">
        <v>55</v>
      </c>
      <c r="C41" s="16">
        <v>650000</v>
      </c>
    </row>
    <row r="42" spans="1:3" x14ac:dyDescent="0.35">
      <c r="A42" s="18">
        <v>45231</v>
      </c>
      <c r="B42" s="2" t="s">
        <v>42</v>
      </c>
      <c r="C42" s="16">
        <v>616000</v>
      </c>
    </row>
    <row r="43" spans="1:3" x14ac:dyDescent="0.35">
      <c r="A43" s="18">
        <v>45231</v>
      </c>
      <c r="B43" s="2" t="s">
        <v>47</v>
      </c>
      <c r="C43" s="16">
        <v>694000</v>
      </c>
    </row>
    <row r="44" spans="1:3" x14ac:dyDescent="0.35">
      <c r="A44" s="18">
        <v>45231</v>
      </c>
      <c r="B44" s="2" t="s">
        <v>51</v>
      </c>
      <c r="C44" s="16">
        <v>448000</v>
      </c>
    </row>
    <row r="45" spans="1:3" x14ac:dyDescent="0.35">
      <c r="A45" s="18">
        <v>45231</v>
      </c>
      <c r="B45" s="2" t="s">
        <v>55</v>
      </c>
      <c r="C45" s="16">
        <v>650000</v>
      </c>
    </row>
    <row r="46" spans="1:3" x14ac:dyDescent="0.35">
      <c r="A46" s="18">
        <v>45261</v>
      </c>
      <c r="B46" s="2" t="s">
        <v>42</v>
      </c>
      <c r="C46" s="16">
        <v>616000</v>
      </c>
    </row>
    <row r="47" spans="1:3" x14ac:dyDescent="0.35">
      <c r="A47" s="18">
        <v>45261</v>
      </c>
      <c r="B47" s="2" t="s">
        <v>47</v>
      </c>
      <c r="C47" s="16">
        <v>694000</v>
      </c>
    </row>
    <row r="48" spans="1:3" x14ac:dyDescent="0.35">
      <c r="A48" s="18">
        <v>45261</v>
      </c>
      <c r="B48" s="2" t="s">
        <v>51</v>
      </c>
      <c r="C48" s="16">
        <v>448000</v>
      </c>
    </row>
    <row r="49" spans="1:3" x14ac:dyDescent="0.35">
      <c r="A49" s="18">
        <v>45261</v>
      </c>
      <c r="B49" s="2" t="s">
        <v>55</v>
      </c>
      <c r="C49" s="16">
        <v>650000</v>
      </c>
    </row>
    <row r="50" spans="1:3" x14ac:dyDescent="0.35">
      <c r="A50" s="18">
        <v>45292</v>
      </c>
      <c r="B50" s="2" t="s">
        <v>42</v>
      </c>
      <c r="C50" s="16">
        <v>638000</v>
      </c>
    </row>
    <row r="51" spans="1:3" x14ac:dyDescent="0.35">
      <c r="A51" s="18">
        <v>45292</v>
      </c>
      <c r="B51" s="2" t="s">
        <v>47</v>
      </c>
      <c r="C51" s="16">
        <v>719000</v>
      </c>
    </row>
    <row r="52" spans="1:3" x14ac:dyDescent="0.35">
      <c r="A52" s="18">
        <v>45292</v>
      </c>
      <c r="B52" s="2" t="s">
        <v>51</v>
      </c>
      <c r="C52" s="16">
        <v>464000</v>
      </c>
    </row>
    <row r="53" spans="1:3" x14ac:dyDescent="0.35">
      <c r="A53" s="18">
        <v>45292</v>
      </c>
      <c r="B53" s="2" t="s">
        <v>55</v>
      </c>
      <c r="C53" s="16">
        <v>673000</v>
      </c>
    </row>
    <row r="54" spans="1:3" x14ac:dyDescent="0.35">
      <c r="A54" s="18">
        <v>45323</v>
      </c>
      <c r="B54" s="2" t="s">
        <v>42</v>
      </c>
      <c r="C54" s="16">
        <v>638000</v>
      </c>
    </row>
    <row r="55" spans="1:3" x14ac:dyDescent="0.35">
      <c r="A55" s="18">
        <v>45323</v>
      </c>
      <c r="B55" s="2" t="s">
        <v>47</v>
      </c>
      <c r="C55" s="16">
        <v>719000</v>
      </c>
    </row>
    <row r="56" spans="1:3" x14ac:dyDescent="0.35">
      <c r="A56" s="18">
        <v>45323</v>
      </c>
      <c r="B56" s="2" t="s">
        <v>51</v>
      </c>
      <c r="C56" s="16">
        <v>464000</v>
      </c>
    </row>
    <row r="57" spans="1:3" x14ac:dyDescent="0.35">
      <c r="A57" s="18">
        <v>45323</v>
      </c>
      <c r="B57" s="2" t="s">
        <v>55</v>
      </c>
      <c r="C57" s="16">
        <v>673000</v>
      </c>
    </row>
    <row r="58" spans="1:3" x14ac:dyDescent="0.35">
      <c r="A58" s="18">
        <v>45352</v>
      </c>
      <c r="B58" s="2" t="s">
        <v>42</v>
      </c>
      <c r="C58" s="16">
        <v>638000</v>
      </c>
    </row>
    <row r="59" spans="1:3" x14ac:dyDescent="0.35">
      <c r="A59" s="18">
        <v>45352</v>
      </c>
      <c r="B59" s="2" t="s">
        <v>47</v>
      </c>
      <c r="C59" s="16">
        <v>719000</v>
      </c>
    </row>
    <row r="60" spans="1:3" x14ac:dyDescent="0.35">
      <c r="A60" s="18">
        <v>45352</v>
      </c>
      <c r="B60" s="2" t="s">
        <v>51</v>
      </c>
      <c r="C60" s="16">
        <v>464000</v>
      </c>
    </row>
    <row r="61" spans="1:3" x14ac:dyDescent="0.35">
      <c r="A61" s="18">
        <v>45352</v>
      </c>
      <c r="B61" s="2" t="s">
        <v>55</v>
      </c>
      <c r="C61" s="16">
        <v>673000</v>
      </c>
    </row>
    <row r="62" spans="1:3" x14ac:dyDescent="0.35">
      <c r="A62" s="18">
        <v>45383</v>
      </c>
      <c r="B62" s="2" t="s">
        <v>42</v>
      </c>
      <c r="C62" s="16">
        <v>660000</v>
      </c>
    </row>
    <row r="63" spans="1:3" x14ac:dyDescent="0.35">
      <c r="A63" s="18">
        <v>45383</v>
      </c>
      <c r="B63" s="2" t="s">
        <v>47</v>
      </c>
      <c r="C63" s="16">
        <v>744000</v>
      </c>
    </row>
    <row r="64" spans="1:3" x14ac:dyDescent="0.35">
      <c r="A64" s="18">
        <v>45383</v>
      </c>
      <c r="B64" s="2" t="s">
        <v>51</v>
      </c>
      <c r="C64" s="16">
        <v>480000</v>
      </c>
    </row>
    <row r="65" spans="1:3" x14ac:dyDescent="0.35">
      <c r="A65" s="18">
        <v>45383</v>
      </c>
      <c r="B65" s="2" t="s">
        <v>55</v>
      </c>
      <c r="C65" s="16">
        <v>696000</v>
      </c>
    </row>
    <row r="66" spans="1:3" x14ac:dyDescent="0.35">
      <c r="A66" s="18">
        <v>45413</v>
      </c>
      <c r="B66" s="2" t="s">
        <v>42</v>
      </c>
      <c r="C66" s="16">
        <v>660000</v>
      </c>
    </row>
    <row r="67" spans="1:3" x14ac:dyDescent="0.35">
      <c r="A67" s="18">
        <v>45413</v>
      </c>
      <c r="B67" s="2" t="s">
        <v>47</v>
      </c>
      <c r="C67" s="16">
        <v>744000</v>
      </c>
    </row>
    <row r="68" spans="1:3" x14ac:dyDescent="0.35">
      <c r="A68" s="18">
        <v>45413</v>
      </c>
      <c r="B68" s="2" t="s">
        <v>51</v>
      </c>
      <c r="C68" s="16">
        <v>480000</v>
      </c>
    </row>
    <row r="69" spans="1:3" x14ac:dyDescent="0.35">
      <c r="A69" s="18">
        <v>45413</v>
      </c>
      <c r="B69" s="2" t="s">
        <v>55</v>
      </c>
      <c r="C69" s="16">
        <v>696000</v>
      </c>
    </row>
    <row r="70" spans="1:3" x14ac:dyDescent="0.35">
      <c r="A70" s="18">
        <v>45444</v>
      </c>
      <c r="B70" s="2" t="s">
        <v>42</v>
      </c>
      <c r="C70" s="16">
        <v>660000</v>
      </c>
    </row>
    <row r="71" spans="1:3" x14ac:dyDescent="0.35">
      <c r="A71" s="18">
        <v>45444</v>
      </c>
      <c r="B71" s="2" t="s">
        <v>47</v>
      </c>
      <c r="C71" s="16">
        <v>744000</v>
      </c>
    </row>
    <row r="72" spans="1:3" x14ac:dyDescent="0.35">
      <c r="A72" s="18">
        <v>45444</v>
      </c>
      <c r="B72" s="2" t="s">
        <v>51</v>
      </c>
      <c r="C72" s="16">
        <v>480000</v>
      </c>
    </row>
    <row r="73" spans="1:3" x14ac:dyDescent="0.35">
      <c r="A73" s="18">
        <v>45444</v>
      </c>
      <c r="B73" s="2" t="s">
        <v>55</v>
      </c>
      <c r="C73" s="16">
        <v>696000</v>
      </c>
    </row>
    <row r="74" spans="1:3" x14ac:dyDescent="0.35">
      <c r="A74" s="18">
        <v>45474</v>
      </c>
      <c r="B74" s="2" t="s">
        <v>42</v>
      </c>
      <c r="C74" s="16">
        <v>682000</v>
      </c>
    </row>
    <row r="75" spans="1:3" x14ac:dyDescent="0.35">
      <c r="A75" s="18">
        <v>45474</v>
      </c>
      <c r="B75" s="2" t="s">
        <v>47</v>
      </c>
      <c r="C75" s="16">
        <v>769000</v>
      </c>
    </row>
    <row r="76" spans="1:3" x14ac:dyDescent="0.35">
      <c r="A76" s="18">
        <v>45474</v>
      </c>
      <c r="B76" s="2" t="s">
        <v>51</v>
      </c>
      <c r="C76" s="16">
        <v>496000</v>
      </c>
    </row>
    <row r="77" spans="1:3" x14ac:dyDescent="0.35">
      <c r="A77" s="18">
        <v>45474</v>
      </c>
      <c r="B77" s="2" t="s">
        <v>55</v>
      </c>
      <c r="C77" s="16">
        <v>719000</v>
      </c>
    </row>
    <row r="78" spans="1:3" x14ac:dyDescent="0.35">
      <c r="A78" s="18">
        <v>45505</v>
      </c>
      <c r="B78" s="2" t="s">
        <v>42</v>
      </c>
      <c r="C78" s="16">
        <v>682000</v>
      </c>
    </row>
    <row r="79" spans="1:3" x14ac:dyDescent="0.35">
      <c r="A79" s="18">
        <v>45505</v>
      </c>
      <c r="B79" s="2" t="s">
        <v>47</v>
      </c>
      <c r="C79" s="16">
        <v>769000</v>
      </c>
    </row>
    <row r="80" spans="1:3" x14ac:dyDescent="0.35">
      <c r="A80" s="18">
        <v>45505</v>
      </c>
      <c r="B80" s="2" t="s">
        <v>51</v>
      </c>
      <c r="C80" s="16">
        <v>496000</v>
      </c>
    </row>
    <row r="81" spans="1:3" x14ac:dyDescent="0.35">
      <c r="A81" s="18">
        <v>45505</v>
      </c>
      <c r="B81" s="2" t="s">
        <v>55</v>
      </c>
      <c r="C81" s="16">
        <v>719000</v>
      </c>
    </row>
    <row r="82" spans="1:3" x14ac:dyDescent="0.35">
      <c r="A82" s="18">
        <v>45536</v>
      </c>
      <c r="B82" s="2" t="s">
        <v>42</v>
      </c>
      <c r="C82" s="16">
        <v>682000</v>
      </c>
    </row>
    <row r="83" spans="1:3" x14ac:dyDescent="0.35">
      <c r="A83" s="18">
        <v>45536</v>
      </c>
      <c r="B83" s="2" t="s">
        <v>47</v>
      </c>
      <c r="C83" s="16">
        <v>769000</v>
      </c>
    </row>
    <row r="84" spans="1:3" x14ac:dyDescent="0.35">
      <c r="A84" s="18">
        <v>45536</v>
      </c>
      <c r="B84" s="2" t="s">
        <v>51</v>
      </c>
      <c r="C84" s="16">
        <v>496000</v>
      </c>
    </row>
    <row r="85" spans="1:3" x14ac:dyDescent="0.35">
      <c r="A85" s="18">
        <v>45536</v>
      </c>
      <c r="B85" s="2" t="s">
        <v>55</v>
      </c>
      <c r="C85" s="16">
        <v>719000</v>
      </c>
    </row>
    <row r="86" spans="1:3" x14ac:dyDescent="0.35">
      <c r="A86" s="18">
        <v>45566</v>
      </c>
      <c r="B86" s="2" t="s">
        <v>42</v>
      </c>
      <c r="C86" s="16">
        <v>704000</v>
      </c>
    </row>
    <row r="87" spans="1:3" x14ac:dyDescent="0.35">
      <c r="A87" s="18">
        <v>45566</v>
      </c>
      <c r="B87" s="2" t="s">
        <v>47</v>
      </c>
      <c r="C87" s="16">
        <v>794000</v>
      </c>
    </row>
    <row r="88" spans="1:3" x14ac:dyDescent="0.35">
      <c r="A88" s="18">
        <v>45566</v>
      </c>
      <c r="B88" s="2" t="s">
        <v>51</v>
      </c>
      <c r="C88" s="16">
        <v>512000</v>
      </c>
    </row>
    <row r="89" spans="1:3" x14ac:dyDescent="0.35">
      <c r="A89" s="18">
        <v>45566</v>
      </c>
      <c r="B89" s="2" t="s">
        <v>55</v>
      </c>
      <c r="C89" s="16">
        <v>742000</v>
      </c>
    </row>
    <row r="90" spans="1:3" x14ac:dyDescent="0.35">
      <c r="A90" s="18">
        <v>45597</v>
      </c>
      <c r="B90" s="2" t="s">
        <v>42</v>
      </c>
      <c r="C90" s="16">
        <v>704000</v>
      </c>
    </row>
    <row r="91" spans="1:3" x14ac:dyDescent="0.35">
      <c r="A91" s="18">
        <v>45597</v>
      </c>
      <c r="B91" s="2" t="s">
        <v>47</v>
      </c>
      <c r="C91" s="16">
        <v>794000</v>
      </c>
    </row>
    <row r="92" spans="1:3" x14ac:dyDescent="0.35">
      <c r="A92" s="18">
        <v>45597</v>
      </c>
      <c r="B92" s="2" t="s">
        <v>51</v>
      </c>
      <c r="C92" s="16">
        <v>512000</v>
      </c>
    </row>
    <row r="93" spans="1:3" x14ac:dyDescent="0.35">
      <c r="A93" s="18">
        <v>45597</v>
      </c>
      <c r="B93" s="2" t="s">
        <v>55</v>
      </c>
      <c r="C93" s="16">
        <v>742000</v>
      </c>
    </row>
    <row r="94" spans="1:3" x14ac:dyDescent="0.35">
      <c r="A94" s="18">
        <v>45627</v>
      </c>
      <c r="B94" s="2" t="s">
        <v>42</v>
      </c>
      <c r="C94" s="16">
        <v>704000</v>
      </c>
    </row>
    <row r="95" spans="1:3" x14ac:dyDescent="0.35">
      <c r="A95" s="18">
        <v>45627</v>
      </c>
      <c r="B95" s="2" t="s">
        <v>47</v>
      </c>
      <c r="C95" s="16">
        <v>794000</v>
      </c>
    </row>
    <row r="96" spans="1:3" x14ac:dyDescent="0.35">
      <c r="A96" s="18">
        <v>45627</v>
      </c>
      <c r="B96" s="2" t="s">
        <v>51</v>
      </c>
      <c r="C96" s="16">
        <v>512000</v>
      </c>
    </row>
    <row r="97" spans="1:3" x14ac:dyDescent="0.35">
      <c r="A97" s="19">
        <v>45627</v>
      </c>
      <c r="B97" s="14" t="s">
        <v>55</v>
      </c>
      <c r="C97" s="17">
        <v>742000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743"/>
  <sheetViews>
    <sheetView topLeftCell="B1" workbookViewId="0">
      <pane ySplit="1" topLeftCell="A726" activePane="bottomLeft" state="frozen"/>
      <selection pane="bottomLeft" sqref="A1:L743"/>
    </sheetView>
  </sheetViews>
  <sheetFormatPr defaultRowHeight="14.5" x14ac:dyDescent="0.35"/>
  <cols>
    <col min="1" max="3" width="15" customWidth="1"/>
    <col min="4" max="4" width="16.08984375" customWidth="1"/>
    <col min="5" max="12" width="15" customWidth="1"/>
  </cols>
  <sheetData>
    <row r="1" spans="1:15" x14ac:dyDescent="0.35">
      <c r="A1" s="9" t="s">
        <v>0</v>
      </c>
      <c r="B1" s="10" t="s">
        <v>1</v>
      </c>
      <c r="C1" s="10" t="s">
        <v>2</v>
      </c>
      <c r="D1" s="10" t="s">
        <v>22</v>
      </c>
      <c r="E1" s="10" t="s">
        <v>23</v>
      </c>
      <c r="F1" s="10" t="s">
        <v>24</v>
      </c>
      <c r="G1" s="10" t="s">
        <v>3</v>
      </c>
      <c r="H1" s="10" t="s">
        <v>38</v>
      </c>
      <c r="I1" s="10" t="s">
        <v>39</v>
      </c>
      <c r="J1" s="10" t="s">
        <v>40</v>
      </c>
      <c r="K1" s="10" t="s">
        <v>4</v>
      </c>
      <c r="L1" s="10" t="s">
        <v>61</v>
      </c>
    </row>
    <row r="2" spans="1:15" x14ac:dyDescent="0.35">
      <c r="A2" s="7">
        <v>1009</v>
      </c>
      <c r="B2" s="1">
        <v>44928</v>
      </c>
      <c r="C2" s="2" t="s">
        <v>5</v>
      </c>
      <c r="D2" t="str">
        <f>_xlfn.XLOOKUP(Merged_Sales_Data!C2,PM[Product ID],PM[Product Name])</f>
        <v>Ergo Office Chair</v>
      </c>
      <c r="E2" t="str">
        <f>VLOOKUP(C2,PM[],3,FALSE)</f>
        <v>Office Supplies</v>
      </c>
      <c r="F2">
        <f>_xlfn.XLOOKUP(C2,PM[Product ID],PM[Unit Price (₹)])</f>
        <v>6750</v>
      </c>
      <c r="G2" s="2" t="s">
        <v>15</v>
      </c>
      <c r="H2" t="str">
        <f>_xlfn.XLOOKUP(G2,SM[Employee ID],SM[Salesperson])</f>
        <v>Aditya Kapoor</v>
      </c>
      <c r="I2" t="str">
        <f>_xlfn.XLOOKUP(G2,SM[Employee ID],SM[Region])</f>
        <v>West</v>
      </c>
      <c r="J2" t="str">
        <f>_xlfn.XLOOKUP(G2,SM[Employee ID],SM[State/City])</f>
        <v>Mumbai</v>
      </c>
      <c r="K2" s="2">
        <v>1</v>
      </c>
      <c r="L2">
        <f>F2*K2</f>
        <v>6750</v>
      </c>
    </row>
    <row r="3" spans="1:15" x14ac:dyDescent="0.35">
      <c r="A3" s="7">
        <v>1004</v>
      </c>
      <c r="B3" s="1">
        <v>44930</v>
      </c>
      <c r="C3" s="2" t="s">
        <v>5</v>
      </c>
      <c r="D3" t="str">
        <f>_xlfn.XLOOKUP(Merged_Sales_Data!C3,PM[Product ID],PM[Product Name])</f>
        <v>Ergo Office Chair</v>
      </c>
      <c r="E3" t="str">
        <f>VLOOKUP(C3,PM[],3,FALSE)</f>
        <v>Office Supplies</v>
      </c>
      <c r="F3">
        <f>_xlfn.XLOOKUP(C3,PM[Product ID],PM[Unit Price (₹)])</f>
        <v>6750</v>
      </c>
      <c r="G3" s="2" t="s">
        <v>6</v>
      </c>
      <c r="H3" t="str">
        <f>_xlfn.XLOOKUP(G3,SM[Employee ID],SM[Salesperson])</f>
        <v>Sneha Roy</v>
      </c>
      <c r="I3" t="str">
        <f>_xlfn.XLOOKUP(G3,SM[Employee ID],SM[Region])</f>
        <v>East</v>
      </c>
      <c r="J3" t="str">
        <f>_xlfn.XLOOKUP(G3,SM[Employee ID],SM[State/City])</f>
        <v>Kolkata</v>
      </c>
      <c r="K3" s="2">
        <v>1</v>
      </c>
      <c r="L3">
        <f t="shared" ref="L3:L66" si="0">F3*K3</f>
        <v>6750</v>
      </c>
    </row>
    <row r="4" spans="1:15" x14ac:dyDescent="0.35">
      <c r="A4" s="7">
        <v>1001</v>
      </c>
      <c r="B4" s="1">
        <v>44934</v>
      </c>
      <c r="C4" s="2" t="s">
        <v>8</v>
      </c>
      <c r="D4" t="str">
        <f>_xlfn.XLOOKUP(Merged_Sales_Data!C4,PM[Product ID],PM[Product Name])</f>
        <v>USB-C Hub</v>
      </c>
      <c r="E4" t="str">
        <f>VLOOKUP(C4,PM[],3,FALSE)</f>
        <v>Accessories</v>
      </c>
      <c r="F4">
        <f>_xlfn.XLOOKUP(C4,PM[Product ID],PM[Unit Price (₹)])</f>
        <v>880</v>
      </c>
      <c r="G4" s="2" t="s">
        <v>17</v>
      </c>
      <c r="H4" t="str">
        <f>_xlfn.XLOOKUP(G4,SM[Employee ID],SM[Salesperson])</f>
        <v>Neha Joshi</v>
      </c>
      <c r="I4" t="str">
        <f>_xlfn.XLOOKUP(G4,SM[Employee ID],SM[Region])</f>
        <v>West</v>
      </c>
      <c r="J4" t="str">
        <f>_xlfn.XLOOKUP(G4,SM[Employee ID],SM[State/City])</f>
        <v>Ahmedabad</v>
      </c>
      <c r="K4" s="2">
        <v>6</v>
      </c>
      <c r="L4">
        <f t="shared" si="0"/>
        <v>5280</v>
      </c>
    </row>
    <row r="5" spans="1:15" x14ac:dyDescent="0.35">
      <c r="A5" s="7">
        <v>1003</v>
      </c>
      <c r="B5" s="1">
        <v>44935</v>
      </c>
      <c r="C5" s="2" t="s">
        <v>10</v>
      </c>
      <c r="D5" t="str">
        <f>_xlfn.XLOOKUP(Merged_Sales_Data!C5,PM[Product ID],PM[Product Name])</f>
        <v>Filing Cabinet</v>
      </c>
      <c r="E5" t="str">
        <f>VLOOKUP(C5,PM[],3,FALSE)</f>
        <v>Furniture</v>
      </c>
      <c r="F5">
        <f>_xlfn.XLOOKUP(C5,PM[Product ID],PM[Unit Price (₹)])</f>
        <v>4070</v>
      </c>
      <c r="G5" s="2" t="s">
        <v>17</v>
      </c>
      <c r="H5" t="str">
        <f>_xlfn.XLOOKUP(G5,SM[Employee ID],SM[Salesperson])</f>
        <v>Neha Joshi</v>
      </c>
      <c r="I5" t="str">
        <f>_xlfn.XLOOKUP(G5,SM[Employee ID],SM[Region])</f>
        <v>West</v>
      </c>
      <c r="J5" t="str">
        <f>_xlfn.XLOOKUP(G5,SM[Employee ID],SM[State/City])</f>
        <v>Ahmedabad</v>
      </c>
      <c r="K5" s="2">
        <v>6</v>
      </c>
      <c r="L5">
        <f t="shared" si="0"/>
        <v>24420</v>
      </c>
    </row>
    <row r="6" spans="1:15" x14ac:dyDescent="0.35">
      <c r="A6" s="7">
        <v>1011</v>
      </c>
      <c r="B6" s="1">
        <v>44935</v>
      </c>
      <c r="C6" s="2" t="s">
        <v>11</v>
      </c>
      <c r="D6" t="str">
        <f>_xlfn.XLOOKUP(Merged_Sales_Data!C6,PM[Product ID],PM[Product Name])</f>
        <v>Bluetooth Speaker</v>
      </c>
      <c r="E6" t="str">
        <f>VLOOKUP(C6,PM[],3,FALSE)</f>
        <v>Electronics</v>
      </c>
      <c r="F6">
        <f>_xlfn.XLOOKUP(C6,PM[Product ID],PM[Unit Price (₹)])</f>
        <v>1430</v>
      </c>
      <c r="G6" s="2" t="s">
        <v>6</v>
      </c>
      <c r="H6" t="str">
        <f>_xlfn.XLOOKUP(G6,SM[Employee ID],SM[Salesperson])</f>
        <v>Sneha Roy</v>
      </c>
      <c r="I6" t="str">
        <f>_xlfn.XLOOKUP(G6,SM[Employee ID],SM[Region])</f>
        <v>East</v>
      </c>
      <c r="J6" t="str">
        <f>_xlfn.XLOOKUP(G6,SM[Employee ID],SM[State/City])</f>
        <v>Kolkata</v>
      </c>
      <c r="K6" s="2">
        <v>10</v>
      </c>
      <c r="L6">
        <f t="shared" si="0"/>
        <v>14300</v>
      </c>
      <c r="O6">
        <f>SUM(Sales[Order ID])</f>
        <v>1017653</v>
      </c>
    </row>
    <row r="7" spans="1:15" x14ac:dyDescent="0.35">
      <c r="A7" s="7">
        <v>1013</v>
      </c>
      <c r="B7" s="1">
        <v>44935</v>
      </c>
      <c r="C7" s="2" t="s">
        <v>5</v>
      </c>
      <c r="D7" t="str">
        <f>_xlfn.XLOOKUP(Merged_Sales_Data!C7,PM[Product ID],PM[Product Name])</f>
        <v>Ergo Office Chair</v>
      </c>
      <c r="E7" t="str">
        <f>VLOOKUP(C7,PM[],3,FALSE)</f>
        <v>Office Supplies</v>
      </c>
      <c r="F7">
        <f>_xlfn.XLOOKUP(C7,PM[Product ID],PM[Unit Price (₹)])</f>
        <v>6750</v>
      </c>
      <c r="G7" s="2" t="s">
        <v>6</v>
      </c>
      <c r="H7" t="str">
        <f>_xlfn.XLOOKUP(G7,SM[Employee ID],SM[Salesperson])</f>
        <v>Sneha Roy</v>
      </c>
      <c r="I7" t="str">
        <f>_xlfn.XLOOKUP(G7,SM[Employee ID],SM[Region])</f>
        <v>East</v>
      </c>
      <c r="J7" t="str">
        <f>_xlfn.XLOOKUP(G7,SM[Employee ID],SM[State/City])</f>
        <v>Kolkata</v>
      </c>
      <c r="K7" s="2">
        <v>8</v>
      </c>
      <c r="L7">
        <f t="shared" si="0"/>
        <v>54000</v>
      </c>
    </row>
    <row r="8" spans="1:15" x14ac:dyDescent="0.35">
      <c r="A8" s="7">
        <v>1018</v>
      </c>
      <c r="B8" s="1">
        <v>44935</v>
      </c>
      <c r="C8" s="2" t="s">
        <v>12</v>
      </c>
      <c r="D8" t="str">
        <f>_xlfn.XLOOKUP(Merged_Sales_Data!C8,PM[Product ID],PM[Product Name])</f>
        <v>Bookshelf Unit</v>
      </c>
      <c r="E8" t="str">
        <f>VLOOKUP(C8,PM[],3,FALSE)</f>
        <v>Furniture</v>
      </c>
      <c r="F8">
        <f>_xlfn.XLOOKUP(C8,PM[Product ID],PM[Unit Price (₹)])</f>
        <v>3910</v>
      </c>
      <c r="G8" s="2" t="s">
        <v>17</v>
      </c>
      <c r="H8" t="str">
        <f>_xlfn.XLOOKUP(G8,SM[Employee ID],SM[Salesperson])</f>
        <v>Neha Joshi</v>
      </c>
      <c r="I8" t="str">
        <f>_xlfn.XLOOKUP(G8,SM[Employee ID],SM[Region])</f>
        <v>West</v>
      </c>
      <c r="J8" t="str">
        <f>_xlfn.XLOOKUP(G8,SM[Employee ID],SM[State/City])</f>
        <v>Ahmedabad</v>
      </c>
      <c r="K8" s="2">
        <v>4</v>
      </c>
      <c r="L8">
        <f t="shared" si="0"/>
        <v>15640</v>
      </c>
    </row>
    <row r="9" spans="1:15" x14ac:dyDescent="0.35">
      <c r="A9" s="7">
        <v>1021</v>
      </c>
      <c r="B9" s="1">
        <v>44935</v>
      </c>
      <c r="C9" s="2" t="s">
        <v>14</v>
      </c>
      <c r="D9" t="str">
        <f>_xlfn.XLOOKUP(Merged_Sales_Data!C9,PM[Product ID],PM[Product Name])</f>
        <v>Laptop Backpack</v>
      </c>
      <c r="E9" t="str">
        <f>VLOOKUP(C9,PM[],3,FALSE)</f>
        <v>Accessories</v>
      </c>
      <c r="F9">
        <f>_xlfn.XLOOKUP(C9,PM[Product ID],PM[Unit Price (₹)])</f>
        <v>1110</v>
      </c>
      <c r="G9" s="2" t="s">
        <v>9</v>
      </c>
      <c r="H9" t="str">
        <f>_xlfn.XLOOKUP(G9,SM[Employee ID],SM[Salesperson])</f>
        <v>Priya Nair</v>
      </c>
      <c r="I9" t="str">
        <f>_xlfn.XLOOKUP(G9,SM[Employee ID],SM[Region])</f>
        <v>South</v>
      </c>
      <c r="J9" t="str">
        <f>_xlfn.XLOOKUP(G9,SM[Employee ID],SM[State/City])</f>
        <v>Bengaluru</v>
      </c>
      <c r="K9" s="2">
        <v>1</v>
      </c>
      <c r="L9">
        <f t="shared" si="0"/>
        <v>1110</v>
      </c>
    </row>
    <row r="10" spans="1:15" x14ac:dyDescent="0.35">
      <c r="A10" s="7">
        <v>1008</v>
      </c>
      <c r="B10" s="1">
        <v>44936</v>
      </c>
      <c r="C10" s="2" t="s">
        <v>11</v>
      </c>
      <c r="D10" t="str">
        <f>_xlfn.XLOOKUP(Merged_Sales_Data!C10,PM[Product ID],PM[Product Name])</f>
        <v>Bluetooth Speaker</v>
      </c>
      <c r="E10" t="str">
        <f>VLOOKUP(C10,PM[],3,FALSE)</f>
        <v>Electronics</v>
      </c>
      <c r="F10">
        <f>_xlfn.XLOOKUP(C10,PM[Product ID],PM[Unit Price (₹)])</f>
        <v>1430</v>
      </c>
      <c r="G10" s="2" t="s">
        <v>19</v>
      </c>
      <c r="H10" t="str">
        <f>_xlfn.XLOOKUP(G10,SM[Employee ID],SM[Salesperson])</f>
        <v>Karan Malhotra</v>
      </c>
      <c r="I10" t="str">
        <f>_xlfn.XLOOKUP(G10,SM[Employee ID],SM[Region])</f>
        <v>East</v>
      </c>
      <c r="J10" t="str">
        <f>_xlfn.XLOOKUP(G10,SM[Employee ID],SM[State/City])</f>
        <v>Kolkata</v>
      </c>
      <c r="K10" s="2">
        <v>4</v>
      </c>
      <c r="L10">
        <f t="shared" si="0"/>
        <v>5720</v>
      </c>
    </row>
    <row r="11" spans="1:15" x14ac:dyDescent="0.35">
      <c r="A11" s="7">
        <v>1005</v>
      </c>
      <c r="B11" s="1">
        <v>44938</v>
      </c>
      <c r="C11" s="2" t="s">
        <v>10</v>
      </c>
      <c r="D11" t="str">
        <f>_xlfn.XLOOKUP(Merged_Sales_Data!C11,PM[Product ID],PM[Product Name])</f>
        <v>Filing Cabinet</v>
      </c>
      <c r="E11" t="str">
        <f>VLOOKUP(C11,PM[],3,FALSE)</f>
        <v>Furniture</v>
      </c>
      <c r="F11">
        <f>_xlfn.XLOOKUP(C11,PM[Product ID],PM[Unit Price (₹)])</f>
        <v>4070</v>
      </c>
      <c r="G11" s="2" t="s">
        <v>16</v>
      </c>
      <c r="H11" t="str">
        <f>_xlfn.XLOOKUP(G11,SM[Employee ID],SM[Salesperson])</f>
        <v>Ishita Verma</v>
      </c>
      <c r="I11" t="str">
        <f>_xlfn.XLOOKUP(G11,SM[Employee ID],SM[Region])</f>
        <v>North</v>
      </c>
      <c r="J11" t="str">
        <f>_xlfn.XLOOKUP(G11,SM[Employee ID],SM[State/City])</f>
        <v>Chandigarh</v>
      </c>
      <c r="K11" s="2">
        <v>2</v>
      </c>
      <c r="L11">
        <f t="shared" si="0"/>
        <v>8140</v>
      </c>
    </row>
    <row r="12" spans="1:15" x14ac:dyDescent="0.35">
      <c r="A12" s="7">
        <v>1012</v>
      </c>
      <c r="B12" s="1">
        <v>44938</v>
      </c>
      <c r="C12" s="2" t="s">
        <v>12</v>
      </c>
      <c r="D12" t="str">
        <f>_xlfn.XLOOKUP(Merged_Sales_Data!C12,PM[Product ID],PM[Product Name])</f>
        <v>Bookshelf Unit</v>
      </c>
      <c r="E12" t="str">
        <f>VLOOKUP(C12,PM[],3,FALSE)</f>
        <v>Furniture</v>
      </c>
      <c r="F12">
        <f>_xlfn.XLOOKUP(C12,PM[Product ID],PM[Unit Price (₹)])</f>
        <v>3910</v>
      </c>
      <c r="G12" s="2" t="s">
        <v>7</v>
      </c>
      <c r="H12" t="str">
        <f>_xlfn.XLOOKUP(G12,SM[Employee ID],SM[Salesperson])</f>
        <v>Rohan Mehta</v>
      </c>
      <c r="I12" t="str">
        <f>_xlfn.XLOOKUP(G12,SM[Employee ID],SM[Region])</f>
        <v>South</v>
      </c>
      <c r="J12" t="str">
        <f>_xlfn.XLOOKUP(G12,SM[Employee ID],SM[State/City])</f>
        <v>Bengaluru</v>
      </c>
      <c r="K12" s="2">
        <v>10</v>
      </c>
      <c r="L12">
        <f t="shared" si="0"/>
        <v>39100</v>
      </c>
    </row>
    <row r="13" spans="1:15" x14ac:dyDescent="0.35">
      <c r="A13" s="7">
        <v>1015</v>
      </c>
      <c r="B13" s="1">
        <v>44939</v>
      </c>
      <c r="C13" s="2" t="s">
        <v>18</v>
      </c>
      <c r="D13" t="str">
        <f>_xlfn.XLOOKUP(Merged_Sales_Data!C13,PM[Product ID],PM[Product Name])</f>
        <v>LED Monitor 24"</v>
      </c>
      <c r="E13" t="str">
        <f>VLOOKUP(C13,PM[],3,FALSE)</f>
        <v>Electronics</v>
      </c>
      <c r="F13">
        <f>_xlfn.XLOOKUP(C13,PM[Product ID],PM[Unit Price (₹)])</f>
        <v>7700</v>
      </c>
      <c r="G13" s="2" t="s">
        <v>15</v>
      </c>
      <c r="H13" t="str">
        <f>_xlfn.XLOOKUP(G13,SM[Employee ID],SM[Salesperson])</f>
        <v>Aditya Kapoor</v>
      </c>
      <c r="I13" t="str">
        <f>_xlfn.XLOOKUP(G13,SM[Employee ID],SM[Region])</f>
        <v>West</v>
      </c>
      <c r="J13" t="str">
        <f>_xlfn.XLOOKUP(G13,SM[Employee ID],SM[State/City])</f>
        <v>Mumbai</v>
      </c>
      <c r="K13" s="2">
        <v>2</v>
      </c>
      <c r="L13">
        <f t="shared" si="0"/>
        <v>15400</v>
      </c>
    </row>
    <row r="14" spans="1:15" x14ac:dyDescent="0.35">
      <c r="A14" s="7">
        <v>1020</v>
      </c>
      <c r="B14" s="1">
        <v>44942</v>
      </c>
      <c r="C14" s="2" t="s">
        <v>5</v>
      </c>
      <c r="D14" t="str">
        <f>_xlfn.XLOOKUP(Merged_Sales_Data!C14,PM[Product ID],PM[Product Name])</f>
        <v>Ergo Office Chair</v>
      </c>
      <c r="E14" t="str">
        <f>VLOOKUP(C14,PM[],3,FALSE)</f>
        <v>Office Supplies</v>
      </c>
      <c r="F14">
        <f>_xlfn.XLOOKUP(C14,PM[Product ID],PM[Unit Price (₹)])</f>
        <v>6750</v>
      </c>
      <c r="G14" s="2" t="s">
        <v>19</v>
      </c>
      <c r="H14" t="str">
        <f>_xlfn.XLOOKUP(G14,SM[Employee ID],SM[Salesperson])</f>
        <v>Karan Malhotra</v>
      </c>
      <c r="I14" t="str">
        <f>_xlfn.XLOOKUP(G14,SM[Employee ID],SM[Region])</f>
        <v>East</v>
      </c>
      <c r="J14" t="str">
        <f>_xlfn.XLOOKUP(G14,SM[Employee ID],SM[State/City])</f>
        <v>Kolkata</v>
      </c>
      <c r="K14" s="2">
        <v>6</v>
      </c>
      <c r="L14">
        <f t="shared" si="0"/>
        <v>40500</v>
      </c>
    </row>
    <row r="15" spans="1:15" x14ac:dyDescent="0.35">
      <c r="A15" s="7">
        <v>1022</v>
      </c>
      <c r="B15" s="1">
        <v>44944</v>
      </c>
      <c r="C15" s="2" t="s">
        <v>5</v>
      </c>
      <c r="D15" t="str">
        <f>_xlfn.XLOOKUP(Merged_Sales_Data!C15,PM[Product ID],PM[Product Name])</f>
        <v>Ergo Office Chair</v>
      </c>
      <c r="E15" t="str">
        <f>VLOOKUP(C15,PM[],3,FALSE)</f>
        <v>Office Supplies</v>
      </c>
      <c r="F15">
        <f>_xlfn.XLOOKUP(C15,PM[Product ID],PM[Unit Price (₹)])</f>
        <v>6750</v>
      </c>
      <c r="G15" s="2" t="s">
        <v>15</v>
      </c>
      <c r="H15" t="str">
        <f>_xlfn.XLOOKUP(G15,SM[Employee ID],SM[Salesperson])</f>
        <v>Aditya Kapoor</v>
      </c>
      <c r="I15" t="str">
        <f>_xlfn.XLOOKUP(G15,SM[Employee ID],SM[Region])</f>
        <v>West</v>
      </c>
      <c r="J15" t="str">
        <f>_xlfn.XLOOKUP(G15,SM[Employee ID],SM[State/City])</f>
        <v>Mumbai</v>
      </c>
      <c r="K15" s="2">
        <v>1</v>
      </c>
      <c r="L15">
        <f t="shared" si="0"/>
        <v>6750</v>
      </c>
    </row>
    <row r="16" spans="1:15" x14ac:dyDescent="0.35">
      <c r="A16" s="7">
        <v>1016</v>
      </c>
      <c r="B16" s="1">
        <v>44948</v>
      </c>
      <c r="C16" s="2" t="s">
        <v>8</v>
      </c>
      <c r="D16" t="str">
        <f>_xlfn.XLOOKUP(Merged_Sales_Data!C16,PM[Product ID],PM[Product Name])</f>
        <v>USB-C Hub</v>
      </c>
      <c r="E16" t="str">
        <f>VLOOKUP(C16,PM[],3,FALSE)</f>
        <v>Accessories</v>
      </c>
      <c r="F16">
        <f>_xlfn.XLOOKUP(C16,PM[Product ID],PM[Unit Price (₹)])</f>
        <v>880</v>
      </c>
      <c r="G16" s="2" t="s">
        <v>6</v>
      </c>
      <c r="H16" t="str">
        <f>_xlfn.XLOOKUP(G16,SM[Employee ID],SM[Salesperson])</f>
        <v>Sneha Roy</v>
      </c>
      <c r="I16" t="str">
        <f>_xlfn.XLOOKUP(G16,SM[Employee ID],SM[Region])</f>
        <v>East</v>
      </c>
      <c r="J16" t="str">
        <f>_xlfn.XLOOKUP(G16,SM[Employee ID],SM[State/City])</f>
        <v>Kolkata</v>
      </c>
      <c r="K16" s="2">
        <v>10</v>
      </c>
      <c r="L16">
        <f t="shared" si="0"/>
        <v>8800</v>
      </c>
    </row>
    <row r="17" spans="1:12" x14ac:dyDescent="0.35">
      <c r="A17" s="7">
        <v>1006</v>
      </c>
      <c r="B17" s="1">
        <v>44950</v>
      </c>
      <c r="C17" s="2" t="s">
        <v>20</v>
      </c>
      <c r="D17" t="str">
        <f>_xlfn.XLOOKUP(Merged_Sales_Data!C17,PM[Product ID],PM[Product Name])</f>
        <v>Standing Desk</v>
      </c>
      <c r="E17" t="str">
        <f>VLOOKUP(C17,PM[],3,FALSE)</f>
        <v>Office Supplies</v>
      </c>
      <c r="F17">
        <f>_xlfn.XLOOKUP(C17,PM[Product ID],PM[Unit Price (₹)])</f>
        <v>11010</v>
      </c>
      <c r="G17" s="2" t="s">
        <v>15</v>
      </c>
      <c r="H17" t="str">
        <f>_xlfn.XLOOKUP(G17,SM[Employee ID],SM[Salesperson])</f>
        <v>Aditya Kapoor</v>
      </c>
      <c r="I17" t="str">
        <f>_xlfn.XLOOKUP(G17,SM[Employee ID],SM[Region])</f>
        <v>West</v>
      </c>
      <c r="J17" t="str">
        <f>_xlfn.XLOOKUP(G17,SM[Employee ID],SM[State/City])</f>
        <v>Mumbai</v>
      </c>
      <c r="K17" s="2">
        <v>1</v>
      </c>
      <c r="L17">
        <f t="shared" si="0"/>
        <v>11010</v>
      </c>
    </row>
    <row r="18" spans="1:12" x14ac:dyDescent="0.35">
      <c r="A18" s="7">
        <v>1014</v>
      </c>
      <c r="B18" s="1">
        <v>44950</v>
      </c>
      <c r="C18" s="2" t="s">
        <v>18</v>
      </c>
      <c r="D18" t="str">
        <f>_xlfn.XLOOKUP(Merged_Sales_Data!C18,PM[Product ID],PM[Product Name])</f>
        <v>LED Monitor 24"</v>
      </c>
      <c r="E18" t="str">
        <f>VLOOKUP(C18,PM[],3,FALSE)</f>
        <v>Electronics</v>
      </c>
      <c r="F18">
        <f>_xlfn.XLOOKUP(C18,PM[Product ID],PM[Unit Price (₹)])</f>
        <v>7700</v>
      </c>
      <c r="G18" s="2" t="s">
        <v>13</v>
      </c>
      <c r="H18" t="str">
        <f>_xlfn.XLOOKUP(G18,SM[Employee ID],SM[Salesperson])</f>
        <v>Aarav Sharma</v>
      </c>
      <c r="I18" t="str">
        <f>_xlfn.XLOOKUP(G18,SM[Employee ID],SM[Region])</f>
        <v>North</v>
      </c>
      <c r="J18" t="str">
        <f>_xlfn.XLOOKUP(G18,SM[Employee ID],SM[State/City])</f>
        <v>Lucknow</v>
      </c>
      <c r="K18" s="2">
        <v>1</v>
      </c>
      <c r="L18">
        <f t="shared" si="0"/>
        <v>7700</v>
      </c>
    </row>
    <row r="19" spans="1:12" x14ac:dyDescent="0.35">
      <c r="A19" s="7">
        <v>1002</v>
      </c>
      <c r="B19" s="1">
        <v>44951</v>
      </c>
      <c r="C19" s="2" t="s">
        <v>20</v>
      </c>
      <c r="D19" t="str">
        <f>_xlfn.XLOOKUP(Merged_Sales_Data!C19,PM[Product ID],PM[Product Name])</f>
        <v>Standing Desk</v>
      </c>
      <c r="E19" t="str">
        <f>VLOOKUP(C19,PM[],3,FALSE)</f>
        <v>Office Supplies</v>
      </c>
      <c r="F19">
        <f>_xlfn.XLOOKUP(C19,PM[Product ID],PM[Unit Price (₹)])</f>
        <v>11010</v>
      </c>
      <c r="G19" s="2" t="s">
        <v>13</v>
      </c>
      <c r="H19" t="str">
        <f>_xlfn.XLOOKUP(G19,SM[Employee ID],SM[Salesperson])</f>
        <v>Aarav Sharma</v>
      </c>
      <c r="I19" t="str">
        <f>_xlfn.XLOOKUP(G19,SM[Employee ID],SM[Region])</f>
        <v>North</v>
      </c>
      <c r="J19" t="str">
        <f>_xlfn.XLOOKUP(G19,SM[Employee ID],SM[State/City])</f>
        <v>Lucknow</v>
      </c>
      <c r="K19" s="2">
        <v>3</v>
      </c>
      <c r="L19">
        <f t="shared" si="0"/>
        <v>33030</v>
      </c>
    </row>
    <row r="20" spans="1:12" x14ac:dyDescent="0.35">
      <c r="A20" s="7">
        <v>1017</v>
      </c>
      <c r="B20" s="1">
        <v>44953</v>
      </c>
      <c r="C20" s="2" t="s">
        <v>21</v>
      </c>
      <c r="D20" t="str">
        <f>_xlfn.XLOOKUP(Merged_Sales_Data!C20,PM[Product ID],PM[Product Name])</f>
        <v>Wireless Mouse</v>
      </c>
      <c r="E20" t="str">
        <f>VLOOKUP(C20,PM[],3,FALSE)</f>
        <v>Electronics</v>
      </c>
      <c r="F20">
        <f>_xlfn.XLOOKUP(C20,PM[Product ID],PM[Unit Price (₹)])</f>
        <v>780</v>
      </c>
      <c r="G20" t="str">
        <f>_xlfn.XLOOKUP(Sales[[#This Row],[Order ID]],ST[Order ID],ST[Employee ID])</f>
        <v>E06</v>
      </c>
      <c r="H20" t="str">
        <f>_xlfn.XLOOKUP(G20,SM[Employee ID],SM[Salesperson])</f>
        <v>Sneha Roy</v>
      </c>
      <c r="I20" t="str">
        <f>_xlfn.XLOOKUP(G20,SM[Employee ID],SM[Region])</f>
        <v>East</v>
      </c>
      <c r="J20" t="str">
        <f>_xlfn.XLOOKUP(G20,SM[Employee ID],SM[State/City])</f>
        <v>Kolkata</v>
      </c>
      <c r="K20" s="2">
        <f>_xlfn.XLOOKUP(Sales[[#This Row],[Order ID]],ST[Order ID],ST[Units Sold])</f>
        <v>2</v>
      </c>
      <c r="L20">
        <f t="shared" si="0"/>
        <v>1560</v>
      </c>
    </row>
    <row r="21" spans="1:12" x14ac:dyDescent="0.35">
      <c r="A21" s="7">
        <v>1010</v>
      </c>
      <c r="B21" s="1">
        <v>44954</v>
      </c>
      <c r="C21" s="2" t="s">
        <v>20</v>
      </c>
      <c r="D21" t="str">
        <f>_xlfn.XLOOKUP(Merged_Sales_Data!C21,PM[Product ID],PM[Product Name])</f>
        <v>Standing Desk</v>
      </c>
      <c r="E21" t="str">
        <f>VLOOKUP(C21,PM[],3,FALSE)</f>
        <v>Office Supplies</v>
      </c>
      <c r="F21">
        <f>_xlfn.XLOOKUP(C21,PM[Product ID],PM[Unit Price (₹)])</f>
        <v>11010</v>
      </c>
      <c r="G21" t="str">
        <f>_xlfn.XLOOKUP(Sales[[#This Row],[Order ID]],ST[Order ID],ST[Employee ID])</f>
        <v>E04</v>
      </c>
      <c r="H21" t="str">
        <f>_xlfn.XLOOKUP(G21,SM[Employee ID],SM[Salesperson])</f>
        <v>Priya Nair</v>
      </c>
      <c r="I21" t="str">
        <f>_xlfn.XLOOKUP(G21,SM[Employee ID],SM[Region])</f>
        <v>South</v>
      </c>
      <c r="J21" t="str">
        <f>_xlfn.XLOOKUP(G21,SM[Employee ID],SM[State/City])</f>
        <v>Bengaluru</v>
      </c>
      <c r="K21" s="2">
        <f>_xlfn.XLOOKUP(Sales[[#This Row],[Order ID]],ST[Order ID],ST[Units Sold])</f>
        <v>1</v>
      </c>
      <c r="L21">
        <f t="shared" si="0"/>
        <v>11010</v>
      </c>
    </row>
    <row r="22" spans="1:12" x14ac:dyDescent="0.35">
      <c r="A22" s="7">
        <v>1019</v>
      </c>
      <c r="B22" s="1">
        <v>44955</v>
      </c>
      <c r="C22" s="2" t="s">
        <v>5</v>
      </c>
      <c r="D22" t="str">
        <f>_xlfn.XLOOKUP(Merged_Sales_Data!C22,PM[Product ID],PM[Product Name])</f>
        <v>Ergo Office Chair</v>
      </c>
      <c r="E22" t="str">
        <f>VLOOKUP(C22,PM[],3,FALSE)</f>
        <v>Office Supplies</v>
      </c>
      <c r="F22">
        <f>_xlfn.XLOOKUP(C22,PM[Product ID],PM[Unit Price (₹)])</f>
        <v>6750</v>
      </c>
      <c r="G22" t="str">
        <f>_xlfn.XLOOKUP(Sales[[#This Row],[Order ID]],ST[Order ID],ST[Employee ID])</f>
        <v>E02</v>
      </c>
      <c r="H22" t="str">
        <f>_xlfn.XLOOKUP(G22,SM[Employee ID],SM[Salesperson])</f>
        <v>Ishita Verma</v>
      </c>
      <c r="I22" t="str">
        <f>_xlfn.XLOOKUP(G22,SM[Employee ID],SM[Region])</f>
        <v>North</v>
      </c>
      <c r="J22" t="str">
        <f>_xlfn.XLOOKUP(G22,SM[Employee ID],SM[State/City])</f>
        <v>Chandigarh</v>
      </c>
      <c r="K22" s="2">
        <f>_xlfn.XLOOKUP(Sales[[#This Row],[Order ID]],ST[Order ID],ST[Units Sold])</f>
        <v>8</v>
      </c>
      <c r="L22">
        <f t="shared" si="0"/>
        <v>54000</v>
      </c>
    </row>
    <row r="23" spans="1:12" x14ac:dyDescent="0.35">
      <c r="A23" s="7">
        <v>1007</v>
      </c>
      <c r="B23" s="1">
        <v>44956</v>
      </c>
      <c r="C23" s="2" t="s">
        <v>8</v>
      </c>
      <c r="D23" t="str">
        <f>_xlfn.XLOOKUP(Merged_Sales_Data!C23,PM[Product ID],PM[Product Name])</f>
        <v>USB-C Hub</v>
      </c>
      <c r="E23" t="str">
        <f>VLOOKUP(C23,PM[],3,FALSE)</f>
        <v>Accessories</v>
      </c>
      <c r="F23">
        <f>_xlfn.XLOOKUP(C23,PM[Product ID],PM[Unit Price (₹)])</f>
        <v>880</v>
      </c>
      <c r="G23" t="str">
        <f>_xlfn.XLOOKUP(Sales[[#This Row],[Order ID]],ST[Order ID],ST[Employee ID])</f>
        <v>E08</v>
      </c>
      <c r="H23" t="str">
        <f>_xlfn.XLOOKUP(G23,SM[Employee ID],SM[Salesperson])</f>
        <v>Neha Joshi</v>
      </c>
      <c r="I23" t="str">
        <f>_xlfn.XLOOKUP(G23,SM[Employee ID],SM[Region])</f>
        <v>West</v>
      </c>
      <c r="J23" t="str">
        <f>_xlfn.XLOOKUP(G23,SM[Employee ID],SM[State/City])</f>
        <v>Ahmedabad</v>
      </c>
      <c r="K23" s="2">
        <f>_xlfn.XLOOKUP(Sales[[#This Row],[Order ID]],ST[Order ID],ST[Units Sold])</f>
        <v>1</v>
      </c>
      <c r="L23">
        <f t="shared" si="0"/>
        <v>880</v>
      </c>
    </row>
    <row r="24" spans="1:12" x14ac:dyDescent="0.35">
      <c r="A24" s="7">
        <v>1035</v>
      </c>
      <c r="B24" s="1">
        <v>44958</v>
      </c>
      <c r="C24" s="2" t="s">
        <v>8</v>
      </c>
      <c r="D24" t="str">
        <f>_xlfn.XLOOKUP(Merged_Sales_Data!C24,PM[Product ID],PM[Product Name])</f>
        <v>USB-C Hub</v>
      </c>
      <c r="E24" t="str">
        <f>VLOOKUP(C24,PM[],3,FALSE)</f>
        <v>Accessories</v>
      </c>
      <c r="F24">
        <f>_xlfn.XLOOKUP(C24,PM[Product ID],PM[Unit Price (₹)])</f>
        <v>880</v>
      </c>
      <c r="G24" t="str">
        <f>_xlfn.XLOOKUP(Sales[[#This Row],[Order ID]],ST[Order ID],ST[Employee ID])</f>
        <v>E03</v>
      </c>
      <c r="H24" t="str">
        <f>_xlfn.XLOOKUP(G24,SM[Employee ID],SM[Salesperson])</f>
        <v>Rohan Mehta</v>
      </c>
      <c r="I24" t="str">
        <f>_xlfn.XLOOKUP(G24,SM[Employee ID],SM[Region])</f>
        <v>South</v>
      </c>
      <c r="J24" t="str">
        <f>_xlfn.XLOOKUP(G24,SM[Employee ID],SM[State/City])</f>
        <v>Bengaluru</v>
      </c>
      <c r="K24" s="2">
        <f>_xlfn.XLOOKUP(Sales[[#This Row],[Order ID]],ST[Order ID],ST[Units Sold])</f>
        <v>6</v>
      </c>
      <c r="L24">
        <f t="shared" si="0"/>
        <v>5280</v>
      </c>
    </row>
    <row r="25" spans="1:12" x14ac:dyDescent="0.35">
      <c r="A25" s="7">
        <v>1037</v>
      </c>
      <c r="B25" s="1">
        <v>44959</v>
      </c>
      <c r="C25" s="2" t="s">
        <v>20</v>
      </c>
      <c r="D25" t="str">
        <f>_xlfn.XLOOKUP(Merged_Sales_Data!C25,PM[Product ID],PM[Product Name])</f>
        <v>Standing Desk</v>
      </c>
      <c r="E25" t="str">
        <f>VLOOKUP(C25,PM[],3,FALSE)</f>
        <v>Office Supplies</v>
      </c>
      <c r="F25">
        <f>_xlfn.XLOOKUP(C25,PM[Product ID],PM[Unit Price (₹)])</f>
        <v>11010</v>
      </c>
      <c r="G25" t="str">
        <f>_xlfn.XLOOKUP(Sales[[#This Row],[Order ID]],ST[Order ID],ST[Employee ID])</f>
        <v>E06</v>
      </c>
      <c r="H25" t="str">
        <f>_xlfn.XLOOKUP(G25,SM[Employee ID],SM[Salesperson])</f>
        <v>Sneha Roy</v>
      </c>
      <c r="I25" t="str">
        <f>_xlfn.XLOOKUP(G25,SM[Employee ID],SM[Region])</f>
        <v>East</v>
      </c>
      <c r="J25" t="str">
        <f>_xlfn.XLOOKUP(G25,SM[Employee ID],SM[State/City])</f>
        <v>Kolkata</v>
      </c>
      <c r="K25" s="2">
        <f>_xlfn.XLOOKUP(Sales[[#This Row],[Order ID]],ST[Order ID],ST[Units Sold])</f>
        <v>2</v>
      </c>
      <c r="L25">
        <f t="shared" si="0"/>
        <v>22020</v>
      </c>
    </row>
    <row r="26" spans="1:12" x14ac:dyDescent="0.35">
      <c r="A26" s="7">
        <v>1048</v>
      </c>
      <c r="B26" s="1">
        <v>44959</v>
      </c>
      <c r="C26" s="2" t="s">
        <v>5</v>
      </c>
      <c r="D26" t="str">
        <f>_xlfn.XLOOKUP(Merged_Sales_Data!C26,PM[Product ID],PM[Product Name])</f>
        <v>Ergo Office Chair</v>
      </c>
      <c r="E26" t="str">
        <f>VLOOKUP(C26,PM[],3,FALSE)</f>
        <v>Office Supplies</v>
      </c>
      <c r="F26">
        <f>_xlfn.XLOOKUP(C26,PM[Product ID],PM[Unit Price (₹)])</f>
        <v>6750</v>
      </c>
      <c r="G26" t="str">
        <f>_xlfn.XLOOKUP(Sales[[#This Row],[Order ID]],ST[Order ID],ST[Employee ID])</f>
        <v>E01</v>
      </c>
      <c r="H26" t="str">
        <f>_xlfn.XLOOKUP(G26,SM[Employee ID],SM[Salesperson])</f>
        <v>Aarav Sharma</v>
      </c>
      <c r="I26" t="str">
        <f>_xlfn.XLOOKUP(G26,SM[Employee ID],SM[Region])</f>
        <v>North</v>
      </c>
      <c r="J26" t="str">
        <f>_xlfn.XLOOKUP(G26,SM[Employee ID],SM[State/City])</f>
        <v>Lucknow</v>
      </c>
      <c r="K26" s="2">
        <f>_xlfn.XLOOKUP(Sales[[#This Row],[Order ID]],ST[Order ID],ST[Units Sold])</f>
        <v>1</v>
      </c>
      <c r="L26">
        <f t="shared" si="0"/>
        <v>6750</v>
      </c>
    </row>
    <row r="27" spans="1:12" x14ac:dyDescent="0.35">
      <c r="A27" s="7">
        <v>1024</v>
      </c>
      <c r="B27" s="1">
        <v>44960</v>
      </c>
      <c r="C27" s="2" t="s">
        <v>8</v>
      </c>
      <c r="D27" t="str">
        <f>_xlfn.XLOOKUP(Merged_Sales_Data!C27,PM[Product ID],PM[Product Name])</f>
        <v>USB-C Hub</v>
      </c>
      <c r="E27" t="str">
        <f>VLOOKUP(C27,PM[],3,FALSE)</f>
        <v>Accessories</v>
      </c>
      <c r="F27">
        <f>_xlfn.XLOOKUP(C27,PM[Product ID],PM[Unit Price (₹)])</f>
        <v>880</v>
      </c>
      <c r="G27" t="str">
        <f>_xlfn.XLOOKUP(Sales[[#This Row],[Order ID]],ST[Order ID],ST[Employee ID])</f>
        <v>E03</v>
      </c>
      <c r="H27" t="str">
        <f>_xlfn.XLOOKUP(G27,SM[Employee ID],SM[Salesperson])</f>
        <v>Rohan Mehta</v>
      </c>
      <c r="I27" t="str">
        <f>_xlfn.XLOOKUP(G27,SM[Employee ID],SM[Region])</f>
        <v>South</v>
      </c>
      <c r="J27" t="str">
        <f>_xlfn.XLOOKUP(G27,SM[Employee ID],SM[State/City])</f>
        <v>Bengaluru</v>
      </c>
      <c r="K27" s="2">
        <f>_xlfn.XLOOKUP(Sales[[#This Row],[Order ID]],ST[Order ID],ST[Units Sold])</f>
        <v>5</v>
      </c>
      <c r="L27">
        <f t="shared" si="0"/>
        <v>4400</v>
      </c>
    </row>
    <row r="28" spans="1:12" x14ac:dyDescent="0.35">
      <c r="A28" s="7">
        <v>1026</v>
      </c>
      <c r="B28" s="1">
        <v>44960</v>
      </c>
      <c r="C28" s="2" t="s">
        <v>10</v>
      </c>
      <c r="D28" t="str">
        <f>_xlfn.XLOOKUP(Merged_Sales_Data!C28,PM[Product ID],PM[Product Name])</f>
        <v>Filing Cabinet</v>
      </c>
      <c r="E28" t="str">
        <f>VLOOKUP(C28,PM[],3,FALSE)</f>
        <v>Furniture</v>
      </c>
      <c r="F28">
        <f>_xlfn.XLOOKUP(C28,PM[Product ID],PM[Unit Price (₹)])</f>
        <v>4070</v>
      </c>
      <c r="G28" t="str">
        <f>_xlfn.XLOOKUP(Sales[[#This Row],[Order ID]],ST[Order ID],ST[Employee ID])</f>
        <v>E03</v>
      </c>
      <c r="H28" t="str">
        <f>_xlfn.XLOOKUP(G28,SM[Employee ID],SM[Salesperson])</f>
        <v>Rohan Mehta</v>
      </c>
      <c r="I28" t="str">
        <f>_xlfn.XLOOKUP(G28,SM[Employee ID],SM[Region])</f>
        <v>South</v>
      </c>
      <c r="J28" t="str">
        <f>_xlfn.XLOOKUP(G28,SM[Employee ID],SM[State/City])</f>
        <v>Bengaluru</v>
      </c>
      <c r="K28" s="2">
        <f>_xlfn.XLOOKUP(Sales[[#This Row],[Order ID]],ST[Order ID],ST[Units Sold])</f>
        <v>8</v>
      </c>
      <c r="L28">
        <f t="shared" si="0"/>
        <v>32560</v>
      </c>
    </row>
    <row r="29" spans="1:12" x14ac:dyDescent="0.35">
      <c r="A29" s="7">
        <v>1045</v>
      </c>
      <c r="B29" s="1">
        <v>44960</v>
      </c>
      <c r="C29" s="2" t="s">
        <v>5</v>
      </c>
      <c r="D29" t="str">
        <f>_xlfn.XLOOKUP(Merged_Sales_Data!C29,PM[Product ID],PM[Product Name])</f>
        <v>Ergo Office Chair</v>
      </c>
      <c r="E29" t="str">
        <f>VLOOKUP(C29,PM[],3,FALSE)</f>
        <v>Office Supplies</v>
      </c>
      <c r="F29">
        <f>_xlfn.XLOOKUP(C29,PM[Product ID],PM[Unit Price (₹)])</f>
        <v>6750</v>
      </c>
      <c r="G29" t="str">
        <f>_xlfn.XLOOKUP(Sales[[#This Row],[Order ID]],ST[Order ID],ST[Employee ID])</f>
        <v>E02</v>
      </c>
      <c r="H29" t="str">
        <f>_xlfn.XLOOKUP(G29,SM[Employee ID],SM[Salesperson])</f>
        <v>Ishita Verma</v>
      </c>
      <c r="I29" t="str">
        <f>_xlfn.XLOOKUP(G29,SM[Employee ID],SM[Region])</f>
        <v>North</v>
      </c>
      <c r="J29" t="str">
        <f>_xlfn.XLOOKUP(G29,SM[Employee ID],SM[State/City])</f>
        <v>Chandigarh</v>
      </c>
      <c r="K29" s="2">
        <f>_xlfn.XLOOKUP(Sales[[#This Row],[Order ID]],ST[Order ID],ST[Units Sold])</f>
        <v>2</v>
      </c>
      <c r="L29">
        <f t="shared" si="0"/>
        <v>13500</v>
      </c>
    </row>
    <row r="30" spans="1:12" x14ac:dyDescent="0.35">
      <c r="A30" s="7">
        <v>1047</v>
      </c>
      <c r="B30" s="1">
        <v>44960</v>
      </c>
      <c r="C30" s="2" t="s">
        <v>5</v>
      </c>
      <c r="D30" t="str">
        <f>_xlfn.XLOOKUP(Merged_Sales_Data!C30,PM[Product ID],PM[Product Name])</f>
        <v>Ergo Office Chair</v>
      </c>
      <c r="E30" t="str">
        <f>VLOOKUP(C30,PM[],3,FALSE)</f>
        <v>Office Supplies</v>
      </c>
      <c r="F30">
        <f>_xlfn.XLOOKUP(C30,PM[Product ID],PM[Unit Price (₹)])</f>
        <v>6750</v>
      </c>
      <c r="G30" t="str">
        <f>_xlfn.XLOOKUP(Sales[[#This Row],[Order ID]],ST[Order ID],ST[Employee ID])</f>
        <v>E04</v>
      </c>
      <c r="H30" t="str">
        <f>_xlfn.XLOOKUP(G30,SM[Employee ID],SM[Salesperson])</f>
        <v>Priya Nair</v>
      </c>
      <c r="I30" t="str">
        <f>_xlfn.XLOOKUP(G30,SM[Employee ID],SM[Region])</f>
        <v>South</v>
      </c>
      <c r="J30" t="str">
        <f>_xlfn.XLOOKUP(G30,SM[Employee ID],SM[State/City])</f>
        <v>Bengaluru</v>
      </c>
      <c r="K30" s="2">
        <f>_xlfn.XLOOKUP(Sales[[#This Row],[Order ID]],ST[Order ID],ST[Units Sold])</f>
        <v>1</v>
      </c>
      <c r="L30">
        <f t="shared" si="0"/>
        <v>6750</v>
      </c>
    </row>
    <row r="31" spans="1:12" x14ac:dyDescent="0.35">
      <c r="A31" s="7">
        <v>1036</v>
      </c>
      <c r="B31" s="1">
        <v>44961</v>
      </c>
      <c r="C31" s="2" t="s">
        <v>14</v>
      </c>
      <c r="D31" t="str">
        <f>_xlfn.XLOOKUP(Merged_Sales_Data!C31,PM[Product ID],PM[Product Name])</f>
        <v>Laptop Backpack</v>
      </c>
      <c r="E31" t="str">
        <f>VLOOKUP(C31,PM[],3,FALSE)</f>
        <v>Accessories</v>
      </c>
      <c r="F31">
        <f>_xlfn.XLOOKUP(C31,PM[Product ID],PM[Unit Price (₹)])</f>
        <v>1110</v>
      </c>
      <c r="G31" t="str">
        <f>_xlfn.XLOOKUP(Sales[[#This Row],[Order ID]],ST[Order ID],ST[Employee ID])</f>
        <v>E06</v>
      </c>
      <c r="H31" t="str">
        <f>_xlfn.XLOOKUP(G31,SM[Employee ID],SM[Salesperson])</f>
        <v>Sneha Roy</v>
      </c>
      <c r="I31" t="str">
        <f>_xlfn.XLOOKUP(G31,SM[Employee ID],SM[Region])</f>
        <v>East</v>
      </c>
      <c r="J31" t="str">
        <f>_xlfn.XLOOKUP(G31,SM[Employee ID],SM[State/City])</f>
        <v>Kolkata</v>
      </c>
      <c r="K31" s="2">
        <f>_xlfn.XLOOKUP(Sales[[#This Row],[Order ID]],ST[Order ID],ST[Units Sold])</f>
        <v>1</v>
      </c>
      <c r="L31">
        <f t="shared" si="0"/>
        <v>1110</v>
      </c>
    </row>
    <row r="32" spans="1:12" x14ac:dyDescent="0.35">
      <c r="A32" s="7">
        <v>1023</v>
      </c>
      <c r="B32" s="1">
        <v>44965</v>
      </c>
      <c r="C32" s="2" t="s">
        <v>10</v>
      </c>
      <c r="D32" t="str">
        <f>_xlfn.XLOOKUP(Merged_Sales_Data!C32,PM[Product ID],PM[Product Name])</f>
        <v>Filing Cabinet</v>
      </c>
      <c r="E32" t="str">
        <f>VLOOKUP(C32,PM[],3,FALSE)</f>
        <v>Furniture</v>
      </c>
      <c r="F32">
        <f>_xlfn.XLOOKUP(C32,PM[Product ID],PM[Unit Price (₹)])</f>
        <v>4070</v>
      </c>
      <c r="G32" t="str">
        <f>_xlfn.XLOOKUP(Sales[[#This Row],[Order ID]],ST[Order ID],ST[Employee ID])</f>
        <v>E07</v>
      </c>
      <c r="H32" t="str">
        <f>_xlfn.XLOOKUP(G32,SM[Employee ID],SM[Salesperson])</f>
        <v>Aditya Kapoor</v>
      </c>
      <c r="I32" t="str">
        <f>_xlfn.XLOOKUP(G32,SM[Employee ID],SM[Region])</f>
        <v>West</v>
      </c>
      <c r="J32" t="str">
        <f>_xlfn.XLOOKUP(G32,SM[Employee ID],SM[State/City])</f>
        <v>Mumbai</v>
      </c>
      <c r="K32" s="2">
        <f>_xlfn.XLOOKUP(Sales[[#This Row],[Order ID]],ST[Order ID],ST[Units Sold])</f>
        <v>3</v>
      </c>
      <c r="L32">
        <f t="shared" si="0"/>
        <v>12210</v>
      </c>
    </row>
    <row r="33" spans="1:12" x14ac:dyDescent="0.35">
      <c r="A33" s="7">
        <v>1030</v>
      </c>
      <c r="B33" s="1">
        <v>44971</v>
      </c>
      <c r="C33" s="2" t="s">
        <v>11</v>
      </c>
      <c r="D33" t="str">
        <f>_xlfn.XLOOKUP(Merged_Sales_Data!C33,PM[Product ID],PM[Product Name])</f>
        <v>Bluetooth Speaker</v>
      </c>
      <c r="E33" t="str">
        <f>VLOOKUP(C33,PM[],3,FALSE)</f>
        <v>Electronics</v>
      </c>
      <c r="F33">
        <f>_xlfn.XLOOKUP(C33,PM[Product ID],PM[Unit Price (₹)])</f>
        <v>1430</v>
      </c>
      <c r="G33" t="str">
        <f>_xlfn.XLOOKUP(Sales[[#This Row],[Order ID]],ST[Order ID],ST[Employee ID])</f>
        <v>E06</v>
      </c>
      <c r="H33" t="str">
        <f>_xlfn.XLOOKUP(G33,SM[Employee ID],SM[Salesperson])</f>
        <v>Sneha Roy</v>
      </c>
      <c r="I33" t="str">
        <f>_xlfn.XLOOKUP(G33,SM[Employee ID],SM[Region])</f>
        <v>East</v>
      </c>
      <c r="J33" t="str">
        <f>_xlfn.XLOOKUP(G33,SM[Employee ID],SM[State/City])</f>
        <v>Kolkata</v>
      </c>
      <c r="K33" s="2">
        <f>_xlfn.XLOOKUP(Sales[[#This Row],[Order ID]],ST[Order ID],ST[Units Sold])</f>
        <v>2</v>
      </c>
      <c r="L33">
        <f t="shared" si="0"/>
        <v>2860</v>
      </c>
    </row>
    <row r="34" spans="1:12" x14ac:dyDescent="0.35">
      <c r="A34" s="7">
        <v>1027</v>
      </c>
      <c r="B34" s="1">
        <v>44972</v>
      </c>
      <c r="C34" s="2" t="s">
        <v>10</v>
      </c>
      <c r="D34" t="str">
        <f>_xlfn.XLOOKUP(Merged_Sales_Data!C34,PM[Product ID],PM[Product Name])</f>
        <v>Filing Cabinet</v>
      </c>
      <c r="E34" t="str">
        <f>VLOOKUP(C34,PM[],3,FALSE)</f>
        <v>Furniture</v>
      </c>
      <c r="F34">
        <f>_xlfn.XLOOKUP(C34,PM[Product ID],PM[Unit Price (₹)])</f>
        <v>4070</v>
      </c>
      <c r="G34" t="str">
        <f>_xlfn.XLOOKUP(Sales[[#This Row],[Order ID]],ST[Order ID],ST[Employee ID])</f>
        <v>E07</v>
      </c>
      <c r="H34" t="str">
        <f>_xlfn.XLOOKUP(G34,SM[Employee ID],SM[Salesperson])</f>
        <v>Aditya Kapoor</v>
      </c>
      <c r="I34" t="str">
        <f>_xlfn.XLOOKUP(G34,SM[Employee ID],SM[Region])</f>
        <v>West</v>
      </c>
      <c r="J34" t="str">
        <f>_xlfn.XLOOKUP(G34,SM[Employee ID],SM[State/City])</f>
        <v>Mumbai</v>
      </c>
      <c r="K34" s="2">
        <f>_xlfn.XLOOKUP(Sales[[#This Row],[Order ID]],ST[Order ID],ST[Units Sold])</f>
        <v>8</v>
      </c>
      <c r="L34">
        <f t="shared" si="0"/>
        <v>32560</v>
      </c>
    </row>
    <row r="35" spans="1:12" x14ac:dyDescent="0.35">
      <c r="A35" s="7">
        <v>1044</v>
      </c>
      <c r="B35" s="1">
        <v>44972</v>
      </c>
      <c r="C35" s="2" t="s">
        <v>14</v>
      </c>
      <c r="D35" t="str">
        <f>_xlfn.XLOOKUP(Merged_Sales_Data!C35,PM[Product ID],PM[Product Name])</f>
        <v>Laptop Backpack</v>
      </c>
      <c r="E35" t="str">
        <f>VLOOKUP(C35,PM[],3,FALSE)</f>
        <v>Accessories</v>
      </c>
      <c r="F35">
        <f>_xlfn.XLOOKUP(C35,PM[Product ID],PM[Unit Price (₹)])</f>
        <v>1110</v>
      </c>
      <c r="G35" t="str">
        <f>_xlfn.XLOOKUP(Sales[[#This Row],[Order ID]],ST[Order ID],ST[Employee ID])</f>
        <v>E06</v>
      </c>
      <c r="H35" t="str">
        <f>_xlfn.XLOOKUP(G35,SM[Employee ID],SM[Salesperson])</f>
        <v>Sneha Roy</v>
      </c>
      <c r="I35" t="str">
        <f>_xlfn.XLOOKUP(G35,SM[Employee ID],SM[Region])</f>
        <v>East</v>
      </c>
      <c r="J35" t="str">
        <f>_xlfn.XLOOKUP(G35,SM[Employee ID],SM[State/City])</f>
        <v>Kolkata</v>
      </c>
      <c r="K35" s="2">
        <f>_xlfn.XLOOKUP(Sales[[#This Row],[Order ID]],ST[Order ID],ST[Units Sold])</f>
        <v>6</v>
      </c>
      <c r="L35">
        <f t="shared" si="0"/>
        <v>6660</v>
      </c>
    </row>
    <row r="36" spans="1:12" x14ac:dyDescent="0.35">
      <c r="A36" s="7">
        <v>1040</v>
      </c>
      <c r="B36" s="1">
        <v>44973</v>
      </c>
      <c r="C36" s="2" t="s">
        <v>18</v>
      </c>
      <c r="D36" t="str">
        <f>_xlfn.XLOOKUP(Merged_Sales_Data!C36,PM[Product ID],PM[Product Name])</f>
        <v>LED Monitor 24"</v>
      </c>
      <c r="E36" t="str">
        <f>VLOOKUP(C36,PM[],3,FALSE)</f>
        <v>Electronics</v>
      </c>
      <c r="F36">
        <f>_xlfn.XLOOKUP(C36,PM[Product ID],PM[Unit Price (₹)])</f>
        <v>7700</v>
      </c>
      <c r="G36" t="str">
        <f>_xlfn.XLOOKUP(Sales[[#This Row],[Order ID]],ST[Order ID],ST[Employee ID])</f>
        <v>E03</v>
      </c>
      <c r="H36" t="str">
        <f>_xlfn.XLOOKUP(G36,SM[Employee ID],SM[Salesperson])</f>
        <v>Rohan Mehta</v>
      </c>
      <c r="I36" t="str">
        <f>_xlfn.XLOOKUP(G36,SM[Employee ID],SM[Region])</f>
        <v>South</v>
      </c>
      <c r="J36" t="str">
        <f>_xlfn.XLOOKUP(G36,SM[Employee ID],SM[State/City])</f>
        <v>Bengaluru</v>
      </c>
      <c r="K36" s="2">
        <f>_xlfn.XLOOKUP(Sales[[#This Row],[Order ID]],ST[Order ID],ST[Units Sold])</f>
        <v>10</v>
      </c>
      <c r="L36">
        <f t="shared" si="0"/>
        <v>77000</v>
      </c>
    </row>
    <row r="37" spans="1:12" x14ac:dyDescent="0.35">
      <c r="A37" s="7">
        <v>1032</v>
      </c>
      <c r="B37" s="1">
        <v>44974</v>
      </c>
      <c r="C37" s="2" t="s">
        <v>8</v>
      </c>
      <c r="D37" t="str">
        <f>_xlfn.XLOOKUP(Merged_Sales_Data!C37,PM[Product ID],PM[Product Name])</f>
        <v>USB-C Hub</v>
      </c>
      <c r="E37" t="str">
        <f>VLOOKUP(C37,PM[],3,FALSE)</f>
        <v>Accessories</v>
      </c>
      <c r="F37">
        <f>_xlfn.XLOOKUP(C37,PM[Product ID],PM[Unit Price (₹)])</f>
        <v>880</v>
      </c>
      <c r="G37" t="str">
        <f>_xlfn.XLOOKUP(Sales[[#This Row],[Order ID]],ST[Order ID],ST[Employee ID])</f>
        <v>E05</v>
      </c>
      <c r="H37" t="str">
        <f>_xlfn.XLOOKUP(G37,SM[Employee ID],SM[Salesperson])</f>
        <v>Karan Malhotra</v>
      </c>
      <c r="I37" t="str">
        <f>_xlfn.XLOOKUP(G37,SM[Employee ID],SM[Region])</f>
        <v>East</v>
      </c>
      <c r="J37" t="str">
        <f>_xlfn.XLOOKUP(G37,SM[Employee ID],SM[State/City])</f>
        <v>Kolkata</v>
      </c>
      <c r="K37" s="2">
        <f>_xlfn.XLOOKUP(Sales[[#This Row],[Order ID]],ST[Order ID],ST[Units Sold])</f>
        <v>1</v>
      </c>
      <c r="L37">
        <f t="shared" si="0"/>
        <v>880</v>
      </c>
    </row>
    <row r="38" spans="1:12" x14ac:dyDescent="0.35">
      <c r="A38" s="7">
        <v>1033</v>
      </c>
      <c r="B38" s="1">
        <v>44974</v>
      </c>
      <c r="C38" s="2" t="s">
        <v>20</v>
      </c>
      <c r="D38" t="str">
        <f>_xlfn.XLOOKUP(Merged_Sales_Data!C38,PM[Product ID],PM[Product Name])</f>
        <v>Standing Desk</v>
      </c>
      <c r="E38" t="str">
        <f>VLOOKUP(C38,PM[],3,FALSE)</f>
        <v>Office Supplies</v>
      </c>
      <c r="F38">
        <f>_xlfn.XLOOKUP(C38,PM[Product ID],PM[Unit Price (₹)])</f>
        <v>11010</v>
      </c>
      <c r="G38" t="str">
        <f>_xlfn.XLOOKUP(Sales[[#This Row],[Order ID]],ST[Order ID],ST[Employee ID])</f>
        <v>E02</v>
      </c>
      <c r="H38" t="str">
        <f>_xlfn.XLOOKUP(G38,SM[Employee ID],SM[Salesperson])</f>
        <v>Ishita Verma</v>
      </c>
      <c r="I38" t="str">
        <f>_xlfn.XLOOKUP(G38,SM[Employee ID],SM[Region])</f>
        <v>North</v>
      </c>
      <c r="J38" t="str">
        <f>_xlfn.XLOOKUP(G38,SM[Employee ID],SM[State/City])</f>
        <v>Chandigarh</v>
      </c>
      <c r="K38" s="2">
        <f>_xlfn.XLOOKUP(Sales[[#This Row],[Order ID]],ST[Order ID],ST[Units Sold])</f>
        <v>10</v>
      </c>
      <c r="L38">
        <f t="shared" si="0"/>
        <v>110100</v>
      </c>
    </row>
    <row r="39" spans="1:12" x14ac:dyDescent="0.35">
      <c r="A39" s="7">
        <v>1046</v>
      </c>
      <c r="B39" s="1">
        <v>44975</v>
      </c>
      <c r="C39" s="2" t="s">
        <v>21</v>
      </c>
      <c r="D39" t="str">
        <f>_xlfn.XLOOKUP(Merged_Sales_Data!C39,PM[Product ID],PM[Product Name])</f>
        <v>Wireless Mouse</v>
      </c>
      <c r="E39" t="str">
        <f>VLOOKUP(C39,PM[],3,FALSE)</f>
        <v>Electronics</v>
      </c>
      <c r="F39">
        <f>_xlfn.XLOOKUP(C39,PM[Product ID],PM[Unit Price (₹)])</f>
        <v>780</v>
      </c>
      <c r="G39" t="str">
        <f>_xlfn.XLOOKUP(Sales[[#This Row],[Order ID]],ST[Order ID],ST[Employee ID])</f>
        <v>E06</v>
      </c>
      <c r="H39" t="str">
        <f>_xlfn.XLOOKUP(G39,SM[Employee ID],SM[Salesperson])</f>
        <v>Sneha Roy</v>
      </c>
      <c r="I39" t="str">
        <f>_xlfn.XLOOKUP(G39,SM[Employee ID],SM[Region])</f>
        <v>East</v>
      </c>
      <c r="J39" t="str">
        <f>_xlfn.XLOOKUP(G39,SM[Employee ID],SM[State/City])</f>
        <v>Kolkata</v>
      </c>
      <c r="K39" s="2">
        <f>_xlfn.XLOOKUP(Sales[[#This Row],[Order ID]],ST[Order ID],ST[Units Sold])</f>
        <v>8</v>
      </c>
      <c r="L39">
        <f t="shared" si="0"/>
        <v>6240</v>
      </c>
    </row>
    <row r="40" spans="1:12" x14ac:dyDescent="0.35">
      <c r="A40" s="7">
        <v>1025</v>
      </c>
      <c r="B40" s="1">
        <v>44978</v>
      </c>
      <c r="C40" s="2" t="s">
        <v>11</v>
      </c>
      <c r="D40" t="str">
        <f>_xlfn.XLOOKUP(Merged_Sales_Data!C40,PM[Product ID],PM[Product Name])</f>
        <v>Bluetooth Speaker</v>
      </c>
      <c r="E40" t="str">
        <f>VLOOKUP(C40,PM[],3,FALSE)</f>
        <v>Electronics</v>
      </c>
      <c r="F40">
        <f>_xlfn.XLOOKUP(C40,PM[Product ID],PM[Unit Price (₹)])</f>
        <v>1430</v>
      </c>
      <c r="G40" t="str">
        <f>_xlfn.XLOOKUP(Sales[[#This Row],[Order ID]],ST[Order ID],ST[Employee ID])</f>
        <v>E01</v>
      </c>
      <c r="H40" t="str">
        <f>_xlfn.XLOOKUP(G40,SM[Employee ID],SM[Salesperson])</f>
        <v>Aarav Sharma</v>
      </c>
      <c r="I40" t="str">
        <f>_xlfn.XLOOKUP(G40,SM[Employee ID],SM[Region])</f>
        <v>North</v>
      </c>
      <c r="J40" t="str">
        <f>_xlfn.XLOOKUP(G40,SM[Employee ID],SM[State/City])</f>
        <v>Lucknow</v>
      </c>
      <c r="K40" s="2">
        <f>_xlfn.XLOOKUP(Sales[[#This Row],[Order ID]],ST[Order ID],ST[Units Sold])</f>
        <v>1</v>
      </c>
      <c r="L40">
        <f t="shared" si="0"/>
        <v>1430</v>
      </c>
    </row>
    <row r="41" spans="1:12" x14ac:dyDescent="0.35">
      <c r="A41" s="7">
        <v>1028</v>
      </c>
      <c r="B41" s="1">
        <v>44979</v>
      </c>
      <c r="C41" s="2" t="s">
        <v>8</v>
      </c>
      <c r="D41" t="str">
        <f>_xlfn.XLOOKUP(Merged_Sales_Data!C41,PM[Product ID],PM[Product Name])</f>
        <v>USB-C Hub</v>
      </c>
      <c r="E41" t="str">
        <f>VLOOKUP(C41,PM[],3,FALSE)</f>
        <v>Accessories</v>
      </c>
      <c r="F41">
        <f>_xlfn.XLOOKUP(C41,PM[Product ID],PM[Unit Price (₹)])</f>
        <v>880</v>
      </c>
      <c r="G41" t="str">
        <f>_xlfn.XLOOKUP(Sales[[#This Row],[Order ID]],ST[Order ID],ST[Employee ID])</f>
        <v>E05</v>
      </c>
      <c r="H41" t="str">
        <f>_xlfn.XLOOKUP(G41,SM[Employee ID],SM[Salesperson])</f>
        <v>Karan Malhotra</v>
      </c>
      <c r="I41" t="str">
        <f>_xlfn.XLOOKUP(G41,SM[Employee ID],SM[Region])</f>
        <v>East</v>
      </c>
      <c r="J41" t="str">
        <f>_xlfn.XLOOKUP(G41,SM[Employee ID],SM[State/City])</f>
        <v>Kolkata</v>
      </c>
      <c r="K41" s="2">
        <f>_xlfn.XLOOKUP(Sales[[#This Row],[Order ID]],ST[Order ID],ST[Units Sold])</f>
        <v>1</v>
      </c>
      <c r="L41">
        <f t="shared" si="0"/>
        <v>880</v>
      </c>
    </row>
    <row r="42" spans="1:12" x14ac:dyDescent="0.35">
      <c r="A42" s="7">
        <v>1043</v>
      </c>
      <c r="B42" s="1">
        <v>44979</v>
      </c>
      <c r="C42" s="2" t="s">
        <v>20</v>
      </c>
      <c r="D42" t="str">
        <f>_xlfn.XLOOKUP(Merged_Sales_Data!C42,PM[Product ID],PM[Product Name])</f>
        <v>Standing Desk</v>
      </c>
      <c r="E42" t="str">
        <f>VLOOKUP(C42,PM[],3,FALSE)</f>
        <v>Office Supplies</v>
      </c>
      <c r="F42">
        <f>_xlfn.XLOOKUP(C42,PM[Product ID],PM[Unit Price (₹)])</f>
        <v>11010</v>
      </c>
      <c r="G42" t="str">
        <f>_xlfn.XLOOKUP(Sales[[#This Row],[Order ID]],ST[Order ID],ST[Employee ID])</f>
        <v>E04</v>
      </c>
      <c r="H42" t="str">
        <f>_xlfn.XLOOKUP(G42,SM[Employee ID],SM[Salesperson])</f>
        <v>Priya Nair</v>
      </c>
      <c r="I42" t="str">
        <f>_xlfn.XLOOKUP(G42,SM[Employee ID],SM[Region])</f>
        <v>South</v>
      </c>
      <c r="J42" t="str">
        <f>_xlfn.XLOOKUP(G42,SM[Employee ID],SM[State/City])</f>
        <v>Bengaluru</v>
      </c>
      <c r="K42" s="2">
        <f>_xlfn.XLOOKUP(Sales[[#This Row],[Order ID]],ST[Order ID],ST[Units Sold])</f>
        <v>4</v>
      </c>
      <c r="L42">
        <f t="shared" si="0"/>
        <v>44040</v>
      </c>
    </row>
    <row r="43" spans="1:12" x14ac:dyDescent="0.35">
      <c r="A43" s="7">
        <v>1031</v>
      </c>
      <c r="B43" s="1">
        <v>44981</v>
      </c>
      <c r="C43" s="2" t="s">
        <v>14</v>
      </c>
      <c r="D43" t="str">
        <f>_xlfn.XLOOKUP(Merged_Sales_Data!C43,PM[Product ID],PM[Product Name])</f>
        <v>Laptop Backpack</v>
      </c>
      <c r="E43" t="str">
        <f>VLOOKUP(C43,PM[],3,FALSE)</f>
        <v>Accessories</v>
      </c>
      <c r="F43">
        <f>_xlfn.XLOOKUP(C43,PM[Product ID],PM[Unit Price (₹)])</f>
        <v>1110</v>
      </c>
      <c r="G43" t="str">
        <f>_xlfn.XLOOKUP(Sales[[#This Row],[Order ID]],ST[Order ID],ST[Employee ID])</f>
        <v>E03</v>
      </c>
      <c r="H43" t="str">
        <f>_xlfn.XLOOKUP(G43,SM[Employee ID],SM[Salesperson])</f>
        <v>Rohan Mehta</v>
      </c>
      <c r="I43" t="str">
        <f>_xlfn.XLOOKUP(G43,SM[Employee ID],SM[Region])</f>
        <v>South</v>
      </c>
      <c r="J43" t="str">
        <f>_xlfn.XLOOKUP(G43,SM[Employee ID],SM[State/City])</f>
        <v>Bengaluru</v>
      </c>
      <c r="K43" s="2">
        <f>_xlfn.XLOOKUP(Sales[[#This Row],[Order ID]],ST[Order ID],ST[Units Sold])</f>
        <v>1</v>
      </c>
      <c r="L43">
        <f t="shared" si="0"/>
        <v>1110</v>
      </c>
    </row>
    <row r="44" spans="1:12" x14ac:dyDescent="0.35">
      <c r="A44" s="7">
        <v>1038</v>
      </c>
      <c r="B44" s="1">
        <v>44981</v>
      </c>
      <c r="C44" s="2" t="s">
        <v>11</v>
      </c>
      <c r="D44" t="str">
        <f>_xlfn.XLOOKUP(Merged_Sales_Data!C44,PM[Product ID],PM[Product Name])</f>
        <v>Bluetooth Speaker</v>
      </c>
      <c r="E44" t="str">
        <f>VLOOKUP(C44,PM[],3,FALSE)</f>
        <v>Electronics</v>
      </c>
      <c r="F44">
        <f>_xlfn.XLOOKUP(C44,PM[Product ID],PM[Unit Price (₹)])</f>
        <v>1430</v>
      </c>
      <c r="G44" t="str">
        <f>_xlfn.XLOOKUP(Sales[[#This Row],[Order ID]],ST[Order ID],ST[Employee ID])</f>
        <v>E04</v>
      </c>
      <c r="H44" t="str">
        <f>_xlfn.XLOOKUP(G44,SM[Employee ID],SM[Salesperson])</f>
        <v>Priya Nair</v>
      </c>
      <c r="I44" t="str">
        <f>_xlfn.XLOOKUP(G44,SM[Employee ID],SM[Region])</f>
        <v>South</v>
      </c>
      <c r="J44" t="str">
        <f>_xlfn.XLOOKUP(G44,SM[Employee ID],SM[State/City])</f>
        <v>Bengaluru</v>
      </c>
      <c r="K44" s="2">
        <f>_xlfn.XLOOKUP(Sales[[#This Row],[Order ID]],ST[Order ID],ST[Units Sold])</f>
        <v>1</v>
      </c>
      <c r="L44">
        <f t="shared" si="0"/>
        <v>1430</v>
      </c>
    </row>
    <row r="45" spans="1:12" x14ac:dyDescent="0.35">
      <c r="A45" s="7">
        <v>1029</v>
      </c>
      <c r="B45" s="1">
        <v>44982</v>
      </c>
      <c r="C45" s="2" t="s">
        <v>8</v>
      </c>
      <c r="D45" t="str">
        <f>_xlfn.XLOOKUP(Merged_Sales_Data!C45,PM[Product ID],PM[Product Name])</f>
        <v>USB-C Hub</v>
      </c>
      <c r="E45" t="str">
        <f>VLOOKUP(C45,PM[],3,FALSE)</f>
        <v>Accessories</v>
      </c>
      <c r="F45">
        <f>_xlfn.XLOOKUP(C45,PM[Product ID],PM[Unit Price (₹)])</f>
        <v>880</v>
      </c>
      <c r="G45" t="str">
        <f>_xlfn.XLOOKUP(Sales[[#This Row],[Order ID]],ST[Order ID],ST[Employee ID])</f>
        <v>E02</v>
      </c>
      <c r="H45" t="str">
        <f>_xlfn.XLOOKUP(G45,SM[Employee ID],SM[Salesperson])</f>
        <v>Ishita Verma</v>
      </c>
      <c r="I45" t="str">
        <f>_xlfn.XLOOKUP(G45,SM[Employee ID],SM[Region])</f>
        <v>North</v>
      </c>
      <c r="J45" t="str">
        <f>_xlfn.XLOOKUP(G45,SM[Employee ID],SM[State/City])</f>
        <v>Chandigarh</v>
      </c>
      <c r="K45" s="2">
        <f>_xlfn.XLOOKUP(Sales[[#This Row],[Order ID]],ST[Order ID],ST[Units Sold])</f>
        <v>2</v>
      </c>
      <c r="L45">
        <f t="shared" si="0"/>
        <v>1760</v>
      </c>
    </row>
    <row r="46" spans="1:12" x14ac:dyDescent="0.35">
      <c r="A46" s="7">
        <v>1034</v>
      </c>
      <c r="B46" s="1">
        <v>44982</v>
      </c>
      <c r="C46" s="2" t="s">
        <v>18</v>
      </c>
      <c r="D46" t="str">
        <f>_xlfn.XLOOKUP(Merged_Sales_Data!C46,PM[Product ID],PM[Product Name])</f>
        <v>LED Monitor 24"</v>
      </c>
      <c r="E46" t="str">
        <f>VLOOKUP(C46,PM[],3,FALSE)</f>
        <v>Electronics</v>
      </c>
      <c r="F46">
        <f>_xlfn.XLOOKUP(C46,PM[Product ID],PM[Unit Price (₹)])</f>
        <v>7700</v>
      </c>
      <c r="G46" t="str">
        <f>_xlfn.XLOOKUP(Sales[[#This Row],[Order ID]],ST[Order ID],ST[Employee ID])</f>
        <v>E04</v>
      </c>
      <c r="H46" t="str">
        <f>_xlfn.XLOOKUP(G46,SM[Employee ID],SM[Salesperson])</f>
        <v>Priya Nair</v>
      </c>
      <c r="I46" t="str">
        <f>_xlfn.XLOOKUP(G46,SM[Employee ID],SM[Region])</f>
        <v>South</v>
      </c>
      <c r="J46" t="str">
        <f>_xlfn.XLOOKUP(G46,SM[Employee ID],SM[State/City])</f>
        <v>Bengaluru</v>
      </c>
      <c r="K46" s="2">
        <f>_xlfn.XLOOKUP(Sales[[#This Row],[Order ID]],ST[Order ID],ST[Units Sold])</f>
        <v>3</v>
      </c>
      <c r="L46">
        <f t="shared" si="0"/>
        <v>23100</v>
      </c>
    </row>
    <row r="47" spans="1:12" x14ac:dyDescent="0.35">
      <c r="A47" s="7">
        <v>1039</v>
      </c>
      <c r="B47" s="1">
        <v>44982</v>
      </c>
      <c r="C47" s="2" t="s">
        <v>11</v>
      </c>
      <c r="D47" t="str">
        <f>_xlfn.XLOOKUP(Merged_Sales_Data!C47,PM[Product ID],PM[Product Name])</f>
        <v>Bluetooth Speaker</v>
      </c>
      <c r="E47" t="str">
        <f>VLOOKUP(C47,PM[],3,FALSE)</f>
        <v>Electronics</v>
      </c>
      <c r="F47">
        <f>_xlfn.XLOOKUP(C47,PM[Product ID],PM[Unit Price (₹)])</f>
        <v>1430</v>
      </c>
      <c r="G47" t="str">
        <f>_xlfn.XLOOKUP(Sales[[#This Row],[Order ID]],ST[Order ID],ST[Employee ID])</f>
        <v>E08</v>
      </c>
      <c r="H47" t="str">
        <f>_xlfn.XLOOKUP(G47,SM[Employee ID],SM[Salesperson])</f>
        <v>Neha Joshi</v>
      </c>
      <c r="I47" t="str">
        <f>_xlfn.XLOOKUP(G47,SM[Employee ID],SM[Region])</f>
        <v>West</v>
      </c>
      <c r="J47" t="str">
        <f>_xlfn.XLOOKUP(G47,SM[Employee ID],SM[State/City])</f>
        <v>Ahmedabad</v>
      </c>
      <c r="K47" s="2">
        <f>_xlfn.XLOOKUP(Sales[[#This Row],[Order ID]],ST[Order ID],ST[Units Sold])</f>
        <v>6</v>
      </c>
      <c r="L47">
        <f t="shared" si="0"/>
        <v>8580</v>
      </c>
    </row>
    <row r="48" spans="1:12" x14ac:dyDescent="0.35">
      <c r="A48" s="7">
        <v>1042</v>
      </c>
      <c r="B48" s="1">
        <v>44982</v>
      </c>
      <c r="C48" s="2" t="s">
        <v>5</v>
      </c>
      <c r="D48" t="str">
        <f>_xlfn.XLOOKUP(Merged_Sales_Data!C48,PM[Product ID],PM[Product Name])</f>
        <v>Ergo Office Chair</v>
      </c>
      <c r="E48" t="str">
        <f>VLOOKUP(C48,PM[],3,FALSE)</f>
        <v>Office Supplies</v>
      </c>
      <c r="F48">
        <f>_xlfn.XLOOKUP(C48,PM[Product ID],PM[Unit Price (₹)])</f>
        <v>6750</v>
      </c>
      <c r="G48" t="str">
        <f>_xlfn.XLOOKUP(Sales[[#This Row],[Order ID]],ST[Order ID],ST[Employee ID])</f>
        <v>E07</v>
      </c>
      <c r="H48" t="str">
        <f>_xlfn.XLOOKUP(G48,SM[Employee ID],SM[Salesperson])</f>
        <v>Aditya Kapoor</v>
      </c>
      <c r="I48" t="str">
        <f>_xlfn.XLOOKUP(G48,SM[Employee ID],SM[Region])</f>
        <v>West</v>
      </c>
      <c r="J48" t="str">
        <f>_xlfn.XLOOKUP(G48,SM[Employee ID],SM[State/City])</f>
        <v>Mumbai</v>
      </c>
      <c r="K48" s="2">
        <f>_xlfn.XLOOKUP(Sales[[#This Row],[Order ID]],ST[Order ID],ST[Units Sold])</f>
        <v>6</v>
      </c>
      <c r="L48">
        <f t="shared" si="0"/>
        <v>40500</v>
      </c>
    </row>
    <row r="49" spans="1:12" x14ac:dyDescent="0.35">
      <c r="A49" s="7">
        <v>1041</v>
      </c>
      <c r="B49" s="1">
        <v>44985</v>
      </c>
      <c r="C49" s="2" t="s">
        <v>20</v>
      </c>
      <c r="D49" t="str">
        <f>_xlfn.XLOOKUP(Merged_Sales_Data!C49,PM[Product ID],PM[Product Name])</f>
        <v>Standing Desk</v>
      </c>
      <c r="E49" t="str">
        <f>VLOOKUP(C49,PM[],3,FALSE)</f>
        <v>Office Supplies</v>
      </c>
      <c r="F49">
        <f>_xlfn.XLOOKUP(C49,PM[Product ID],PM[Unit Price (₹)])</f>
        <v>11010</v>
      </c>
      <c r="G49" t="str">
        <f>_xlfn.XLOOKUP(Sales[[#This Row],[Order ID]],ST[Order ID],ST[Employee ID])</f>
        <v>E03</v>
      </c>
      <c r="H49" t="str">
        <f>_xlfn.XLOOKUP(G49,SM[Employee ID],SM[Salesperson])</f>
        <v>Rohan Mehta</v>
      </c>
      <c r="I49" t="str">
        <f>_xlfn.XLOOKUP(G49,SM[Employee ID],SM[Region])</f>
        <v>South</v>
      </c>
      <c r="J49" t="str">
        <f>_xlfn.XLOOKUP(G49,SM[Employee ID],SM[State/City])</f>
        <v>Bengaluru</v>
      </c>
      <c r="K49" s="2">
        <f>_xlfn.XLOOKUP(Sales[[#This Row],[Order ID]],ST[Order ID],ST[Units Sold])</f>
        <v>6</v>
      </c>
      <c r="L49">
        <f t="shared" si="0"/>
        <v>66060</v>
      </c>
    </row>
    <row r="50" spans="1:12" x14ac:dyDescent="0.35">
      <c r="A50" s="7">
        <v>1068</v>
      </c>
      <c r="B50" s="1">
        <v>44987</v>
      </c>
      <c r="C50" s="2" t="s">
        <v>12</v>
      </c>
      <c r="D50" t="str">
        <f>_xlfn.XLOOKUP(Merged_Sales_Data!C50,PM[Product ID],PM[Product Name])</f>
        <v>Bookshelf Unit</v>
      </c>
      <c r="E50" t="str">
        <f>VLOOKUP(C50,PM[],3,FALSE)</f>
        <v>Furniture</v>
      </c>
      <c r="F50">
        <f>_xlfn.XLOOKUP(C50,PM[Product ID],PM[Unit Price (₹)])</f>
        <v>3910</v>
      </c>
      <c r="G50" t="str">
        <f>_xlfn.XLOOKUP(Sales[[#This Row],[Order ID]],ST[Order ID],ST[Employee ID])</f>
        <v>E01</v>
      </c>
      <c r="H50" t="str">
        <f>_xlfn.XLOOKUP(G50,SM[Employee ID],SM[Salesperson])</f>
        <v>Aarav Sharma</v>
      </c>
      <c r="I50" t="str">
        <f>_xlfn.XLOOKUP(G50,SM[Employee ID],SM[Region])</f>
        <v>North</v>
      </c>
      <c r="J50" t="str">
        <f>_xlfn.XLOOKUP(G50,SM[Employee ID],SM[State/City])</f>
        <v>Lucknow</v>
      </c>
      <c r="K50" s="2">
        <f>_xlfn.XLOOKUP(Sales[[#This Row],[Order ID]],ST[Order ID],ST[Units Sold])</f>
        <v>1</v>
      </c>
      <c r="L50">
        <f t="shared" si="0"/>
        <v>3910</v>
      </c>
    </row>
    <row r="51" spans="1:12" x14ac:dyDescent="0.35">
      <c r="A51" s="7">
        <v>1071</v>
      </c>
      <c r="B51" s="1">
        <v>44988</v>
      </c>
      <c r="C51" s="2" t="s">
        <v>11</v>
      </c>
      <c r="D51" t="str">
        <f>_xlfn.XLOOKUP(Merged_Sales_Data!C51,PM[Product ID],PM[Product Name])</f>
        <v>Bluetooth Speaker</v>
      </c>
      <c r="E51" t="str">
        <f>VLOOKUP(C51,PM[],3,FALSE)</f>
        <v>Electronics</v>
      </c>
      <c r="F51">
        <f>_xlfn.XLOOKUP(C51,PM[Product ID],PM[Unit Price (₹)])</f>
        <v>1430</v>
      </c>
      <c r="G51" t="str">
        <f>_xlfn.XLOOKUP(Sales[[#This Row],[Order ID]],ST[Order ID],ST[Employee ID])</f>
        <v>E03</v>
      </c>
      <c r="H51" t="str">
        <f>_xlfn.XLOOKUP(G51,SM[Employee ID],SM[Salesperson])</f>
        <v>Rohan Mehta</v>
      </c>
      <c r="I51" t="str">
        <f>_xlfn.XLOOKUP(G51,SM[Employee ID],SM[Region])</f>
        <v>South</v>
      </c>
      <c r="J51" t="str">
        <f>_xlfn.XLOOKUP(G51,SM[Employee ID],SM[State/City])</f>
        <v>Bengaluru</v>
      </c>
      <c r="K51" s="2">
        <f>_xlfn.XLOOKUP(Sales[[#This Row],[Order ID]],ST[Order ID],ST[Units Sold])</f>
        <v>8</v>
      </c>
      <c r="L51">
        <f t="shared" si="0"/>
        <v>11440</v>
      </c>
    </row>
    <row r="52" spans="1:12" x14ac:dyDescent="0.35">
      <c r="A52" s="7">
        <v>1073</v>
      </c>
      <c r="B52" s="1">
        <v>44988</v>
      </c>
      <c r="C52" s="2" t="s">
        <v>21</v>
      </c>
      <c r="D52" t="str">
        <f>_xlfn.XLOOKUP(Merged_Sales_Data!C52,PM[Product ID],PM[Product Name])</f>
        <v>Wireless Mouse</v>
      </c>
      <c r="E52" t="str">
        <f>VLOOKUP(C52,PM[],3,FALSE)</f>
        <v>Electronics</v>
      </c>
      <c r="F52">
        <f>_xlfn.XLOOKUP(C52,PM[Product ID],PM[Unit Price (₹)])</f>
        <v>780</v>
      </c>
      <c r="G52" t="str">
        <f>_xlfn.XLOOKUP(Sales[[#This Row],[Order ID]],ST[Order ID],ST[Employee ID])</f>
        <v>E04</v>
      </c>
      <c r="H52" t="str">
        <f>_xlfn.XLOOKUP(G52,SM[Employee ID],SM[Salesperson])</f>
        <v>Priya Nair</v>
      </c>
      <c r="I52" t="str">
        <f>_xlfn.XLOOKUP(G52,SM[Employee ID],SM[Region])</f>
        <v>South</v>
      </c>
      <c r="J52" t="str">
        <f>_xlfn.XLOOKUP(G52,SM[Employee ID],SM[State/City])</f>
        <v>Bengaluru</v>
      </c>
      <c r="K52" s="2">
        <f>_xlfn.XLOOKUP(Sales[[#This Row],[Order ID]],ST[Order ID],ST[Units Sold])</f>
        <v>8</v>
      </c>
      <c r="L52">
        <f t="shared" si="0"/>
        <v>6240</v>
      </c>
    </row>
    <row r="53" spans="1:12" x14ac:dyDescent="0.35">
      <c r="A53" s="7">
        <v>1052</v>
      </c>
      <c r="B53" s="1">
        <v>44989</v>
      </c>
      <c r="C53" s="2" t="s">
        <v>5</v>
      </c>
      <c r="D53" t="str">
        <f>_xlfn.XLOOKUP(Merged_Sales_Data!C53,PM[Product ID],PM[Product Name])</f>
        <v>Ergo Office Chair</v>
      </c>
      <c r="E53" t="str">
        <f>VLOOKUP(C53,PM[],3,FALSE)</f>
        <v>Office Supplies</v>
      </c>
      <c r="F53">
        <f>_xlfn.XLOOKUP(C53,PM[Product ID],PM[Unit Price (₹)])</f>
        <v>6750</v>
      </c>
      <c r="G53" t="str">
        <f>_xlfn.XLOOKUP(Sales[[#This Row],[Order ID]],ST[Order ID],ST[Employee ID])</f>
        <v>E07</v>
      </c>
      <c r="H53" t="str">
        <f>_xlfn.XLOOKUP(G53,SM[Employee ID],SM[Salesperson])</f>
        <v>Aditya Kapoor</v>
      </c>
      <c r="I53" t="str">
        <f>_xlfn.XLOOKUP(G53,SM[Employee ID],SM[Region])</f>
        <v>West</v>
      </c>
      <c r="J53" t="str">
        <f>_xlfn.XLOOKUP(G53,SM[Employee ID],SM[State/City])</f>
        <v>Mumbai</v>
      </c>
      <c r="K53" s="2">
        <f>_xlfn.XLOOKUP(Sales[[#This Row],[Order ID]],ST[Order ID],ST[Units Sold])</f>
        <v>1</v>
      </c>
      <c r="L53">
        <f t="shared" si="0"/>
        <v>6750</v>
      </c>
    </row>
    <row r="54" spans="1:12" x14ac:dyDescent="0.35">
      <c r="A54" s="7">
        <v>1050</v>
      </c>
      <c r="B54" s="1">
        <v>44990</v>
      </c>
      <c r="C54" s="2" t="s">
        <v>5</v>
      </c>
      <c r="D54" t="str">
        <f>_xlfn.XLOOKUP(Merged_Sales_Data!C54,PM[Product ID],PM[Product Name])</f>
        <v>Ergo Office Chair</v>
      </c>
      <c r="E54" t="str">
        <f>VLOOKUP(C54,PM[],3,FALSE)</f>
        <v>Office Supplies</v>
      </c>
      <c r="F54">
        <f>_xlfn.XLOOKUP(C54,PM[Product ID],PM[Unit Price (₹)])</f>
        <v>6750</v>
      </c>
      <c r="G54" t="str">
        <f>_xlfn.XLOOKUP(Sales[[#This Row],[Order ID]],ST[Order ID],ST[Employee ID])</f>
        <v>E08</v>
      </c>
      <c r="H54" t="str">
        <f>_xlfn.XLOOKUP(G54,SM[Employee ID],SM[Salesperson])</f>
        <v>Neha Joshi</v>
      </c>
      <c r="I54" t="str">
        <f>_xlfn.XLOOKUP(G54,SM[Employee ID],SM[Region])</f>
        <v>West</v>
      </c>
      <c r="J54" t="str">
        <f>_xlfn.XLOOKUP(G54,SM[Employee ID],SM[State/City])</f>
        <v>Ahmedabad</v>
      </c>
      <c r="K54" s="2">
        <f>_xlfn.XLOOKUP(Sales[[#This Row],[Order ID]],ST[Order ID],ST[Units Sold])</f>
        <v>6</v>
      </c>
      <c r="L54">
        <f t="shared" si="0"/>
        <v>40500</v>
      </c>
    </row>
    <row r="55" spans="1:12" x14ac:dyDescent="0.35">
      <c r="A55" s="7">
        <v>1057</v>
      </c>
      <c r="B55" s="1">
        <v>44990</v>
      </c>
      <c r="C55" s="2" t="s">
        <v>8</v>
      </c>
      <c r="D55" t="str">
        <f>_xlfn.XLOOKUP(Merged_Sales_Data!C55,PM[Product ID],PM[Product Name])</f>
        <v>USB-C Hub</v>
      </c>
      <c r="E55" t="str">
        <f>VLOOKUP(C55,PM[],3,FALSE)</f>
        <v>Accessories</v>
      </c>
      <c r="F55">
        <f>_xlfn.XLOOKUP(C55,PM[Product ID],PM[Unit Price (₹)])</f>
        <v>880</v>
      </c>
      <c r="G55" t="str">
        <f>_xlfn.XLOOKUP(Sales[[#This Row],[Order ID]],ST[Order ID],ST[Employee ID])</f>
        <v>E04</v>
      </c>
      <c r="H55" t="str">
        <f>_xlfn.XLOOKUP(G55,SM[Employee ID],SM[Salesperson])</f>
        <v>Priya Nair</v>
      </c>
      <c r="I55" t="str">
        <f>_xlfn.XLOOKUP(G55,SM[Employee ID],SM[Region])</f>
        <v>South</v>
      </c>
      <c r="J55" t="str">
        <f>_xlfn.XLOOKUP(G55,SM[Employee ID],SM[State/City])</f>
        <v>Bengaluru</v>
      </c>
      <c r="K55" s="2">
        <f>_xlfn.XLOOKUP(Sales[[#This Row],[Order ID]],ST[Order ID],ST[Units Sold])</f>
        <v>5</v>
      </c>
      <c r="L55">
        <f t="shared" si="0"/>
        <v>4400</v>
      </c>
    </row>
    <row r="56" spans="1:12" x14ac:dyDescent="0.35">
      <c r="A56" s="7">
        <v>1061</v>
      </c>
      <c r="B56" s="1">
        <v>44991</v>
      </c>
      <c r="C56" s="2" t="s">
        <v>11</v>
      </c>
      <c r="D56" t="str">
        <f>_xlfn.XLOOKUP(Merged_Sales_Data!C56,PM[Product ID],PM[Product Name])</f>
        <v>Bluetooth Speaker</v>
      </c>
      <c r="E56" t="str">
        <f>VLOOKUP(C56,PM[],3,FALSE)</f>
        <v>Electronics</v>
      </c>
      <c r="F56">
        <f>_xlfn.XLOOKUP(C56,PM[Product ID],PM[Unit Price (₹)])</f>
        <v>1430</v>
      </c>
      <c r="G56" t="str">
        <f>_xlfn.XLOOKUP(Sales[[#This Row],[Order ID]],ST[Order ID],ST[Employee ID])</f>
        <v>E01</v>
      </c>
      <c r="H56" t="str">
        <f>_xlfn.XLOOKUP(G56,SM[Employee ID],SM[Salesperson])</f>
        <v>Aarav Sharma</v>
      </c>
      <c r="I56" t="str">
        <f>_xlfn.XLOOKUP(G56,SM[Employee ID],SM[Region])</f>
        <v>North</v>
      </c>
      <c r="J56" t="str">
        <f>_xlfn.XLOOKUP(G56,SM[Employee ID],SM[State/City])</f>
        <v>Lucknow</v>
      </c>
      <c r="K56" s="2">
        <f>_xlfn.XLOOKUP(Sales[[#This Row],[Order ID]],ST[Order ID],ST[Units Sold])</f>
        <v>2</v>
      </c>
      <c r="L56">
        <f t="shared" si="0"/>
        <v>2860</v>
      </c>
    </row>
    <row r="57" spans="1:12" x14ac:dyDescent="0.35">
      <c r="A57" s="7">
        <v>1069</v>
      </c>
      <c r="B57" s="1">
        <v>44991</v>
      </c>
      <c r="C57" s="2" t="s">
        <v>8</v>
      </c>
      <c r="D57" t="str">
        <f>_xlfn.XLOOKUP(Merged_Sales_Data!C57,PM[Product ID],PM[Product Name])</f>
        <v>USB-C Hub</v>
      </c>
      <c r="E57" t="str">
        <f>VLOOKUP(C57,PM[],3,FALSE)</f>
        <v>Accessories</v>
      </c>
      <c r="F57">
        <f>_xlfn.XLOOKUP(C57,PM[Product ID],PM[Unit Price (₹)])</f>
        <v>880</v>
      </c>
      <c r="G57" t="str">
        <f>_xlfn.XLOOKUP(Sales[[#This Row],[Order ID]],ST[Order ID],ST[Employee ID])</f>
        <v>E08</v>
      </c>
      <c r="H57" t="str">
        <f>_xlfn.XLOOKUP(G57,SM[Employee ID],SM[Salesperson])</f>
        <v>Neha Joshi</v>
      </c>
      <c r="I57" t="str">
        <f>_xlfn.XLOOKUP(G57,SM[Employee ID],SM[Region])</f>
        <v>West</v>
      </c>
      <c r="J57" t="str">
        <f>_xlfn.XLOOKUP(G57,SM[Employee ID],SM[State/City])</f>
        <v>Ahmedabad</v>
      </c>
      <c r="K57" s="2">
        <f>_xlfn.XLOOKUP(Sales[[#This Row],[Order ID]],ST[Order ID],ST[Units Sold])</f>
        <v>6</v>
      </c>
      <c r="L57">
        <f t="shared" si="0"/>
        <v>5280</v>
      </c>
    </row>
    <row r="58" spans="1:12" x14ac:dyDescent="0.35">
      <c r="A58" s="7">
        <v>1056</v>
      </c>
      <c r="B58" s="1">
        <v>44992</v>
      </c>
      <c r="C58" s="2" t="s">
        <v>11</v>
      </c>
      <c r="D58" t="str">
        <f>_xlfn.XLOOKUP(Merged_Sales_Data!C58,PM[Product ID],PM[Product Name])</f>
        <v>Bluetooth Speaker</v>
      </c>
      <c r="E58" t="str">
        <f>VLOOKUP(C58,PM[],3,FALSE)</f>
        <v>Electronics</v>
      </c>
      <c r="F58">
        <f>_xlfn.XLOOKUP(C58,PM[Product ID],PM[Unit Price (₹)])</f>
        <v>1430</v>
      </c>
      <c r="G58" t="str">
        <f>_xlfn.XLOOKUP(Sales[[#This Row],[Order ID]],ST[Order ID],ST[Employee ID])</f>
        <v>E06</v>
      </c>
      <c r="H58" t="str">
        <f>_xlfn.XLOOKUP(G58,SM[Employee ID],SM[Salesperson])</f>
        <v>Sneha Roy</v>
      </c>
      <c r="I58" t="str">
        <f>_xlfn.XLOOKUP(G58,SM[Employee ID],SM[Region])</f>
        <v>East</v>
      </c>
      <c r="J58" t="str">
        <f>_xlfn.XLOOKUP(G58,SM[Employee ID],SM[State/City])</f>
        <v>Kolkata</v>
      </c>
      <c r="K58" s="2">
        <f>_xlfn.XLOOKUP(Sales[[#This Row],[Order ID]],ST[Order ID],ST[Units Sold])</f>
        <v>2</v>
      </c>
      <c r="L58">
        <f t="shared" si="0"/>
        <v>2860</v>
      </c>
    </row>
    <row r="59" spans="1:12" x14ac:dyDescent="0.35">
      <c r="A59" s="7">
        <v>1062</v>
      </c>
      <c r="B59" s="1">
        <v>44992</v>
      </c>
      <c r="C59" s="2" t="s">
        <v>14</v>
      </c>
      <c r="D59" t="str">
        <f>_xlfn.XLOOKUP(Merged_Sales_Data!C59,PM[Product ID],PM[Product Name])</f>
        <v>Laptop Backpack</v>
      </c>
      <c r="E59" t="str">
        <f>VLOOKUP(C59,PM[],3,FALSE)</f>
        <v>Accessories</v>
      </c>
      <c r="F59">
        <f>_xlfn.XLOOKUP(C59,PM[Product ID],PM[Unit Price (₹)])</f>
        <v>1110</v>
      </c>
      <c r="G59" t="str">
        <f>_xlfn.XLOOKUP(Sales[[#This Row],[Order ID]],ST[Order ID],ST[Employee ID])</f>
        <v>E07</v>
      </c>
      <c r="H59" t="str">
        <f>_xlfn.XLOOKUP(G59,SM[Employee ID],SM[Salesperson])</f>
        <v>Aditya Kapoor</v>
      </c>
      <c r="I59" t="str">
        <f>_xlfn.XLOOKUP(G59,SM[Employee ID],SM[Region])</f>
        <v>West</v>
      </c>
      <c r="J59" t="str">
        <f>_xlfn.XLOOKUP(G59,SM[Employee ID],SM[State/City])</f>
        <v>Mumbai</v>
      </c>
      <c r="K59" s="2">
        <f>_xlfn.XLOOKUP(Sales[[#This Row],[Order ID]],ST[Order ID],ST[Units Sold])</f>
        <v>5</v>
      </c>
      <c r="L59">
        <f t="shared" si="0"/>
        <v>5550</v>
      </c>
    </row>
    <row r="60" spans="1:12" x14ac:dyDescent="0.35">
      <c r="A60" s="7">
        <v>1049</v>
      </c>
      <c r="B60" s="1">
        <v>44994</v>
      </c>
      <c r="C60" s="2" t="s">
        <v>8</v>
      </c>
      <c r="D60" t="str">
        <f>_xlfn.XLOOKUP(Merged_Sales_Data!C60,PM[Product ID],PM[Product Name])</f>
        <v>USB-C Hub</v>
      </c>
      <c r="E60" t="str">
        <f>VLOOKUP(C60,PM[],3,FALSE)</f>
        <v>Accessories</v>
      </c>
      <c r="F60">
        <f>_xlfn.XLOOKUP(C60,PM[Product ID],PM[Unit Price (₹)])</f>
        <v>880</v>
      </c>
      <c r="G60" t="str">
        <f>_xlfn.XLOOKUP(Sales[[#This Row],[Order ID]],ST[Order ID],ST[Employee ID])</f>
        <v>E02</v>
      </c>
      <c r="H60" t="str">
        <f>_xlfn.XLOOKUP(G60,SM[Employee ID],SM[Salesperson])</f>
        <v>Ishita Verma</v>
      </c>
      <c r="I60" t="str">
        <f>_xlfn.XLOOKUP(G60,SM[Employee ID],SM[Region])</f>
        <v>North</v>
      </c>
      <c r="J60" t="str">
        <f>_xlfn.XLOOKUP(G60,SM[Employee ID],SM[State/City])</f>
        <v>Chandigarh</v>
      </c>
      <c r="K60" s="2">
        <f>_xlfn.XLOOKUP(Sales[[#This Row],[Order ID]],ST[Order ID],ST[Units Sold])</f>
        <v>2</v>
      </c>
      <c r="L60">
        <f t="shared" si="0"/>
        <v>1760</v>
      </c>
    </row>
    <row r="61" spans="1:12" x14ac:dyDescent="0.35">
      <c r="A61" s="7">
        <v>1066</v>
      </c>
      <c r="B61" s="1">
        <v>44995</v>
      </c>
      <c r="C61" s="2" t="s">
        <v>18</v>
      </c>
      <c r="D61" t="str">
        <f>_xlfn.XLOOKUP(Merged_Sales_Data!C61,PM[Product ID],PM[Product Name])</f>
        <v>LED Monitor 24"</v>
      </c>
      <c r="E61" t="str">
        <f>VLOOKUP(C61,PM[],3,FALSE)</f>
        <v>Electronics</v>
      </c>
      <c r="F61">
        <f>_xlfn.XLOOKUP(C61,PM[Product ID],PM[Unit Price (₹)])</f>
        <v>7700</v>
      </c>
      <c r="G61" t="str">
        <f>_xlfn.XLOOKUP(Sales[[#This Row],[Order ID]],ST[Order ID],ST[Employee ID])</f>
        <v>E08</v>
      </c>
      <c r="H61" t="str">
        <f>_xlfn.XLOOKUP(G61,SM[Employee ID],SM[Salesperson])</f>
        <v>Neha Joshi</v>
      </c>
      <c r="I61" t="str">
        <f>_xlfn.XLOOKUP(G61,SM[Employee ID],SM[Region])</f>
        <v>West</v>
      </c>
      <c r="J61" t="str">
        <f>_xlfn.XLOOKUP(G61,SM[Employee ID],SM[State/City])</f>
        <v>Ahmedabad</v>
      </c>
      <c r="K61" s="2">
        <f>_xlfn.XLOOKUP(Sales[[#This Row],[Order ID]],ST[Order ID],ST[Units Sold])</f>
        <v>2</v>
      </c>
      <c r="L61">
        <f t="shared" si="0"/>
        <v>15400</v>
      </c>
    </row>
    <row r="62" spans="1:12" x14ac:dyDescent="0.35">
      <c r="A62" s="7">
        <v>1063</v>
      </c>
      <c r="B62" s="1">
        <v>44998</v>
      </c>
      <c r="C62" s="2" t="s">
        <v>21</v>
      </c>
      <c r="D62" t="str">
        <f>_xlfn.XLOOKUP(Merged_Sales_Data!C62,PM[Product ID],PM[Product Name])</f>
        <v>Wireless Mouse</v>
      </c>
      <c r="E62" t="str">
        <f>VLOOKUP(C62,PM[],3,FALSE)</f>
        <v>Electronics</v>
      </c>
      <c r="F62">
        <f>_xlfn.XLOOKUP(C62,PM[Product ID],PM[Unit Price (₹)])</f>
        <v>780</v>
      </c>
      <c r="G62" t="str">
        <f>_xlfn.XLOOKUP(Sales[[#This Row],[Order ID]],ST[Order ID],ST[Employee ID])</f>
        <v>E07</v>
      </c>
      <c r="H62" t="str">
        <f>_xlfn.XLOOKUP(G62,SM[Employee ID],SM[Salesperson])</f>
        <v>Aditya Kapoor</v>
      </c>
      <c r="I62" t="str">
        <f>_xlfn.XLOOKUP(G62,SM[Employee ID],SM[Region])</f>
        <v>West</v>
      </c>
      <c r="J62" t="str">
        <f>_xlfn.XLOOKUP(G62,SM[Employee ID],SM[State/City])</f>
        <v>Mumbai</v>
      </c>
      <c r="K62" s="2">
        <f>_xlfn.XLOOKUP(Sales[[#This Row],[Order ID]],ST[Order ID],ST[Units Sold])</f>
        <v>1</v>
      </c>
      <c r="L62">
        <f t="shared" si="0"/>
        <v>780</v>
      </c>
    </row>
    <row r="63" spans="1:12" x14ac:dyDescent="0.35">
      <c r="A63" s="7">
        <v>1053</v>
      </c>
      <c r="B63" s="1">
        <v>44999</v>
      </c>
      <c r="C63" s="2" t="s">
        <v>12</v>
      </c>
      <c r="D63" t="str">
        <f>_xlfn.XLOOKUP(Merged_Sales_Data!C63,PM[Product ID],PM[Product Name])</f>
        <v>Bookshelf Unit</v>
      </c>
      <c r="E63" t="str">
        <f>VLOOKUP(C63,PM[],3,FALSE)</f>
        <v>Furniture</v>
      </c>
      <c r="F63">
        <f>_xlfn.XLOOKUP(C63,PM[Product ID],PM[Unit Price (₹)])</f>
        <v>3910</v>
      </c>
      <c r="G63" t="str">
        <f>_xlfn.XLOOKUP(Sales[[#This Row],[Order ID]],ST[Order ID],ST[Employee ID])</f>
        <v>E07</v>
      </c>
      <c r="H63" t="str">
        <f>_xlfn.XLOOKUP(G63,SM[Employee ID],SM[Salesperson])</f>
        <v>Aditya Kapoor</v>
      </c>
      <c r="I63" t="str">
        <f>_xlfn.XLOOKUP(G63,SM[Employee ID],SM[Region])</f>
        <v>West</v>
      </c>
      <c r="J63" t="str">
        <f>_xlfn.XLOOKUP(G63,SM[Employee ID],SM[State/City])</f>
        <v>Mumbai</v>
      </c>
      <c r="K63" s="2">
        <f>_xlfn.XLOOKUP(Sales[[#This Row],[Order ID]],ST[Order ID],ST[Units Sold])</f>
        <v>4</v>
      </c>
      <c r="L63">
        <f t="shared" si="0"/>
        <v>15640</v>
      </c>
    </row>
    <row r="64" spans="1:12" x14ac:dyDescent="0.35">
      <c r="A64" s="7">
        <v>1058</v>
      </c>
      <c r="B64" s="1">
        <v>45000</v>
      </c>
      <c r="C64" s="2" t="s">
        <v>18</v>
      </c>
      <c r="D64" t="str">
        <f>_xlfn.XLOOKUP(Merged_Sales_Data!C64,PM[Product ID],PM[Product Name])</f>
        <v>LED Monitor 24"</v>
      </c>
      <c r="E64" t="str">
        <f>VLOOKUP(C64,PM[],3,FALSE)</f>
        <v>Electronics</v>
      </c>
      <c r="F64">
        <f>_xlfn.XLOOKUP(C64,PM[Product ID],PM[Unit Price (₹)])</f>
        <v>7700</v>
      </c>
      <c r="G64" t="str">
        <f>_xlfn.XLOOKUP(Sales[[#This Row],[Order ID]],ST[Order ID],ST[Employee ID])</f>
        <v>E07</v>
      </c>
      <c r="H64" t="str">
        <f>_xlfn.XLOOKUP(G64,SM[Employee ID],SM[Salesperson])</f>
        <v>Aditya Kapoor</v>
      </c>
      <c r="I64" t="str">
        <f>_xlfn.XLOOKUP(G64,SM[Employee ID],SM[Region])</f>
        <v>West</v>
      </c>
      <c r="J64" t="str">
        <f>_xlfn.XLOOKUP(G64,SM[Employee ID],SM[State/City])</f>
        <v>Mumbai</v>
      </c>
      <c r="K64" s="2">
        <f>_xlfn.XLOOKUP(Sales[[#This Row],[Order ID]],ST[Order ID],ST[Units Sold])</f>
        <v>2</v>
      </c>
      <c r="L64">
        <f t="shared" si="0"/>
        <v>15400</v>
      </c>
    </row>
    <row r="65" spans="1:12" x14ac:dyDescent="0.35">
      <c r="A65" s="7">
        <v>1060</v>
      </c>
      <c r="B65" s="1">
        <v>45003</v>
      </c>
      <c r="C65" s="2" t="s">
        <v>21</v>
      </c>
      <c r="D65" t="str">
        <f>_xlfn.XLOOKUP(Merged_Sales_Data!C65,PM[Product ID],PM[Product Name])</f>
        <v>Wireless Mouse</v>
      </c>
      <c r="E65" t="str">
        <f>VLOOKUP(C65,PM[],3,FALSE)</f>
        <v>Electronics</v>
      </c>
      <c r="F65">
        <f>_xlfn.XLOOKUP(C65,PM[Product ID],PM[Unit Price (₹)])</f>
        <v>780</v>
      </c>
      <c r="G65" t="str">
        <f>_xlfn.XLOOKUP(Sales[[#This Row],[Order ID]],ST[Order ID],ST[Employee ID])</f>
        <v>E02</v>
      </c>
      <c r="H65" t="str">
        <f>_xlfn.XLOOKUP(G65,SM[Employee ID],SM[Salesperson])</f>
        <v>Ishita Verma</v>
      </c>
      <c r="I65" t="str">
        <f>_xlfn.XLOOKUP(G65,SM[Employee ID],SM[Region])</f>
        <v>North</v>
      </c>
      <c r="J65" t="str">
        <f>_xlfn.XLOOKUP(G65,SM[Employee ID],SM[State/City])</f>
        <v>Chandigarh</v>
      </c>
      <c r="K65" s="2">
        <f>_xlfn.XLOOKUP(Sales[[#This Row],[Order ID]],ST[Order ID],ST[Units Sold])</f>
        <v>10</v>
      </c>
      <c r="L65">
        <f t="shared" si="0"/>
        <v>7800</v>
      </c>
    </row>
    <row r="66" spans="1:12" x14ac:dyDescent="0.35">
      <c r="A66" s="7">
        <v>1054</v>
      </c>
      <c r="B66" s="1">
        <v>45006</v>
      </c>
      <c r="C66" s="2" t="s">
        <v>21</v>
      </c>
      <c r="D66" t="str">
        <f>_xlfn.XLOOKUP(Merged_Sales_Data!C66,PM[Product ID],PM[Product Name])</f>
        <v>Wireless Mouse</v>
      </c>
      <c r="E66" t="str">
        <f>VLOOKUP(C66,PM[],3,FALSE)</f>
        <v>Electronics</v>
      </c>
      <c r="F66">
        <f>_xlfn.XLOOKUP(C66,PM[Product ID],PM[Unit Price (₹)])</f>
        <v>780</v>
      </c>
      <c r="G66" t="str">
        <f>_xlfn.XLOOKUP(Sales[[#This Row],[Order ID]],ST[Order ID],ST[Employee ID])</f>
        <v>E08</v>
      </c>
      <c r="H66" t="str">
        <f>_xlfn.XLOOKUP(G66,SM[Employee ID],SM[Salesperson])</f>
        <v>Neha Joshi</v>
      </c>
      <c r="I66" t="str">
        <f>_xlfn.XLOOKUP(G66,SM[Employee ID],SM[Region])</f>
        <v>West</v>
      </c>
      <c r="J66" t="str">
        <f>_xlfn.XLOOKUP(G66,SM[Employee ID],SM[State/City])</f>
        <v>Ahmedabad</v>
      </c>
      <c r="K66" s="2">
        <f>_xlfn.XLOOKUP(Sales[[#This Row],[Order ID]],ST[Order ID],ST[Units Sold])</f>
        <v>10</v>
      </c>
      <c r="L66">
        <f t="shared" si="0"/>
        <v>7800</v>
      </c>
    </row>
    <row r="67" spans="1:12" x14ac:dyDescent="0.35">
      <c r="A67" s="7">
        <v>1065</v>
      </c>
      <c r="B67" s="1">
        <v>45008</v>
      </c>
      <c r="C67" s="2" t="s">
        <v>20</v>
      </c>
      <c r="D67" t="str">
        <f>_xlfn.XLOOKUP(Merged_Sales_Data!C67,PM[Product ID],PM[Product Name])</f>
        <v>Standing Desk</v>
      </c>
      <c r="E67" t="str">
        <f>VLOOKUP(C67,PM[],3,FALSE)</f>
        <v>Office Supplies</v>
      </c>
      <c r="F67">
        <f>_xlfn.XLOOKUP(C67,PM[Product ID],PM[Unit Price (₹)])</f>
        <v>11010</v>
      </c>
      <c r="G67" t="str">
        <f>_xlfn.XLOOKUP(Sales[[#This Row],[Order ID]],ST[Order ID],ST[Employee ID])</f>
        <v>E08</v>
      </c>
      <c r="H67" t="str">
        <f>_xlfn.XLOOKUP(G67,SM[Employee ID],SM[Salesperson])</f>
        <v>Neha Joshi</v>
      </c>
      <c r="I67" t="str">
        <f>_xlfn.XLOOKUP(G67,SM[Employee ID],SM[Region])</f>
        <v>West</v>
      </c>
      <c r="J67" t="str">
        <f>_xlfn.XLOOKUP(G67,SM[Employee ID],SM[State/City])</f>
        <v>Ahmedabad</v>
      </c>
      <c r="K67" s="2">
        <f>_xlfn.XLOOKUP(Sales[[#This Row],[Order ID]],ST[Order ID],ST[Units Sold])</f>
        <v>4</v>
      </c>
      <c r="L67">
        <f t="shared" ref="L67:L130" si="1">F67*K67</f>
        <v>44040</v>
      </c>
    </row>
    <row r="68" spans="1:12" x14ac:dyDescent="0.35">
      <c r="A68" s="7">
        <v>1075</v>
      </c>
      <c r="B68" s="1">
        <v>45008</v>
      </c>
      <c r="C68" s="2" t="s">
        <v>5</v>
      </c>
      <c r="D68" t="str">
        <f>_xlfn.XLOOKUP(Merged_Sales_Data!C68,PM[Product ID],PM[Product Name])</f>
        <v>Ergo Office Chair</v>
      </c>
      <c r="E68" t="str">
        <f>VLOOKUP(C68,PM[],3,FALSE)</f>
        <v>Office Supplies</v>
      </c>
      <c r="F68">
        <f>_xlfn.XLOOKUP(C68,PM[Product ID],PM[Unit Price (₹)])</f>
        <v>6750</v>
      </c>
      <c r="G68" t="str">
        <f>_xlfn.XLOOKUP(Sales[[#This Row],[Order ID]],ST[Order ID],ST[Employee ID])</f>
        <v>E05</v>
      </c>
      <c r="H68" t="str">
        <f>_xlfn.XLOOKUP(G68,SM[Employee ID],SM[Salesperson])</f>
        <v>Karan Malhotra</v>
      </c>
      <c r="I68" t="str">
        <f>_xlfn.XLOOKUP(G68,SM[Employee ID],SM[Region])</f>
        <v>East</v>
      </c>
      <c r="J68" t="str">
        <f>_xlfn.XLOOKUP(G68,SM[Employee ID],SM[State/City])</f>
        <v>Kolkata</v>
      </c>
      <c r="K68" s="2">
        <f>_xlfn.XLOOKUP(Sales[[#This Row],[Order ID]],ST[Order ID],ST[Units Sold])</f>
        <v>10</v>
      </c>
      <c r="L68">
        <f t="shared" si="1"/>
        <v>67500</v>
      </c>
    </row>
    <row r="69" spans="1:12" x14ac:dyDescent="0.35">
      <c r="A69" s="7">
        <v>1055</v>
      </c>
      <c r="B69" s="1">
        <v>45009</v>
      </c>
      <c r="C69" s="2" t="s">
        <v>21</v>
      </c>
      <c r="D69" t="str">
        <f>_xlfn.XLOOKUP(Merged_Sales_Data!C69,PM[Product ID],PM[Product Name])</f>
        <v>Wireless Mouse</v>
      </c>
      <c r="E69" t="str">
        <f>VLOOKUP(C69,PM[],3,FALSE)</f>
        <v>Electronics</v>
      </c>
      <c r="F69">
        <f>_xlfn.XLOOKUP(C69,PM[Product ID],PM[Unit Price (₹)])</f>
        <v>780</v>
      </c>
      <c r="G69" t="str">
        <f>_xlfn.XLOOKUP(Sales[[#This Row],[Order ID]],ST[Order ID],ST[Employee ID])</f>
        <v>E02</v>
      </c>
      <c r="H69" t="str">
        <f>_xlfn.XLOOKUP(G69,SM[Employee ID],SM[Salesperson])</f>
        <v>Ishita Verma</v>
      </c>
      <c r="I69" t="str">
        <f>_xlfn.XLOOKUP(G69,SM[Employee ID],SM[Region])</f>
        <v>North</v>
      </c>
      <c r="J69" t="str">
        <f>_xlfn.XLOOKUP(G69,SM[Employee ID],SM[State/City])</f>
        <v>Chandigarh</v>
      </c>
      <c r="K69" s="2">
        <f>_xlfn.XLOOKUP(Sales[[#This Row],[Order ID]],ST[Order ID],ST[Units Sold])</f>
        <v>4</v>
      </c>
      <c r="L69">
        <f t="shared" si="1"/>
        <v>3120</v>
      </c>
    </row>
    <row r="70" spans="1:12" x14ac:dyDescent="0.35">
      <c r="A70" s="7">
        <v>1067</v>
      </c>
      <c r="B70" s="1">
        <v>45009</v>
      </c>
      <c r="C70" s="2" t="s">
        <v>21</v>
      </c>
      <c r="D70" t="str">
        <f>_xlfn.XLOOKUP(Merged_Sales_Data!C70,PM[Product ID],PM[Product Name])</f>
        <v>Wireless Mouse</v>
      </c>
      <c r="E70" t="str">
        <f>VLOOKUP(C70,PM[],3,FALSE)</f>
        <v>Electronics</v>
      </c>
      <c r="F70">
        <f>_xlfn.XLOOKUP(C70,PM[Product ID],PM[Unit Price (₹)])</f>
        <v>780</v>
      </c>
      <c r="G70" t="str">
        <f>_xlfn.XLOOKUP(Sales[[#This Row],[Order ID]],ST[Order ID],ST[Employee ID])</f>
        <v>E04</v>
      </c>
      <c r="H70" t="str">
        <f>_xlfn.XLOOKUP(G70,SM[Employee ID],SM[Salesperson])</f>
        <v>Priya Nair</v>
      </c>
      <c r="I70" t="str">
        <f>_xlfn.XLOOKUP(G70,SM[Employee ID],SM[Region])</f>
        <v>South</v>
      </c>
      <c r="J70" t="str">
        <f>_xlfn.XLOOKUP(G70,SM[Employee ID],SM[State/City])</f>
        <v>Bengaluru</v>
      </c>
      <c r="K70" s="2">
        <f>_xlfn.XLOOKUP(Sales[[#This Row],[Order ID]],ST[Order ID],ST[Units Sold])</f>
        <v>8</v>
      </c>
      <c r="L70">
        <f t="shared" si="1"/>
        <v>6240</v>
      </c>
    </row>
    <row r="71" spans="1:12" x14ac:dyDescent="0.35">
      <c r="A71" s="7">
        <v>1051</v>
      </c>
      <c r="B71" s="1">
        <v>45011</v>
      </c>
      <c r="C71" s="2" t="s">
        <v>5</v>
      </c>
      <c r="D71" t="str">
        <f>_xlfn.XLOOKUP(Merged_Sales_Data!C71,PM[Product ID],PM[Product Name])</f>
        <v>Ergo Office Chair</v>
      </c>
      <c r="E71" t="str">
        <f>VLOOKUP(C71,PM[],3,FALSE)</f>
        <v>Office Supplies</v>
      </c>
      <c r="F71">
        <f>_xlfn.XLOOKUP(C71,PM[Product ID],PM[Unit Price (₹)])</f>
        <v>6750</v>
      </c>
      <c r="G71" t="str">
        <f>_xlfn.XLOOKUP(Sales[[#This Row],[Order ID]],ST[Order ID],ST[Employee ID])</f>
        <v>E08</v>
      </c>
      <c r="H71" t="str">
        <f>_xlfn.XLOOKUP(G71,SM[Employee ID],SM[Salesperson])</f>
        <v>Neha Joshi</v>
      </c>
      <c r="I71" t="str">
        <f>_xlfn.XLOOKUP(G71,SM[Employee ID],SM[Region])</f>
        <v>West</v>
      </c>
      <c r="J71" t="str">
        <f>_xlfn.XLOOKUP(G71,SM[Employee ID],SM[State/City])</f>
        <v>Ahmedabad</v>
      </c>
      <c r="K71" s="2">
        <f>_xlfn.XLOOKUP(Sales[[#This Row],[Order ID]],ST[Order ID],ST[Units Sold])</f>
        <v>5</v>
      </c>
      <c r="L71">
        <f t="shared" si="1"/>
        <v>33750</v>
      </c>
    </row>
    <row r="72" spans="1:12" x14ac:dyDescent="0.35">
      <c r="A72" s="7">
        <v>1059</v>
      </c>
      <c r="B72" s="1">
        <v>45011</v>
      </c>
      <c r="C72" s="2" t="s">
        <v>11</v>
      </c>
      <c r="D72" t="str">
        <f>_xlfn.XLOOKUP(Merged_Sales_Data!C72,PM[Product ID],PM[Product Name])</f>
        <v>Bluetooth Speaker</v>
      </c>
      <c r="E72" t="str">
        <f>VLOOKUP(C72,PM[],3,FALSE)</f>
        <v>Electronics</v>
      </c>
      <c r="F72">
        <f>_xlfn.XLOOKUP(C72,PM[Product ID],PM[Unit Price (₹)])</f>
        <v>1430</v>
      </c>
      <c r="G72" t="str">
        <f>_xlfn.XLOOKUP(Sales[[#This Row],[Order ID]],ST[Order ID],ST[Employee ID])</f>
        <v>E04</v>
      </c>
      <c r="H72" t="str">
        <f>_xlfn.XLOOKUP(G72,SM[Employee ID],SM[Salesperson])</f>
        <v>Priya Nair</v>
      </c>
      <c r="I72" t="str">
        <f>_xlfn.XLOOKUP(G72,SM[Employee ID],SM[Region])</f>
        <v>South</v>
      </c>
      <c r="J72" t="str">
        <f>_xlfn.XLOOKUP(G72,SM[Employee ID],SM[State/City])</f>
        <v>Bengaluru</v>
      </c>
      <c r="K72" s="2">
        <f>_xlfn.XLOOKUP(Sales[[#This Row],[Order ID]],ST[Order ID],ST[Units Sold])</f>
        <v>5</v>
      </c>
      <c r="L72">
        <f t="shared" si="1"/>
        <v>7150</v>
      </c>
    </row>
    <row r="73" spans="1:12" x14ac:dyDescent="0.35">
      <c r="A73" s="7">
        <v>1070</v>
      </c>
      <c r="B73" s="1">
        <v>45013</v>
      </c>
      <c r="C73" s="2" t="s">
        <v>8</v>
      </c>
      <c r="D73" t="str">
        <f>_xlfn.XLOOKUP(Merged_Sales_Data!C73,PM[Product ID],PM[Product Name])</f>
        <v>USB-C Hub</v>
      </c>
      <c r="E73" t="str">
        <f>VLOOKUP(C73,PM[],3,FALSE)</f>
        <v>Accessories</v>
      </c>
      <c r="F73">
        <f>_xlfn.XLOOKUP(C73,PM[Product ID],PM[Unit Price (₹)])</f>
        <v>880</v>
      </c>
      <c r="G73" t="str">
        <f>_xlfn.XLOOKUP(Sales[[#This Row],[Order ID]],ST[Order ID],ST[Employee ID])</f>
        <v>E01</v>
      </c>
      <c r="H73" t="str">
        <f>_xlfn.XLOOKUP(G73,SM[Employee ID],SM[Salesperson])</f>
        <v>Aarav Sharma</v>
      </c>
      <c r="I73" t="str">
        <f>_xlfn.XLOOKUP(G73,SM[Employee ID],SM[Region])</f>
        <v>North</v>
      </c>
      <c r="J73" t="str">
        <f>_xlfn.XLOOKUP(G73,SM[Employee ID],SM[State/City])</f>
        <v>Lucknow</v>
      </c>
      <c r="K73" s="2">
        <f>_xlfn.XLOOKUP(Sales[[#This Row],[Order ID]],ST[Order ID],ST[Units Sold])</f>
        <v>1</v>
      </c>
      <c r="L73">
        <f t="shared" si="1"/>
        <v>880</v>
      </c>
    </row>
    <row r="74" spans="1:12" x14ac:dyDescent="0.35">
      <c r="A74" s="7">
        <v>1064</v>
      </c>
      <c r="B74" s="1">
        <v>45015</v>
      </c>
      <c r="C74" s="2" t="s">
        <v>10</v>
      </c>
      <c r="D74" t="str">
        <f>_xlfn.XLOOKUP(Merged_Sales_Data!C74,PM[Product ID],PM[Product Name])</f>
        <v>Filing Cabinet</v>
      </c>
      <c r="E74" t="str">
        <f>VLOOKUP(C74,PM[],3,FALSE)</f>
        <v>Furniture</v>
      </c>
      <c r="F74">
        <f>_xlfn.XLOOKUP(C74,PM[Product ID],PM[Unit Price (₹)])</f>
        <v>4070</v>
      </c>
      <c r="G74" t="str">
        <f>_xlfn.XLOOKUP(Sales[[#This Row],[Order ID]],ST[Order ID],ST[Employee ID])</f>
        <v>E01</v>
      </c>
      <c r="H74" t="str">
        <f>_xlfn.XLOOKUP(G74,SM[Employee ID],SM[Salesperson])</f>
        <v>Aarav Sharma</v>
      </c>
      <c r="I74" t="str">
        <f>_xlfn.XLOOKUP(G74,SM[Employee ID],SM[Region])</f>
        <v>North</v>
      </c>
      <c r="J74" t="str">
        <f>_xlfn.XLOOKUP(G74,SM[Employee ID],SM[State/City])</f>
        <v>Lucknow</v>
      </c>
      <c r="K74" s="2">
        <f>_xlfn.XLOOKUP(Sales[[#This Row],[Order ID]],ST[Order ID],ST[Units Sold])</f>
        <v>2</v>
      </c>
      <c r="L74">
        <f t="shared" si="1"/>
        <v>8140</v>
      </c>
    </row>
    <row r="75" spans="1:12" x14ac:dyDescent="0.35">
      <c r="A75" s="7">
        <v>1074</v>
      </c>
      <c r="B75" s="1">
        <v>45015</v>
      </c>
      <c r="C75" s="2" t="s">
        <v>8</v>
      </c>
      <c r="D75" t="str">
        <f>_xlfn.XLOOKUP(Merged_Sales_Data!C75,PM[Product ID],PM[Product Name])</f>
        <v>USB-C Hub</v>
      </c>
      <c r="E75" t="str">
        <f>VLOOKUP(C75,PM[],3,FALSE)</f>
        <v>Accessories</v>
      </c>
      <c r="F75">
        <f>_xlfn.XLOOKUP(C75,PM[Product ID],PM[Unit Price (₹)])</f>
        <v>880</v>
      </c>
      <c r="G75" t="str">
        <f>_xlfn.XLOOKUP(Sales[[#This Row],[Order ID]],ST[Order ID],ST[Employee ID])</f>
        <v>E07</v>
      </c>
      <c r="H75" t="str">
        <f>_xlfn.XLOOKUP(G75,SM[Employee ID],SM[Salesperson])</f>
        <v>Aditya Kapoor</v>
      </c>
      <c r="I75" t="str">
        <f>_xlfn.XLOOKUP(G75,SM[Employee ID],SM[Region])</f>
        <v>West</v>
      </c>
      <c r="J75" t="str">
        <f>_xlfn.XLOOKUP(G75,SM[Employee ID],SM[State/City])</f>
        <v>Mumbai</v>
      </c>
      <c r="K75" s="2">
        <f>_xlfn.XLOOKUP(Sales[[#This Row],[Order ID]],ST[Order ID],ST[Units Sold])</f>
        <v>3</v>
      </c>
      <c r="L75">
        <f t="shared" si="1"/>
        <v>2640</v>
      </c>
    </row>
    <row r="76" spans="1:12" x14ac:dyDescent="0.35">
      <c r="A76" s="7">
        <v>1072</v>
      </c>
      <c r="B76" s="1">
        <v>45016</v>
      </c>
      <c r="C76" s="2" t="s">
        <v>10</v>
      </c>
      <c r="D76" t="str">
        <f>_xlfn.XLOOKUP(Merged_Sales_Data!C76,PM[Product ID],PM[Product Name])</f>
        <v>Filing Cabinet</v>
      </c>
      <c r="E76" t="str">
        <f>VLOOKUP(C76,PM[],3,FALSE)</f>
        <v>Furniture</v>
      </c>
      <c r="F76">
        <f>_xlfn.XLOOKUP(C76,PM[Product ID],PM[Unit Price (₹)])</f>
        <v>4070</v>
      </c>
      <c r="G76" t="str">
        <f>_xlfn.XLOOKUP(Sales[[#This Row],[Order ID]],ST[Order ID],ST[Employee ID])</f>
        <v>E04</v>
      </c>
      <c r="H76" t="str">
        <f>_xlfn.XLOOKUP(G76,SM[Employee ID],SM[Salesperson])</f>
        <v>Priya Nair</v>
      </c>
      <c r="I76" t="str">
        <f>_xlfn.XLOOKUP(G76,SM[Employee ID],SM[Region])</f>
        <v>South</v>
      </c>
      <c r="J76" t="str">
        <f>_xlfn.XLOOKUP(G76,SM[Employee ID],SM[State/City])</f>
        <v>Bengaluru</v>
      </c>
      <c r="K76" s="2">
        <f>_xlfn.XLOOKUP(Sales[[#This Row],[Order ID]],ST[Order ID],ST[Units Sold])</f>
        <v>1</v>
      </c>
      <c r="L76">
        <f t="shared" si="1"/>
        <v>4070</v>
      </c>
    </row>
    <row r="77" spans="1:12" x14ac:dyDescent="0.35">
      <c r="A77" s="7">
        <v>1100</v>
      </c>
      <c r="B77" s="1">
        <v>45017</v>
      </c>
      <c r="C77" s="2" t="s">
        <v>18</v>
      </c>
      <c r="D77" t="str">
        <f>_xlfn.XLOOKUP(Merged_Sales_Data!C77,PM[Product ID],PM[Product Name])</f>
        <v>LED Monitor 24"</v>
      </c>
      <c r="E77" t="str">
        <f>VLOOKUP(C77,PM[],3,FALSE)</f>
        <v>Electronics</v>
      </c>
      <c r="F77">
        <f>_xlfn.XLOOKUP(C77,PM[Product ID],PM[Unit Price (₹)])</f>
        <v>7700</v>
      </c>
      <c r="G77" t="str">
        <f>_xlfn.XLOOKUP(Sales[[#This Row],[Order ID]],ST[Order ID],ST[Employee ID])</f>
        <v>E03</v>
      </c>
      <c r="H77" t="str">
        <f>_xlfn.XLOOKUP(G77,SM[Employee ID],SM[Salesperson])</f>
        <v>Rohan Mehta</v>
      </c>
      <c r="I77" t="str">
        <f>_xlfn.XLOOKUP(G77,SM[Employee ID],SM[Region])</f>
        <v>South</v>
      </c>
      <c r="J77" t="str">
        <f>_xlfn.XLOOKUP(G77,SM[Employee ID],SM[State/City])</f>
        <v>Bengaluru</v>
      </c>
      <c r="K77" s="2">
        <f>_xlfn.XLOOKUP(Sales[[#This Row],[Order ID]],ST[Order ID],ST[Units Sold])</f>
        <v>4</v>
      </c>
      <c r="L77">
        <f t="shared" si="1"/>
        <v>30800</v>
      </c>
    </row>
    <row r="78" spans="1:12" x14ac:dyDescent="0.35">
      <c r="A78" s="7">
        <v>1076</v>
      </c>
      <c r="B78" s="1">
        <v>45021</v>
      </c>
      <c r="C78" s="2" t="s">
        <v>20</v>
      </c>
      <c r="D78" t="str">
        <f>_xlfn.XLOOKUP(Merged_Sales_Data!C78,PM[Product ID],PM[Product Name])</f>
        <v>Standing Desk</v>
      </c>
      <c r="E78" t="str">
        <f>VLOOKUP(C78,PM[],3,FALSE)</f>
        <v>Office Supplies</v>
      </c>
      <c r="F78">
        <f>_xlfn.XLOOKUP(C78,PM[Product ID],PM[Unit Price (₹)])</f>
        <v>11010</v>
      </c>
      <c r="G78" t="str">
        <f>_xlfn.XLOOKUP(Sales[[#This Row],[Order ID]],ST[Order ID],ST[Employee ID])</f>
        <v>E04</v>
      </c>
      <c r="H78" t="str">
        <f>_xlfn.XLOOKUP(G78,SM[Employee ID],SM[Salesperson])</f>
        <v>Priya Nair</v>
      </c>
      <c r="I78" t="str">
        <f>_xlfn.XLOOKUP(G78,SM[Employee ID],SM[Region])</f>
        <v>South</v>
      </c>
      <c r="J78" t="str">
        <f>_xlfn.XLOOKUP(G78,SM[Employee ID],SM[State/City])</f>
        <v>Bengaluru</v>
      </c>
      <c r="K78" s="2">
        <f>_xlfn.XLOOKUP(Sales[[#This Row],[Order ID]],ST[Order ID],ST[Units Sold])</f>
        <v>4</v>
      </c>
      <c r="L78">
        <f t="shared" si="1"/>
        <v>44040</v>
      </c>
    </row>
    <row r="79" spans="1:12" x14ac:dyDescent="0.35">
      <c r="A79" s="7">
        <v>1085</v>
      </c>
      <c r="B79" s="1">
        <v>45021</v>
      </c>
      <c r="C79" s="2" t="s">
        <v>11</v>
      </c>
      <c r="D79" t="str">
        <f>_xlfn.XLOOKUP(Merged_Sales_Data!C79,PM[Product ID],PM[Product Name])</f>
        <v>Bluetooth Speaker</v>
      </c>
      <c r="E79" t="str">
        <f>VLOOKUP(C79,PM[],3,FALSE)</f>
        <v>Electronics</v>
      </c>
      <c r="F79">
        <f>_xlfn.XLOOKUP(C79,PM[Product ID],PM[Unit Price (₹)])</f>
        <v>1430</v>
      </c>
      <c r="G79" t="str">
        <f>_xlfn.XLOOKUP(Sales[[#This Row],[Order ID]],ST[Order ID],ST[Employee ID])</f>
        <v>E02</v>
      </c>
      <c r="H79" t="str">
        <f>_xlfn.XLOOKUP(G79,SM[Employee ID],SM[Salesperson])</f>
        <v>Ishita Verma</v>
      </c>
      <c r="I79" t="str">
        <f>_xlfn.XLOOKUP(G79,SM[Employee ID],SM[Region])</f>
        <v>North</v>
      </c>
      <c r="J79" t="str">
        <f>_xlfn.XLOOKUP(G79,SM[Employee ID],SM[State/City])</f>
        <v>Chandigarh</v>
      </c>
      <c r="K79" s="2">
        <f>_xlfn.XLOOKUP(Sales[[#This Row],[Order ID]],ST[Order ID],ST[Units Sold])</f>
        <v>6</v>
      </c>
      <c r="L79">
        <f t="shared" si="1"/>
        <v>8580</v>
      </c>
    </row>
    <row r="80" spans="1:12" x14ac:dyDescent="0.35">
      <c r="A80" s="7">
        <v>1079</v>
      </c>
      <c r="B80" s="1">
        <v>45023</v>
      </c>
      <c r="C80" s="2" t="s">
        <v>11</v>
      </c>
      <c r="D80" t="str">
        <f>_xlfn.XLOOKUP(Merged_Sales_Data!C80,PM[Product ID],PM[Product Name])</f>
        <v>Bluetooth Speaker</v>
      </c>
      <c r="E80" t="str">
        <f>VLOOKUP(C80,PM[],3,FALSE)</f>
        <v>Electronics</v>
      </c>
      <c r="F80">
        <f>_xlfn.XLOOKUP(C80,PM[Product ID],PM[Unit Price (₹)])</f>
        <v>1430</v>
      </c>
      <c r="G80" t="str">
        <f>_xlfn.XLOOKUP(Sales[[#This Row],[Order ID]],ST[Order ID],ST[Employee ID])</f>
        <v>E02</v>
      </c>
      <c r="H80" t="str">
        <f>_xlfn.XLOOKUP(G80,SM[Employee ID],SM[Salesperson])</f>
        <v>Ishita Verma</v>
      </c>
      <c r="I80" t="str">
        <f>_xlfn.XLOOKUP(G80,SM[Employee ID],SM[Region])</f>
        <v>North</v>
      </c>
      <c r="J80" t="str">
        <f>_xlfn.XLOOKUP(G80,SM[Employee ID],SM[State/City])</f>
        <v>Chandigarh</v>
      </c>
      <c r="K80" s="2">
        <f>_xlfn.XLOOKUP(Sales[[#This Row],[Order ID]],ST[Order ID],ST[Units Sold])</f>
        <v>6</v>
      </c>
      <c r="L80">
        <f t="shared" si="1"/>
        <v>8580</v>
      </c>
    </row>
    <row r="81" spans="1:12" x14ac:dyDescent="0.35">
      <c r="A81" s="7">
        <v>1086</v>
      </c>
      <c r="B81" s="1">
        <v>45023</v>
      </c>
      <c r="C81" s="2" t="s">
        <v>20</v>
      </c>
      <c r="D81" t="str">
        <f>_xlfn.XLOOKUP(Merged_Sales_Data!C81,PM[Product ID],PM[Product Name])</f>
        <v>Standing Desk</v>
      </c>
      <c r="E81" t="str">
        <f>VLOOKUP(C81,PM[],3,FALSE)</f>
        <v>Office Supplies</v>
      </c>
      <c r="F81">
        <f>_xlfn.XLOOKUP(C81,PM[Product ID],PM[Unit Price (₹)])</f>
        <v>11010</v>
      </c>
      <c r="G81" t="str">
        <f>_xlfn.XLOOKUP(Sales[[#This Row],[Order ID]],ST[Order ID],ST[Employee ID])</f>
        <v>E05</v>
      </c>
      <c r="H81" t="str">
        <f>_xlfn.XLOOKUP(G81,SM[Employee ID],SM[Salesperson])</f>
        <v>Karan Malhotra</v>
      </c>
      <c r="I81" t="str">
        <f>_xlfn.XLOOKUP(G81,SM[Employee ID],SM[Region])</f>
        <v>East</v>
      </c>
      <c r="J81" t="str">
        <f>_xlfn.XLOOKUP(G81,SM[Employee ID],SM[State/City])</f>
        <v>Kolkata</v>
      </c>
      <c r="K81" s="2">
        <f>_xlfn.XLOOKUP(Sales[[#This Row],[Order ID]],ST[Order ID],ST[Units Sold])</f>
        <v>8</v>
      </c>
      <c r="L81">
        <f t="shared" si="1"/>
        <v>88080</v>
      </c>
    </row>
    <row r="82" spans="1:12" x14ac:dyDescent="0.35">
      <c r="A82" s="7">
        <v>1084</v>
      </c>
      <c r="B82" s="1">
        <v>45025</v>
      </c>
      <c r="C82" s="2" t="s">
        <v>11</v>
      </c>
      <c r="D82" t="str">
        <f>_xlfn.XLOOKUP(Merged_Sales_Data!C82,PM[Product ID],PM[Product Name])</f>
        <v>Bluetooth Speaker</v>
      </c>
      <c r="E82" t="str">
        <f>VLOOKUP(C82,PM[],3,FALSE)</f>
        <v>Electronics</v>
      </c>
      <c r="F82">
        <f>_xlfn.XLOOKUP(C82,PM[Product ID],PM[Unit Price (₹)])</f>
        <v>1430</v>
      </c>
      <c r="G82" t="str">
        <f>_xlfn.XLOOKUP(Sales[[#This Row],[Order ID]],ST[Order ID],ST[Employee ID])</f>
        <v>E05</v>
      </c>
      <c r="H82" t="str">
        <f>_xlfn.XLOOKUP(G82,SM[Employee ID],SM[Salesperson])</f>
        <v>Karan Malhotra</v>
      </c>
      <c r="I82" t="str">
        <f>_xlfn.XLOOKUP(G82,SM[Employee ID],SM[Region])</f>
        <v>East</v>
      </c>
      <c r="J82" t="str">
        <f>_xlfn.XLOOKUP(G82,SM[Employee ID],SM[State/City])</f>
        <v>Kolkata</v>
      </c>
      <c r="K82" s="2">
        <f>_xlfn.XLOOKUP(Sales[[#This Row],[Order ID]],ST[Order ID],ST[Units Sold])</f>
        <v>1</v>
      </c>
      <c r="L82">
        <f t="shared" si="1"/>
        <v>1430</v>
      </c>
    </row>
    <row r="83" spans="1:12" x14ac:dyDescent="0.35">
      <c r="A83" s="7">
        <v>1088</v>
      </c>
      <c r="B83" s="1">
        <v>45025</v>
      </c>
      <c r="C83" s="2" t="s">
        <v>8</v>
      </c>
      <c r="D83" t="str">
        <f>_xlfn.XLOOKUP(Merged_Sales_Data!C83,PM[Product ID],PM[Product Name])</f>
        <v>USB-C Hub</v>
      </c>
      <c r="E83" t="str">
        <f>VLOOKUP(C83,PM[],3,FALSE)</f>
        <v>Accessories</v>
      </c>
      <c r="F83">
        <f>_xlfn.XLOOKUP(C83,PM[Product ID],PM[Unit Price (₹)])</f>
        <v>880</v>
      </c>
      <c r="G83" t="str">
        <f>_xlfn.XLOOKUP(Sales[[#This Row],[Order ID]],ST[Order ID],ST[Employee ID])</f>
        <v>E05</v>
      </c>
      <c r="H83" t="str">
        <f>_xlfn.XLOOKUP(G83,SM[Employee ID],SM[Salesperson])</f>
        <v>Karan Malhotra</v>
      </c>
      <c r="I83" t="str">
        <f>_xlfn.XLOOKUP(G83,SM[Employee ID],SM[Region])</f>
        <v>East</v>
      </c>
      <c r="J83" t="str">
        <f>_xlfn.XLOOKUP(G83,SM[Employee ID],SM[State/City])</f>
        <v>Kolkata</v>
      </c>
      <c r="K83" s="2">
        <f>_xlfn.XLOOKUP(Sales[[#This Row],[Order ID]],ST[Order ID],ST[Units Sold])</f>
        <v>5</v>
      </c>
      <c r="L83">
        <f t="shared" si="1"/>
        <v>4400</v>
      </c>
    </row>
    <row r="84" spans="1:12" x14ac:dyDescent="0.35">
      <c r="A84" s="7">
        <v>1081</v>
      </c>
      <c r="B84" s="1">
        <v>45026</v>
      </c>
      <c r="C84" s="2" t="s">
        <v>5</v>
      </c>
      <c r="D84" t="str">
        <f>_xlfn.XLOOKUP(Merged_Sales_Data!C84,PM[Product ID],PM[Product Name])</f>
        <v>Ergo Office Chair</v>
      </c>
      <c r="E84" t="str">
        <f>VLOOKUP(C84,PM[],3,FALSE)</f>
        <v>Office Supplies</v>
      </c>
      <c r="F84">
        <f>_xlfn.XLOOKUP(C84,PM[Product ID],PM[Unit Price (₹)])</f>
        <v>6750</v>
      </c>
      <c r="G84" t="str">
        <f>_xlfn.XLOOKUP(Sales[[#This Row],[Order ID]],ST[Order ID],ST[Employee ID])</f>
        <v>E02</v>
      </c>
      <c r="H84" t="str">
        <f>_xlfn.XLOOKUP(G84,SM[Employee ID],SM[Salesperson])</f>
        <v>Ishita Verma</v>
      </c>
      <c r="I84" t="str">
        <f>_xlfn.XLOOKUP(G84,SM[Employee ID],SM[Region])</f>
        <v>North</v>
      </c>
      <c r="J84" t="str">
        <f>_xlfn.XLOOKUP(G84,SM[Employee ID],SM[State/City])</f>
        <v>Chandigarh</v>
      </c>
      <c r="K84" s="2">
        <f>_xlfn.XLOOKUP(Sales[[#This Row],[Order ID]],ST[Order ID],ST[Units Sold])</f>
        <v>3</v>
      </c>
      <c r="L84">
        <f t="shared" si="1"/>
        <v>20250</v>
      </c>
    </row>
    <row r="85" spans="1:12" x14ac:dyDescent="0.35">
      <c r="A85" s="7">
        <v>1090</v>
      </c>
      <c r="B85" s="1">
        <v>45027</v>
      </c>
      <c r="C85" s="2" t="s">
        <v>21</v>
      </c>
      <c r="D85" t="str">
        <f>_xlfn.XLOOKUP(Merged_Sales_Data!C85,PM[Product ID],PM[Product Name])</f>
        <v>Wireless Mouse</v>
      </c>
      <c r="E85" t="str">
        <f>VLOOKUP(C85,PM[],3,FALSE)</f>
        <v>Electronics</v>
      </c>
      <c r="F85">
        <f>_xlfn.XLOOKUP(C85,PM[Product ID],PM[Unit Price (₹)])</f>
        <v>780</v>
      </c>
      <c r="G85" t="str">
        <f>_xlfn.XLOOKUP(Sales[[#This Row],[Order ID]],ST[Order ID],ST[Employee ID])</f>
        <v>E05</v>
      </c>
      <c r="H85" t="str">
        <f>_xlfn.XLOOKUP(G85,SM[Employee ID],SM[Salesperson])</f>
        <v>Karan Malhotra</v>
      </c>
      <c r="I85" t="str">
        <f>_xlfn.XLOOKUP(G85,SM[Employee ID],SM[Region])</f>
        <v>East</v>
      </c>
      <c r="J85" t="str">
        <f>_xlfn.XLOOKUP(G85,SM[Employee ID],SM[State/City])</f>
        <v>Kolkata</v>
      </c>
      <c r="K85" s="2">
        <f>_xlfn.XLOOKUP(Sales[[#This Row],[Order ID]],ST[Order ID],ST[Units Sold])</f>
        <v>1</v>
      </c>
      <c r="L85">
        <f t="shared" si="1"/>
        <v>780</v>
      </c>
    </row>
    <row r="86" spans="1:12" x14ac:dyDescent="0.35">
      <c r="A86" s="7">
        <v>1096</v>
      </c>
      <c r="B86" s="1">
        <v>45028</v>
      </c>
      <c r="C86" s="2" t="s">
        <v>21</v>
      </c>
      <c r="D86" t="str">
        <f>_xlfn.XLOOKUP(Merged_Sales_Data!C86,PM[Product ID],PM[Product Name])</f>
        <v>Wireless Mouse</v>
      </c>
      <c r="E86" t="str">
        <f>VLOOKUP(C86,PM[],3,FALSE)</f>
        <v>Electronics</v>
      </c>
      <c r="F86">
        <f>_xlfn.XLOOKUP(C86,PM[Product ID],PM[Unit Price (₹)])</f>
        <v>780</v>
      </c>
      <c r="G86" t="str">
        <f>_xlfn.XLOOKUP(Sales[[#This Row],[Order ID]],ST[Order ID],ST[Employee ID])</f>
        <v>E03</v>
      </c>
      <c r="H86" t="str">
        <f>_xlfn.XLOOKUP(G86,SM[Employee ID],SM[Salesperson])</f>
        <v>Rohan Mehta</v>
      </c>
      <c r="I86" t="str">
        <f>_xlfn.XLOOKUP(G86,SM[Employee ID],SM[Region])</f>
        <v>South</v>
      </c>
      <c r="J86" t="str">
        <f>_xlfn.XLOOKUP(G86,SM[Employee ID],SM[State/City])</f>
        <v>Bengaluru</v>
      </c>
      <c r="K86" s="2">
        <f>_xlfn.XLOOKUP(Sales[[#This Row],[Order ID]],ST[Order ID],ST[Units Sold])</f>
        <v>2</v>
      </c>
      <c r="L86">
        <f t="shared" si="1"/>
        <v>1560</v>
      </c>
    </row>
    <row r="87" spans="1:12" x14ac:dyDescent="0.35">
      <c r="A87" s="7">
        <v>1089</v>
      </c>
      <c r="B87" s="1">
        <v>45030</v>
      </c>
      <c r="C87" s="2" t="s">
        <v>11</v>
      </c>
      <c r="D87" t="str">
        <f>_xlfn.XLOOKUP(Merged_Sales_Data!C87,PM[Product ID],PM[Product Name])</f>
        <v>Bluetooth Speaker</v>
      </c>
      <c r="E87" t="str">
        <f>VLOOKUP(C87,PM[],3,FALSE)</f>
        <v>Electronics</v>
      </c>
      <c r="F87">
        <f>_xlfn.XLOOKUP(C87,PM[Product ID],PM[Unit Price (₹)])</f>
        <v>1430</v>
      </c>
      <c r="G87" t="str">
        <f>_xlfn.XLOOKUP(Sales[[#This Row],[Order ID]],ST[Order ID],ST[Employee ID])</f>
        <v>E01</v>
      </c>
      <c r="H87" t="str">
        <f>_xlfn.XLOOKUP(G87,SM[Employee ID],SM[Salesperson])</f>
        <v>Aarav Sharma</v>
      </c>
      <c r="I87" t="str">
        <f>_xlfn.XLOOKUP(G87,SM[Employee ID],SM[Region])</f>
        <v>North</v>
      </c>
      <c r="J87" t="str">
        <f>_xlfn.XLOOKUP(G87,SM[Employee ID],SM[State/City])</f>
        <v>Lucknow</v>
      </c>
      <c r="K87" s="2">
        <f>_xlfn.XLOOKUP(Sales[[#This Row],[Order ID]],ST[Order ID],ST[Units Sold])</f>
        <v>10</v>
      </c>
      <c r="L87">
        <f t="shared" si="1"/>
        <v>14300</v>
      </c>
    </row>
    <row r="88" spans="1:12" x14ac:dyDescent="0.35">
      <c r="A88" s="7">
        <v>1095</v>
      </c>
      <c r="B88" s="1">
        <v>45030</v>
      </c>
      <c r="C88" s="2" t="s">
        <v>8</v>
      </c>
      <c r="D88" t="str">
        <f>_xlfn.XLOOKUP(Merged_Sales_Data!C88,PM[Product ID],PM[Product Name])</f>
        <v>USB-C Hub</v>
      </c>
      <c r="E88" t="str">
        <f>VLOOKUP(C88,PM[],3,FALSE)</f>
        <v>Accessories</v>
      </c>
      <c r="F88">
        <f>_xlfn.XLOOKUP(C88,PM[Product ID],PM[Unit Price (₹)])</f>
        <v>880</v>
      </c>
      <c r="G88" t="str">
        <f>_xlfn.XLOOKUP(Sales[[#This Row],[Order ID]],ST[Order ID],ST[Employee ID])</f>
        <v>E06</v>
      </c>
      <c r="H88" t="str">
        <f>_xlfn.XLOOKUP(G88,SM[Employee ID],SM[Salesperson])</f>
        <v>Sneha Roy</v>
      </c>
      <c r="I88" t="str">
        <f>_xlfn.XLOOKUP(G88,SM[Employee ID],SM[Region])</f>
        <v>East</v>
      </c>
      <c r="J88" t="str">
        <f>_xlfn.XLOOKUP(G88,SM[Employee ID],SM[State/City])</f>
        <v>Kolkata</v>
      </c>
      <c r="K88" s="2">
        <f>_xlfn.XLOOKUP(Sales[[#This Row],[Order ID]],ST[Order ID],ST[Units Sold])</f>
        <v>1</v>
      </c>
      <c r="L88">
        <f t="shared" si="1"/>
        <v>880</v>
      </c>
    </row>
    <row r="89" spans="1:12" x14ac:dyDescent="0.35">
      <c r="A89" s="7">
        <v>1092</v>
      </c>
      <c r="B89" s="1">
        <v>45034</v>
      </c>
      <c r="C89" s="2" t="s">
        <v>8</v>
      </c>
      <c r="D89" t="str">
        <f>_xlfn.XLOOKUP(Merged_Sales_Data!C89,PM[Product ID],PM[Product Name])</f>
        <v>USB-C Hub</v>
      </c>
      <c r="E89" t="str">
        <f>VLOOKUP(C89,PM[],3,FALSE)</f>
        <v>Accessories</v>
      </c>
      <c r="F89">
        <f>_xlfn.XLOOKUP(C89,PM[Product ID],PM[Unit Price (₹)])</f>
        <v>880</v>
      </c>
      <c r="G89" t="str">
        <f>_xlfn.XLOOKUP(Sales[[#This Row],[Order ID]],ST[Order ID],ST[Employee ID])</f>
        <v>E08</v>
      </c>
      <c r="H89" t="str">
        <f>_xlfn.XLOOKUP(G89,SM[Employee ID],SM[Salesperson])</f>
        <v>Neha Joshi</v>
      </c>
      <c r="I89" t="str">
        <f>_xlfn.XLOOKUP(G89,SM[Employee ID],SM[Region])</f>
        <v>West</v>
      </c>
      <c r="J89" t="str">
        <f>_xlfn.XLOOKUP(G89,SM[Employee ID],SM[State/City])</f>
        <v>Ahmedabad</v>
      </c>
      <c r="K89" s="2">
        <f>_xlfn.XLOOKUP(Sales[[#This Row],[Order ID]],ST[Order ID],ST[Units Sold])</f>
        <v>4</v>
      </c>
      <c r="L89">
        <f t="shared" si="1"/>
        <v>3520</v>
      </c>
    </row>
    <row r="90" spans="1:12" x14ac:dyDescent="0.35">
      <c r="A90" s="7">
        <v>1078</v>
      </c>
      <c r="B90" s="1">
        <v>45036</v>
      </c>
      <c r="C90" s="2" t="s">
        <v>21</v>
      </c>
      <c r="D90" t="str">
        <f>_xlfn.XLOOKUP(Merged_Sales_Data!C90,PM[Product ID],PM[Product Name])</f>
        <v>Wireless Mouse</v>
      </c>
      <c r="E90" t="str">
        <f>VLOOKUP(C90,PM[],3,FALSE)</f>
        <v>Electronics</v>
      </c>
      <c r="F90">
        <f>_xlfn.XLOOKUP(C90,PM[Product ID],PM[Unit Price (₹)])</f>
        <v>780</v>
      </c>
      <c r="G90" t="str">
        <f>_xlfn.XLOOKUP(Sales[[#This Row],[Order ID]],ST[Order ID],ST[Employee ID])</f>
        <v>E02</v>
      </c>
      <c r="H90" t="str">
        <f>_xlfn.XLOOKUP(G90,SM[Employee ID],SM[Salesperson])</f>
        <v>Ishita Verma</v>
      </c>
      <c r="I90" t="str">
        <f>_xlfn.XLOOKUP(G90,SM[Employee ID],SM[Region])</f>
        <v>North</v>
      </c>
      <c r="J90" t="str">
        <f>_xlfn.XLOOKUP(G90,SM[Employee ID],SM[State/City])</f>
        <v>Chandigarh</v>
      </c>
      <c r="K90" s="2">
        <f>_xlfn.XLOOKUP(Sales[[#This Row],[Order ID]],ST[Order ID],ST[Units Sold])</f>
        <v>5</v>
      </c>
      <c r="L90">
        <f t="shared" si="1"/>
        <v>3900</v>
      </c>
    </row>
    <row r="91" spans="1:12" x14ac:dyDescent="0.35">
      <c r="A91" s="7">
        <v>1087</v>
      </c>
      <c r="B91" s="1">
        <v>45037</v>
      </c>
      <c r="C91" s="2" t="s">
        <v>5</v>
      </c>
      <c r="D91" t="str">
        <f>_xlfn.XLOOKUP(Merged_Sales_Data!C91,PM[Product ID],PM[Product Name])</f>
        <v>Ergo Office Chair</v>
      </c>
      <c r="E91" t="str">
        <f>VLOOKUP(C91,PM[],3,FALSE)</f>
        <v>Office Supplies</v>
      </c>
      <c r="F91">
        <f>_xlfn.XLOOKUP(C91,PM[Product ID],PM[Unit Price (₹)])</f>
        <v>6750</v>
      </c>
      <c r="G91" t="str">
        <f>_xlfn.XLOOKUP(Sales[[#This Row],[Order ID]],ST[Order ID],ST[Employee ID])</f>
        <v>E06</v>
      </c>
      <c r="H91" t="str">
        <f>_xlfn.XLOOKUP(G91,SM[Employee ID],SM[Salesperson])</f>
        <v>Sneha Roy</v>
      </c>
      <c r="I91" t="str">
        <f>_xlfn.XLOOKUP(G91,SM[Employee ID],SM[Region])</f>
        <v>East</v>
      </c>
      <c r="J91" t="str">
        <f>_xlfn.XLOOKUP(G91,SM[Employee ID],SM[State/City])</f>
        <v>Kolkata</v>
      </c>
      <c r="K91" s="2">
        <f>_xlfn.XLOOKUP(Sales[[#This Row],[Order ID]],ST[Order ID],ST[Units Sold])</f>
        <v>10</v>
      </c>
      <c r="L91">
        <f t="shared" si="1"/>
        <v>67500</v>
      </c>
    </row>
    <row r="92" spans="1:12" x14ac:dyDescent="0.35">
      <c r="A92" s="7">
        <v>1083</v>
      </c>
      <c r="B92" s="1">
        <v>45038</v>
      </c>
      <c r="C92" s="2" t="s">
        <v>8</v>
      </c>
      <c r="D92" t="str">
        <f>_xlfn.XLOOKUP(Merged_Sales_Data!C92,PM[Product ID],PM[Product Name])</f>
        <v>USB-C Hub</v>
      </c>
      <c r="E92" t="str">
        <f>VLOOKUP(C92,PM[],3,FALSE)</f>
        <v>Accessories</v>
      </c>
      <c r="F92">
        <f>_xlfn.XLOOKUP(C92,PM[Product ID],PM[Unit Price (₹)])</f>
        <v>880</v>
      </c>
      <c r="G92" t="str">
        <f>_xlfn.XLOOKUP(Sales[[#This Row],[Order ID]],ST[Order ID],ST[Employee ID])</f>
        <v>E05</v>
      </c>
      <c r="H92" t="str">
        <f>_xlfn.XLOOKUP(G92,SM[Employee ID],SM[Salesperson])</f>
        <v>Karan Malhotra</v>
      </c>
      <c r="I92" t="str">
        <f>_xlfn.XLOOKUP(G92,SM[Employee ID],SM[Region])</f>
        <v>East</v>
      </c>
      <c r="J92" t="str">
        <f>_xlfn.XLOOKUP(G92,SM[Employee ID],SM[State/City])</f>
        <v>Kolkata</v>
      </c>
      <c r="K92" s="2">
        <f>_xlfn.XLOOKUP(Sales[[#This Row],[Order ID]],ST[Order ID],ST[Units Sold])</f>
        <v>1</v>
      </c>
      <c r="L92">
        <f t="shared" si="1"/>
        <v>880</v>
      </c>
    </row>
    <row r="93" spans="1:12" x14ac:dyDescent="0.35">
      <c r="A93" s="7">
        <v>1097</v>
      </c>
      <c r="B93" s="1">
        <v>45038</v>
      </c>
      <c r="C93" s="2" t="s">
        <v>12</v>
      </c>
      <c r="D93" t="str">
        <f>_xlfn.XLOOKUP(Merged_Sales_Data!C93,PM[Product ID],PM[Product Name])</f>
        <v>Bookshelf Unit</v>
      </c>
      <c r="E93" t="str">
        <f>VLOOKUP(C93,PM[],3,FALSE)</f>
        <v>Furniture</v>
      </c>
      <c r="F93">
        <f>_xlfn.XLOOKUP(C93,PM[Product ID],PM[Unit Price (₹)])</f>
        <v>3910</v>
      </c>
      <c r="G93" t="str">
        <f>_xlfn.XLOOKUP(Sales[[#This Row],[Order ID]],ST[Order ID],ST[Employee ID])</f>
        <v>E01</v>
      </c>
      <c r="H93" t="str">
        <f>_xlfn.XLOOKUP(G93,SM[Employee ID],SM[Salesperson])</f>
        <v>Aarav Sharma</v>
      </c>
      <c r="I93" t="str">
        <f>_xlfn.XLOOKUP(G93,SM[Employee ID],SM[Region])</f>
        <v>North</v>
      </c>
      <c r="J93" t="str">
        <f>_xlfn.XLOOKUP(G93,SM[Employee ID],SM[State/City])</f>
        <v>Lucknow</v>
      </c>
      <c r="K93" s="2">
        <f>_xlfn.XLOOKUP(Sales[[#This Row],[Order ID]],ST[Order ID],ST[Units Sold])</f>
        <v>2</v>
      </c>
      <c r="L93">
        <f t="shared" si="1"/>
        <v>7820</v>
      </c>
    </row>
    <row r="94" spans="1:12" x14ac:dyDescent="0.35">
      <c r="A94" s="7">
        <v>1082</v>
      </c>
      <c r="B94" s="1">
        <v>45039</v>
      </c>
      <c r="C94" s="2" t="s">
        <v>14</v>
      </c>
      <c r="D94" t="str">
        <f>_xlfn.XLOOKUP(Merged_Sales_Data!C94,PM[Product ID],PM[Product Name])</f>
        <v>Laptop Backpack</v>
      </c>
      <c r="E94" t="str">
        <f>VLOOKUP(C94,PM[],3,FALSE)</f>
        <v>Accessories</v>
      </c>
      <c r="F94">
        <f>_xlfn.XLOOKUP(C94,PM[Product ID],PM[Unit Price (₹)])</f>
        <v>1110</v>
      </c>
      <c r="G94" t="str">
        <f>_xlfn.XLOOKUP(Sales[[#This Row],[Order ID]],ST[Order ID],ST[Employee ID])</f>
        <v>E03</v>
      </c>
      <c r="H94" t="str">
        <f>_xlfn.XLOOKUP(G94,SM[Employee ID],SM[Salesperson])</f>
        <v>Rohan Mehta</v>
      </c>
      <c r="I94" t="str">
        <f>_xlfn.XLOOKUP(G94,SM[Employee ID],SM[Region])</f>
        <v>South</v>
      </c>
      <c r="J94" t="str">
        <f>_xlfn.XLOOKUP(G94,SM[Employee ID],SM[State/City])</f>
        <v>Bengaluru</v>
      </c>
      <c r="K94" s="2">
        <f>_xlfn.XLOOKUP(Sales[[#This Row],[Order ID]],ST[Order ID],ST[Units Sold])</f>
        <v>6</v>
      </c>
      <c r="L94">
        <f t="shared" si="1"/>
        <v>6660</v>
      </c>
    </row>
    <row r="95" spans="1:12" x14ac:dyDescent="0.35">
      <c r="A95" s="7">
        <v>1091</v>
      </c>
      <c r="B95" s="1">
        <v>45040</v>
      </c>
      <c r="C95" s="2" t="s">
        <v>20</v>
      </c>
      <c r="D95" t="str">
        <f>_xlfn.XLOOKUP(Merged_Sales_Data!C95,PM[Product ID],PM[Product Name])</f>
        <v>Standing Desk</v>
      </c>
      <c r="E95" t="str">
        <f>VLOOKUP(C95,PM[],3,FALSE)</f>
        <v>Office Supplies</v>
      </c>
      <c r="F95">
        <f>_xlfn.XLOOKUP(C95,PM[Product ID],PM[Unit Price (₹)])</f>
        <v>11010</v>
      </c>
      <c r="G95" t="str">
        <f>_xlfn.XLOOKUP(Sales[[#This Row],[Order ID]],ST[Order ID],ST[Employee ID])</f>
        <v>E03</v>
      </c>
      <c r="H95" t="str">
        <f>_xlfn.XLOOKUP(G95,SM[Employee ID],SM[Salesperson])</f>
        <v>Rohan Mehta</v>
      </c>
      <c r="I95" t="str">
        <f>_xlfn.XLOOKUP(G95,SM[Employee ID],SM[Region])</f>
        <v>South</v>
      </c>
      <c r="J95" t="str">
        <f>_xlfn.XLOOKUP(G95,SM[Employee ID],SM[State/City])</f>
        <v>Bengaluru</v>
      </c>
      <c r="K95" s="2">
        <f>_xlfn.XLOOKUP(Sales[[#This Row],[Order ID]],ST[Order ID],ST[Units Sold])</f>
        <v>1</v>
      </c>
      <c r="L95">
        <f t="shared" si="1"/>
        <v>11010</v>
      </c>
    </row>
    <row r="96" spans="1:12" x14ac:dyDescent="0.35">
      <c r="A96" s="7">
        <v>1098</v>
      </c>
      <c r="B96" s="1">
        <v>45041</v>
      </c>
      <c r="C96" s="2" t="s">
        <v>11</v>
      </c>
      <c r="D96" t="str">
        <f>_xlfn.XLOOKUP(Merged_Sales_Data!C96,PM[Product ID],PM[Product Name])</f>
        <v>Bluetooth Speaker</v>
      </c>
      <c r="E96" t="str">
        <f>VLOOKUP(C96,PM[],3,FALSE)</f>
        <v>Electronics</v>
      </c>
      <c r="F96">
        <f>_xlfn.XLOOKUP(C96,PM[Product ID],PM[Unit Price (₹)])</f>
        <v>1430</v>
      </c>
      <c r="G96" t="str">
        <f>_xlfn.XLOOKUP(Sales[[#This Row],[Order ID]],ST[Order ID],ST[Employee ID])</f>
        <v>E04</v>
      </c>
      <c r="H96" t="str">
        <f>_xlfn.XLOOKUP(G96,SM[Employee ID],SM[Salesperson])</f>
        <v>Priya Nair</v>
      </c>
      <c r="I96" t="str">
        <f>_xlfn.XLOOKUP(G96,SM[Employee ID],SM[Region])</f>
        <v>South</v>
      </c>
      <c r="J96" t="str">
        <f>_xlfn.XLOOKUP(G96,SM[Employee ID],SM[State/City])</f>
        <v>Bengaluru</v>
      </c>
      <c r="K96" s="2">
        <f>_xlfn.XLOOKUP(Sales[[#This Row],[Order ID]],ST[Order ID],ST[Units Sold])</f>
        <v>3</v>
      </c>
      <c r="L96">
        <f t="shared" si="1"/>
        <v>4290</v>
      </c>
    </row>
    <row r="97" spans="1:12" x14ac:dyDescent="0.35">
      <c r="A97" s="7">
        <v>1101</v>
      </c>
      <c r="B97" s="1">
        <v>45042</v>
      </c>
      <c r="C97" s="2" t="s">
        <v>12</v>
      </c>
      <c r="D97" t="str">
        <f>_xlfn.XLOOKUP(Merged_Sales_Data!C97,PM[Product ID],PM[Product Name])</f>
        <v>Bookshelf Unit</v>
      </c>
      <c r="E97" t="str">
        <f>VLOOKUP(C97,PM[],3,FALSE)</f>
        <v>Furniture</v>
      </c>
      <c r="F97">
        <f>_xlfn.XLOOKUP(C97,PM[Product ID],PM[Unit Price (₹)])</f>
        <v>3910</v>
      </c>
      <c r="G97" t="str">
        <f>_xlfn.XLOOKUP(Sales[[#This Row],[Order ID]],ST[Order ID],ST[Employee ID])</f>
        <v>E03</v>
      </c>
      <c r="H97" t="str">
        <f>_xlfn.XLOOKUP(G97,SM[Employee ID],SM[Salesperson])</f>
        <v>Rohan Mehta</v>
      </c>
      <c r="I97" t="str">
        <f>_xlfn.XLOOKUP(G97,SM[Employee ID],SM[Region])</f>
        <v>South</v>
      </c>
      <c r="J97" t="str">
        <f>_xlfn.XLOOKUP(G97,SM[Employee ID],SM[State/City])</f>
        <v>Bengaluru</v>
      </c>
      <c r="K97" s="2">
        <f>_xlfn.XLOOKUP(Sales[[#This Row],[Order ID]],ST[Order ID],ST[Units Sold])</f>
        <v>4</v>
      </c>
      <c r="L97">
        <f t="shared" si="1"/>
        <v>15640</v>
      </c>
    </row>
    <row r="98" spans="1:12" x14ac:dyDescent="0.35">
      <c r="A98" s="7">
        <v>1102</v>
      </c>
      <c r="B98" s="1">
        <v>45042</v>
      </c>
      <c r="C98" s="2" t="s">
        <v>20</v>
      </c>
      <c r="D98" t="str">
        <f>_xlfn.XLOOKUP(Merged_Sales_Data!C98,PM[Product ID],PM[Product Name])</f>
        <v>Standing Desk</v>
      </c>
      <c r="E98" t="str">
        <f>VLOOKUP(C98,PM[],3,FALSE)</f>
        <v>Office Supplies</v>
      </c>
      <c r="F98">
        <f>_xlfn.XLOOKUP(C98,PM[Product ID],PM[Unit Price (₹)])</f>
        <v>11010</v>
      </c>
      <c r="G98" t="str">
        <f>_xlfn.XLOOKUP(Sales[[#This Row],[Order ID]],ST[Order ID],ST[Employee ID])</f>
        <v>E04</v>
      </c>
      <c r="H98" t="str">
        <f>_xlfn.XLOOKUP(G98,SM[Employee ID],SM[Salesperson])</f>
        <v>Priya Nair</v>
      </c>
      <c r="I98" t="str">
        <f>_xlfn.XLOOKUP(G98,SM[Employee ID],SM[Region])</f>
        <v>South</v>
      </c>
      <c r="J98" t="str">
        <f>_xlfn.XLOOKUP(G98,SM[Employee ID],SM[State/City])</f>
        <v>Bengaluru</v>
      </c>
      <c r="K98" s="2">
        <f>_xlfn.XLOOKUP(Sales[[#This Row],[Order ID]],ST[Order ID],ST[Units Sold])</f>
        <v>1</v>
      </c>
      <c r="L98">
        <f t="shared" si="1"/>
        <v>11010</v>
      </c>
    </row>
    <row r="99" spans="1:12" x14ac:dyDescent="0.35">
      <c r="A99" s="7">
        <v>1094</v>
      </c>
      <c r="B99" s="1">
        <v>45043</v>
      </c>
      <c r="C99" s="2" t="s">
        <v>8</v>
      </c>
      <c r="D99" t="str">
        <f>_xlfn.XLOOKUP(Merged_Sales_Data!C99,PM[Product ID],PM[Product Name])</f>
        <v>USB-C Hub</v>
      </c>
      <c r="E99" t="str">
        <f>VLOOKUP(C99,PM[],3,FALSE)</f>
        <v>Accessories</v>
      </c>
      <c r="F99">
        <f>_xlfn.XLOOKUP(C99,PM[Product ID],PM[Unit Price (₹)])</f>
        <v>880</v>
      </c>
      <c r="G99" t="str">
        <f>_xlfn.XLOOKUP(Sales[[#This Row],[Order ID]],ST[Order ID],ST[Employee ID])</f>
        <v>E03</v>
      </c>
      <c r="H99" t="str">
        <f>_xlfn.XLOOKUP(G99,SM[Employee ID],SM[Salesperson])</f>
        <v>Rohan Mehta</v>
      </c>
      <c r="I99" t="str">
        <f>_xlfn.XLOOKUP(G99,SM[Employee ID],SM[Region])</f>
        <v>South</v>
      </c>
      <c r="J99" t="str">
        <f>_xlfn.XLOOKUP(G99,SM[Employee ID],SM[State/City])</f>
        <v>Bengaluru</v>
      </c>
      <c r="K99" s="2">
        <f>_xlfn.XLOOKUP(Sales[[#This Row],[Order ID]],ST[Order ID],ST[Units Sold])</f>
        <v>1</v>
      </c>
      <c r="L99">
        <f t="shared" si="1"/>
        <v>880</v>
      </c>
    </row>
    <row r="100" spans="1:12" x14ac:dyDescent="0.35">
      <c r="A100" s="7">
        <v>1099</v>
      </c>
      <c r="B100" s="1">
        <v>45044</v>
      </c>
      <c r="C100" s="2" t="s">
        <v>18</v>
      </c>
      <c r="D100" t="str">
        <f>_xlfn.XLOOKUP(Merged_Sales_Data!C100,PM[Product ID],PM[Product Name])</f>
        <v>LED Monitor 24"</v>
      </c>
      <c r="E100" t="str">
        <f>VLOOKUP(C100,PM[],3,FALSE)</f>
        <v>Electronics</v>
      </c>
      <c r="F100">
        <f>_xlfn.XLOOKUP(C100,PM[Product ID],PM[Unit Price (₹)])</f>
        <v>7700</v>
      </c>
      <c r="G100" t="str">
        <f>_xlfn.XLOOKUP(Sales[[#This Row],[Order ID]],ST[Order ID],ST[Employee ID])</f>
        <v>E07</v>
      </c>
      <c r="H100" t="str">
        <f>_xlfn.XLOOKUP(G100,SM[Employee ID],SM[Salesperson])</f>
        <v>Aditya Kapoor</v>
      </c>
      <c r="I100" t="str">
        <f>_xlfn.XLOOKUP(G100,SM[Employee ID],SM[Region])</f>
        <v>West</v>
      </c>
      <c r="J100" t="str">
        <f>_xlfn.XLOOKUP(G100,SM[Employee ID],SM[State/City])</f>
        <v>Mumbai</v>
      </c>
      <c r="K100" s="2">
        <f>_xlfn.XLOOKUP(Sales[[#This Row],[Order ID]],ST[Order ID],ST[Units Sold])</f>
        <v>2</v>
      </c>
      <c r="L100">
        <f t="shared" si="1"/>
        <v>15400</v>
      </c>
    </row>
    <row r="101" spans="1:12" x14ac:dyDescent="0.35">
      <c r="A101" s="7">
        <v>1080</v>
      </c>
      <c r="B101" s="1">
        <v>45045</v>
      </c>
      <c r="C101" s="2" t="s">
        <v>18</v>
      </c>
      <c r="D101" t="str">
        <f>_xlfn.XLOOKUP(Merged_Sales_Data!C101,PM[Product ID],PM[Product Name])</f>
        <v>LED Monitor 24"</v>
      </c>
      <c r="E101" t="str">
        <f>VLOOKUP(C101,PM[],3,FALSE)</f>
        <v>Electronics</v>
      </c>
      <c r="F101">
        <f>_xlfn.XLOOKUP(C101,PM[Product ID],PM[Unit Price (₹)])</f>
        <v>7700</v>
      </c>
      <c r="G101" t="str">
        <f>_xlfn.XLOOKUP(Sales[[#This Row],[Order ID]],ST[Order ID],ST[Employee ID])</f>
        <v>E05</v>
      </c>
      <c r="H101" t="str">
        <f>_xlfn.XLOOKUP(G101,SM[Employee ID],SM[Salesperson])</f>
        <v>Karan Malhotra</v>
      </c>
      <c r="I101" t="str">
        <f>_xlfn.XLOOKUP(G101,SM[Employee ID],SM[Region])</f>
        <v>East</v>
      </c>
      <c r="J101" t="str">
        <f>_xlfn.XLOOKUP(G101,SM[Employee ID],SM[State/City])</f>
        <v>Kolkata</v>
      </c>
      <c r="K101" s="2">
        <f>_xlfn.XLOOKUP(Sales[[#This Row],[Order ID]],ST[Order ID],ST[Units Sold])</f>
        <v>3</v>
      </c>
      <c r="L101">
        <f t="shared" si="1"/>
        <v>23100</v>
      </c>
    </row>
    <row r="102" spans="1:12" x14ac:dyDescent="0.35">
      <c r="A102" s="7">
        <v>1093</v>
      </c>
      <c r="B102" s="1">
        <v>45045</v>
      </c>
      <c r="C102" s="2" t="s">
        <v>11</v>
      </c>
      <c r="D102" t="str">
        <f>_xlfn.XLOOKUP(Merged_Sales_Data!C102,PM[Product ID],PM[Product Name])</f>
        <v>Bluetooth Speaker</v>
      </c>
      <c r="E102" t="str">
        <f>VLOOKUP(C102,PM[],3,FALSE)</f>
        <v>Electronics</v>
      </c>
      <c r="F102">
        <f>_xlfn.XLOOKUP(C102,PM[Product ID],PM[Unit Price (₹)])</f>
        <v>1430</v>
      </c>
      <c r="G102" t="str">
        <f>_xlfn.XLOOKUP(Sales[[#This Row],[Order ID]],ST[Order ID],ST[Employee ID])</f>
        <v>E01</v>
      </c>
      <c r="H102" t="str">
        <f>_xlfn.XLOOKUP(G102,SM[Employee ID],SM[Salesperson])</f>
        <v>Aarav Sharma</v>
      </c>
      <c r="I102" t="str">
        <f>_xlfn.XLOOKUP(G102,SM[Employee ID],SM[Region])</f>
        <v>North</v>
      </c>
      <c r="J102" t="str">
        <f>_xlfn.XLOOKUP(G102,SM[Employee ID],SM[State/City])</f>
        <v>Lucknow</v>
      </c>
      <c r="K102" s="2">
        <f>_xlfn.XLOOKUP(Sales[[#This Row],[Order ID]],ST[Order ID],ST[Units Sold])</f>
        <v>1</v>
      </c>
      <c r="L102">
        <f t="shared" si="1"/>
        <v>1430</v>
      </c>
    </row>
    <row r="103" spans="1:12" x14ac:dyDescent="0.35">
      <c r="A103" s="7">
        <v>1077</v>
      </c>
      <c r="B103" s="1">
        <v>45046</v>
      </c>
      <c r="C103" s="2" t="s">
        <v>14</v>
      </c>
      <c r="D103" t="str">
        <f>_xlfn.XLOOKUP(Merged_Sales_Data!C103,PM[Product ID],PM[Product Name])</f>
        <v>Laptop Backpack</v>
      </c>
      <c r="E103" t="str">
        <f>VLOOKUP(C103,PM[],3,FALSE)</f>
        <v>Accessories</v>
      </c>
      <c r="F103">
        <f>_xlfn.XLOOKUP(C103,PM[Product ID],PM[Unit Price (₹)])</f>
        <v>1110</v>
      </c>
      <c r="G103" t="str">
        <f>_xlfn.XLOOKUP(Sales[[#This Row],[Order ID]],ST[Order ID],ST[Employee ID])</f>
        <v>E05</v>
      </c>
      <c r="H103" t="str">
        <f>_xlfn.XLOOKUP(G103,SM[Employee ID],SM[Salesperson])</f>
        <v>Karan Malhotra</v>
      </c>
      <c r="I103" t="str">
        <f>_xlfn.XLOOKUP(G103,SM[Employee ID],SM[Region])</f>
        <v>East</v>
      </c>
      <c r="J103" t="str">
        <f>_xlfn.XLOOKUP(G103,SM[Employee ID],SM[State/City])</f>
        <v>Kolkata</v>
      </c>
      <c r="K103" s="2">
        <f>_xlfn.XLOOKUP(Sales[[#This Row],[Order ID]],ST[Order ID],ST[Units Sold])</f>
        <v>3</v>
      </c>
      <c r="L103">
        <f t="shared" si="1"/>
        <v>3330</v>
      </c>
    </row>
    <row r="104" spans="1:12" x14ac:dyDescent="0.35">
      <c r="A104" s="7">
        <v>1113</v>
      </c>
      <c r="B104" s="1">
        <v>45047</v>
      </c>
      <c r="C104" s="2" t="s">
        <v>21</v>
      </c>
      <c r="D104" t="str">
        <f>_xlfn.XLOOKUP(Merged_Sales_Data!C104,PM[Product ID],PM[Product Name])</f>
        <v>Wireless Mouse</v>
      </c>
      <c r="E104" t="str">
        <f>VLOOKUP(C104,PM[],3,FALSE)</f>
        <v>Electronics</v>
      </c>
      <c r="F104">
        <f>_xlfn.XLOOKUP(C104,PM[Product ID],PM[Unit Price (₹)])</f>
        <v>780</v>
      </c>
      <c r="G104" t="str">
        <f>_xlfn.XLOOKUP(Sales[[#This Row],[Order ID]],ST[Order ID],ST[Employee ID])</f>
        <v>E05</v>
      </c>
      <c r="H104" t="str">
        <f>_xlfn.XLOOKUP(G104,SM[Employee ID],SM[Salesperson])</f>
        <v>Karan Malhotra</v>
      </c>
      <c r="I104" t="str">
        <f>_xlfn.XLOOKUP(G104,SM[Employee ID],SM[Region])</f>
        <v>East</v>
      </c>
      <c r="J104" t="str">
        <f>_xlfn.XLOOKUP(G104,SM[Employee ID],SM[State/City])</f>
        <v>Kolkata</v>
      </c>
      <c r="K104" s="2">
        <f>_xlfn.XLOOKUP(Sales[[#This Row],[Order ID]],ST[Order ID],ST[Units Sold])</f>
        <v>4</v>
      </c>
      <c r="L104">
        <f t="shared" si="1"/>
        <v>3120</v>
      </c>
    </row>
    <row r="105" spans="1:12" x14ac:dyDescent="0.35">
      <c r="A105" s="7">
        <v>1114</v>
      </c>
      <c r="B105" s="1">
        <v>45049</v>
      </c>
      <c r="C105" s="2" t="s">
        <v>12</v>
      </c>
      <c r="D105" t="str">
        <f>_xlfn.XLOOKUP(Merged_Sales_Data!C105,PM[Product ID],PM[Product Name])</f>
        <v>Bookshelf Unit</v>
      </c>
      <c r="E105" t="str">
        <f>VLOOKUP(C105,PM[],3,FALSE)</f>
        <v>Furniture</v>
      </c>
      <c r="F105">
        <f>_xlfn.XLOOKUP(C105,PM[Product ID],PM[Unit Price (₹)])</f>
        <v>3910</v>
      </c>
      <c r="G105" t="str">
        <f>_xlfn.XLOOKUP(Sales[[#This Row],[Order ID]],ST[Order ID],ST[Employee ID])</f>
        <v>E04</v>
      </c>
      <c r="H105" t="str">
        <f>_xlfn.XLOOKUP(G105,SM[Employee ID],SM[Salesperson])</f>
        <v>Priya Nair</v>
      </c>
      <c r="I105" t="str">
        <f>_xlfn.XLOOKUP(G105,SM[Employee ID],SM[Region])</f>
        <v>South</v>
      </c>
      <c r="J105" t="str">
        <f>_xlfn.XLOOKUP(G105,SM[Employee ID],SM[State/City])</f>
        <v>Bengaluru</v>
      </c>
      <c r="K105" s="2">
        <f>_xlfn.XLOOKUP(Sales[[#This Row],[Order ID]],ST[Order ID],ST[Units Sold])</f>
        <v>4</v>
      </c>
      <c r="L105">
        <f t="shared" si="1"/>
        <v>15640</v>
      </c>
    </row>
    <row r="106" spans="1:12" x14ac:dyDescent="0.35">
      <c r="A106" s="7">
        <v>1109</v>
      </c>
      <c r="B106" s="1">
        <v>45052</v>
      </c>
      <c r="C106" s="2" t="s">
        <v>11</v>
      </c>
      <c r="D106" t="str">
        <f>_xlfn.XLOOKUP(Merged_Sales_Data!C106,PM[Product ID],PM[Product Name])</f>
        <v>Bluetooth Speaker</v>
      </c>
      <c r="E106" t="str">
        <f>VLOOKUP(C106,PM[],3,FALSE)</f>
        <v>Electronics</v>
      </c>
      <c r="F106">
        <f>_xlfn.XLOOKUP(C106,PM[Product ID],PM[Unit Price (₹)])</f>
        <v>1430</v>
      </c>
      <c r="G106" t="str">
        <f>_xlfn.XLOOKUP(Sales[[#This Row],[Order ID]],ST[Order ID],ST[Employee ID])</f>
        <v>E01</v>
      </c>
      <c r="H106" t="str">
        <f>_xlfn.XLOOKUP(G106,SM[Employee ID],SM[Salesperson])</f>
        <v>Aarav Sharma</v>
      </c>
      <c r="I106" t="str">
        <f>_xlfn.XLOOKUP(G106,SM[Employee ID],SM[Region])</f>
        <v>North</v>
      </c>
      <c r="J106" t="str">
        <f>_xlfn.XLOOKUP(G106,SM[Employee ID],SM[State/City])</f>
        <v>Lucknow</v>
      </c>
      <c r="K106" s="2">
        <f>_xlfn.XLOOKUP(Sales[[#This Row],[Order ID]],ST[Order ID],ST[Units Sold])</f>
        <v>2</v>
      </c>
      <c r="L106">
        <f t="shared" si="1"/>
        <v>2860</v>
      </c>
    </row>
    <row r="107" spans="1:12" x14ac:dyDescent="0.35">
      <c r="A107" s="7">
        <v>1112</v>
      </c>
      <c r="B107" s="1">
        <v>45053</v>
      </c>
      <c r="C107" s="2" t="s">
        <v>10</v>
      </c>
      <c r="D107" t="str">
        <f>_xlfn.XLOOKUP(Merged_Sales_Data!C107,PM[Product ID],PM[Product Name])</f>
        <v>Filing Cabinet</v>
      </c>
      <c r="E107" t="str">
        <f>VLOOKUP(C107,PM[],3,FALSE)</f>
        <v>Furniture</v>
      </c>
      <c r="F107">
        <f>_xlfn.XLOOKUP(C107,PM[Product ID],PM[Unit Price (₹)])</f>
        <v>4070</v>
      </c>
      <c r="G107" t="str">
        <f>_xlfn.XLOOKUP(Sales[[#This Row],[Order ID]],ST[Order ID],ST[Employee ID])</f>
        <v>E02</v>
      </c>
      <c r="H107" t="str">
        <f>_xlfn.XLOOKUP(G107,SM[Employee ID],SM[Salesperson])</f>
        <v>Ishita Verma</v>
      </c>
      <c r="I107" t="str">
        <f>_xlfn.XLOOKUP(G107,SM[Employee ID],SM[Region])</f>
        <v>North</v>
      </c>
      <c r="J107" t="str">
        <f>_xlfn.XLOOKUP(G107,SM[Employee ID],SM[State/City])</f>
        <v>Chandigarh</v>
      </c>
      <c r="K107" s="2">
        <f>_xlfn.XLOOKUP(Sales[[#This Row],[Order ID]],ST[Order ID],ST[Units Sold])</f>
        <v>8</v>
      </c>
      <c r="L107">
        <f t="shared" si="1"/>
        <v>32560</v>
      </c>
    </row>
    <row r="108" spans="1:12" x14ac:dyDescent="0.35">
      <c r="A108" s="7">
        <v>1118</v>
      </c>
      <c r="B108" s="1">
        <v>45053</v>
      </c>
      <c r="C108" s="2" t="s">
        <v>8</v>
      </c>
      <c r="D108" t="str">
        <f>_xlfn.XLOOKUP(Merged_Sales_Data!C108,PM[Product ID],PM[Product Name])</f>
        <v>USB-C Hub</v>
      </c>
      <c r="E108" t="str">
        <f>VLOOKUP(C108,PM[],3,FALSE)</f>
        <v>Accessories</v>
      </c>
      <c r="F108">
        <f>_xlfn.XLOOKUP(C108,PM[Product ID],PM[Unit Price (₹)])</f>
        <v>880</v>
      </c>
      <c r="G108" t="str">
        <f>_xlfn.XLOOKUP(Sales[[#This Row],[Order ID]],ST[Order ID],ST[Employee ID])</f>
        <v>E05</v>
      </c>
      <c r="H108" t="str">
        <f>_xlfn.XLOOKUP(G108,SM[Employee ID],SM[Salesperson])</f>
        <v>Karan Malhotra</v>
      </c>
      <c r="I108" t="str">
        <f>_xlfn.XLOOKUP(G108,SM[Employee ID],SM[Region])</f>
        <v>East</v>
      </c>
      <c r="J108" t="str">
        <f>_xlfn.XLOOKUP(G108,SM[Employee ID],SM[State/City])</f>
        <v>Kolkata</v>
      </c>
      <c r="K108" s="2">
        <f>_xlfn.XLOOKUP(Sales[[#This Row],[Order ID]],ST[Order ID],ST[Units Sold])</f>
        <v>1</v>
      </c>
      <c r="L108">
        <f t="shared" si="1"/>
        <v>880</v>
      </c>
    </row>
    <row r="109" spans="1:12" x14ac:dyDescent="0.35">
      <c r="A109" s="7">
        <v>1121</v>
      </c>
      <c r="B109" s="1">
        <v>45053</v>
      </c>
      <c r="C109" s="2" t="s">
        <v>20</v>
      </c>
      <c r="D109" t="str">
        <f>_xlfn.XLOOKUP(Merged_Sales_Data!C109,PM[Product ID],PM[Product Name])</f>
        <v>Standing Desk</v>
      </c>
      <c r="E109" t="str">
        <f>VLOOKUP(C109,PM[],3,FALSE)</f>
        <v>Office Supplies</v>
      </c>
      <c r="F109">
        <f>_xlfn.XLOOKUP(C109,PM[Product ID],PM[Unit Price (₹)])</f>
        <v>11010</v>
      </c>
      <c r="G109" t="str">
        <f>_xlfn.XLOOKUP(Sales[[#This Row],[Order ID]],ST[Order ID],ST[Employee ID])</f>
        <v>E01</v>
      </c>
      <c r="H109" t="str">
        <f>_xlfn.XLOOKUP(G109,SM[Employee ID],SM[Salesperson])</f>
        <v>Aarav Sharma</v>
      </c>
      <c r="I109" t="str">
        <f>_xlfn.XLOOKUP(G109,SM[Employee ID],SM[Region])</f>
        <v>North</v>
      </c>
      <c r="J109" t="str">
        <f>_xlfn.XLOOKUP(G109,SM[Employee ID],SM[State/City])</f>
        <v>Lucknow</v>
      </c>
      <c r="K109" s="2">
        <f>_xlfn.XLOOKUP(Sales[[#This Row],[Order ID]],ST[Order ID],ST[Units Sold])</f>
        <v>2</v>
      </c>
      <c r="L109">
        <f t="shared" si="1"/>
        <v>22020</v>
      </c>
    </row>
    <row r="110" spans="1:12" x14ac:dyDescent="0.35">
      <c r="A110" s="7">
        <v>1103</v>
      </c>
      <c r="B110" s="1">
        <v>45054</v>
      </c>
      <c r="C110" s="2" t="s">
        <v>21</v>
      </c>
      <c r="D110" t="str">
        <f>_xlfn.XLOOKUP(Merged_Sales_Data!C110,PM[Product ID],PM[Product Name])</f>
        <v>Wireless Mouse</v>
      </c>
      <c r="E110" t="str">
        <f>VLOOKUP(C110,PM[],3,FALSE)</f>
        <v>Electronics</v>
      </c>
      <c r="F110">
        <f>_xlfn.XLOOKUP(C110,PM[Product ID],PM[Unit Price (₹)])</f>
        <v>780</v>
      </c>
      <c r="G110" t="str">
        <f>_xlfn.XLOOKUP(Sales[[#This Row],[Order ID]],ST[Order ID],ST[Employee ID])</f>
        <v>E07</v>
      </c>
      <c r="H110" t="str">
        <f>_xlfn.XLOOKUP(G110,SM[Employee ID],SM[Salesperson])</f>
        <v>Aditya Kapoor</v>
      </c>
      <c r="I110" t="str">
        <f>_xlfn.XLOOKUP(G110,SM[Employee ID],SM[Region])</f>
        <v>West</v>
      </c>
      <c r="J110" t="str">
        <f>_xlfn.XLOOKUP(G110,SM[Employee ID],SM[State/City])</f>
        <v>Mumbai</v>
      </c>
      <c r="K110" s="2">
        <f>_xlfn.XLOOKUP(Sales[[#This Row],[Order ID]],ST[Order ID],ST[Units Sold])</f>
        <v>5</v>
      </c>
      <c r="L110">
        <f t="shared" si="1"/>
        <v>3900</v>
      </c>
    </row>
    <row r="111" spans="1:12" x14ac:dyDescent="0.35">
      <c r="A111" s="7">
        <v>1106</v>
      </c>
      <c r="B111" s="1">
        <v>45055</v>
      </c>
      <c r="C111" s="2" t="s">
        <v>10</v>
      </c>
      <c r="D111" t="str">
        <f>_xlfn.XLOOKUP(Merged_Sales_Data!C111,PM[Product ID],PM[Product Name])</f>
        <v>Filing Cabinet</v>
      </c>
      <c r="E111" t="str">
        <f>VLOOKUP(C111,PM[],3,FALSE)</f>
        <v>Furniture</v>
      </c>
      <c r="F111">
        <f>_xlfn.XLOOKUP(C111,PM[Product ID],PM[Unit Price (₹)])</f>
        <v>4070</v>
      </c>
      <c r="G111" t="str">
        <f>_xlfn.XLOOKUP(Sales[[#This Row],[Order ID]],ST[Order ID],ST[Employee ID])</f>
        <v>E04</v>
      </c>
      <c r="H111" t="str">
        <f>_xlfn.XLOOKUP(G111,SM[Employee ID],SM[Salesperson])</f>
        <v>Priya Nair</v>
      </c>
      <c r="I111" t="str">
        <f>_xlfn.XLOOKUP(G111,SM[Employee ID],SM[Region])</f>
        <v>South</v>
      </c>
      <c r="J111" t="str">
        <f>_xlfn.XLOOKUP(G111,SM[Employee ID],SM[State/City])</f>
        <v>Bengaluru</v>
      </c>
      <c r="K111" s="2">
        <f>_xlfn.XLOOKUP(Sales[[#This Row],[Order ID]],ST[Order ID],ST[Units Sold])</f>
        <v>3</v>
      </c>
      <c r="L111">
        <f t="shared" si="1"/>
        <v>12210</v>
      </c>
    </row>
    <row r="112" spans="1:12" x14ac:dyDescent="0.35">
      <c r="A112" s="7">
        <v>1104</v>
      </c>
      <c r="B112" s="1">
        <v>45056</v>
      </c>
      <c r="C112" s="2" t="s">
        <v>14</v>
      </c>
      <c r="D112" t="str">
        <f>_xlfn.XLOOKUP(Merged_Sales_Data!C112,PM[Product ID],PM[Product Name])</f>
        <v>Laptop Backpack</v>
      </c>
      <c r="E112" t="str">
        <f>VLOOKUP(C112,PM[],3,FALSE)</f>
        <v>Accessories</v>
      </c>
      <c r="F112">
        <f>_xlfn.XLOOKUP(C112,PM[Product ID],PM[Unit Price (₹)])</f>
        <v>1110</v>
      </c>
      <c r="G112" t="str">
        <f>_xlfn.XLOOKUP(Sales[[#This Row],[Order ID]],ST[Order ID],ST[Employee ID])</f>
        <v>E04</v>
      </c>
      <c r="H112" t="str">
        <f>_xlfn.XLOOKUP(G112,SM[Employee ID],SM[Salesperson])</f>
        <v>Priya Nair</v>
      </c>
      <c r="I112" t="str">
        <f>_xlfn.XLOOKUP(G112,SM[Employee ID],SM[Region])</f>
        <v>South</v>
      </c>
      <c r="J112" t="str">
        <f>_xlfn.XLOOKUP(G112,SM[Employee ID],SM[State/City])</f>
        <v>Bengaluru</v>
      </c>
      <c r="K112" s="2">
        <f>_xlfn.XLOOKUP(Sales[[#This Row],[Order ID]],ST[Order ID],ST[Units Sold])</f>
        <v>3</v>
      </c>
      <c r="L112">
        <f t="shared" si="1"/>
        <v>3330</v>
      </c>
    </row>
    <row r="113" spans="1:12" x14ac:dyDescent="0.35">
      <c r="A113" s="7">
        <v>1116</v>
      </c>
      <c r="B113" s="1">
        <v>45056</v>
      </c>
      <c r="C113" s="2" t="s">
        <v>20</v>
      </c>
      <c r="D113" t="str">
        <f>_xlfn.XLOOKUP(Merged_Sales_Data!C113,PM[Product ID],PM[Product Name])</f>
        <v>Standing Desk</v>
      </c>
      <c r="E113" t="str">
        <f>VLOOKUP(C113,PM[],3,FALSE)</f>
        <v>Office Supplies</v>
      </c>
      <c r="F113">
        <f>_xlfn.XLOOKUP(C113,PM[Product ID],PM[Unit Price (₹)])</f>
        <v>11010</v>
      </c>
      <c r="G113" t="str">
        <f>_xlfn.XLOOKUP(Sales[[#This Row],[Order ID]],ST[Order ID],ST[Employee ID])</f>
        <v>E02</v>
      </c>
      <c r="H113" t="str">
        <f>_xlfn.XLOOKUP(G113,SM[Employee ID],SM[Salesperson])</f>
        <v>Ishita Verma</v>
      </c>
      <c r="I113" t="str">
        <f>_xlfn.XLOOKUP(G113,SM[Employee ID],SM[Region])</f>
        <v>North</v>
      </c>
      <c r="J113" t="str">
        <f>_xlfn.XLOOKUP(G113,SM[Employee ID],SM[State/City])</f>
        <v>Chandigarh</v>
      </c>
      <c r="K113" s="2">
        <f>_xlfn.XLOOKUP(Sales[[#This Row],[Order ID]],ST[Order ID],ST[Units Sold])</f>
        <v>6</v>
      </c>
      <c r="L113">
        <f t="shared" si="1"/>
        <v>66060</v>
      </c>
    </row>
    <row r="114" spans="1:12" x14ac:dyDescent="0.35">
      <c r="A114" s="7">
        <v>1111</v>
      </c>
      <c r="B114" s="1">
        <v>45060</v>
      </c>
      <c r="C114" s="2" t="s">
        <v>12</v>
      </c>
      <c r="D114" t="str">
        <f>_xlfn.XLOOKUP(Merged_Sales_Data!C114,PM[Product ID],PM[Product Name])</f>
        <v>Bookshelf Unit</v>
      </c>
      <c r="E114" t="str">
        <f>VLOOKUP(C114,PM[],3,FALSE)</f>
        <v>Furniture</v>
      </c>
      <c r="F114">
        <f>_xlfn.XLOOKUP(C114,PM[Product ID],PM[Unit Price (₹)])</f>
        <v>3910</v>
      </c>
      <c r="G114" t="str">
        <f>_xlfn.XLOOKUP(Sales[[#This Row],[Order ID]],ST[Order ID],ST[Employee ID])</f>
        <v>E07</v>
      </c>
      <c r="H114" t="str">
        <f>_xlfn.XLOOKUP(G114,SM[Employee ID],SM[Salesperson])</f>
        <v>Aditya Kapoor</v>
      </c>
      <c r="I114" t="str">
        <f>_xlfn.XLOOKUP(G114,SM[Employee ID],SM[Region])</f>
        <v>West</v>
      </c>
      <c r="J114" t="str">
        <f>_xlfn.XLOOKUP(G114,SM[Employee ID],SM[State/City])</f>
        <v>Mumbai</v>
      </c>
      <c r="K114" s="2">
        <f>_xlfn.XLOOKUP(Sales[[#This Row],[Order ID]],ST[Order ID],ST[Units Sold])</f>
        <v>3</v>
      </c>
      <c r="L114">
        <f t="shared" si="1"/>
        <v>11730</v>
      </c>
    </row>
    <row r="115" spans="1:12" x14ac:dyDescent="0.35">
      <c r="A115" s="7">
        <v>1122</v>
      </c>
      <c r="B115" s="1">
        <v>45061</v>
      </c>
      <c r="C115" s="2" t="s">
        <v>12</v>
      </c>
      <c r="D115" t="str">
        <f>_xlfn.XLOOKUP(Merged_Sales_Data!C115,PM[Product ID],PM[Product Name])</f>
        <v>Bookshelf Unit</v>
      </c>
      <c r="E115" t="str">
        <f>VLOOKUP(C115,PM[],3,FALSE)</f>
        <v>Furniture</v>
      </c>
      <c r="F115">
        <f>_xlfn.XLOOKUP(C115,PM[Product ID],PM[Unit Price (₹)])</f>
        <v>3910</v>
      </c>
      <c r="G115" t="str">
        <f>_xlfn.XLOOKUP(Sales[[#This Row],[Order ID]],ST[Order ID],ST[Employee ID])</f>
        <v>E07</v>
      </c>
      <c r="H115" t="str">
        <f>_xlfn.XLOOKUP(G115,SM[Employee ID],SM[Salesperson])</f>
        <v>Aditya Kapoor</v>
      </c>
      <c r="I115" t="str">
        <f>_xlfn.XLOOKUP(G115,SM[Employee ID],SM[Region])</f>
        <v>West</v>
      </c>
      <c r="J115" t="str">
        <f>_xlfn.XLOOKUP(G115,SM[Employee ID],SM[State/City])</f>
        <v>Mumbai</v>
      </c>
      <c r="K115" s="2">
        <f>_xlfn.XLOOKUP(Sales[[#This Row],[Order ID]],ST[Order ID],ST[Units Sold])</f>
        <v>5</v>
      </c>
      <c r="L115">
        <f t="shared" si="1"/>
        <v>19550</v>
      </c>
    </row>
    <row r="116" spans="1:12" x14ac:dyDescent="0.35">
      <c r="A116" s="7">
        <v>1120</v>
      </c>
      <c r="B116" s="1">
        <v>45064</v>
      </c>
      <c r="C116" s="2" t="s">
        <v>20</v>
      </c>
      <c r="D116" t="str">
        <f>_xlfn.XLOOKUP(Merged_Sales_Data!C116,PM[Product ID],PM[Product Name])</f>
        <v>Standing Desk</v>
      </c>
      <c r="E116" t="str">
        <f>VLOOKUP(C116,PM[],3,FALSE)</f>
        <v>Office Supplies</v>
      </c>
      <c r="F116">
        <f>_xlfn.XLOOKUP(C116,PM[Product ID],PM[Unit Price (₹)])</f>
        <v>11010</v>
      </c>
      <c r="G116" t="str">
        <f>_xlfn.XLOOKUP(Sales[[#This Row],[Order ID]],ST[Order ID],ST[Employee ID])</f>
        <v>E03</v>
      </c>
      <c r="H116" t="str">
        <f>_xlfn.XLOOKUP(G116,SM[Employee ID],SM[Salesperson])</f>
        <v>Rohan Mehta</v>
      </c>
      <c r="I116" t="str">
        <f>_xlfn.XLOOKUP(G116,SM[Employee ID],SM[Region])</f>
        <v>South</v>
      </c>
      <c r="J116" t="str">
        <f>_xlfn.XLOOKUP(G116,SM[Employee ID],SM[State/City])</f>
        <v>Bengaluru</v>
      </c>
      <c r="K116" s="2">
        <f>_xlfn.XLOOKUP(Sales[[#This Row],[Order ID]],ST[Order ID],ST[Units Sold])</f>
        <v>4</v>
      </c>
      <c r="L116">
        <f t="shared" si="1"/>
        <v>44040</v>
      </c>
    </row>
    <row r="117" spans="1:12" x14ac:dyDescent="0.35">
      <c r="A117" s="7">
        <v>1110</v>
      </c>
      <c r="B117" s="1">
        <v>45066</v>
      </c>
      <c r="C117" s="2" t="s">
        <v>21</v>
      </c>
      <c r="D117" t="str">
        <f>_xlfn.XLOOKUP(Merged_Sales_Data!C117,PM[Product ID],PM[Product Name])</f>
        <v>Wireless Mouse</v>
      </c>
      <c r="E117" t="str">
        <f>VLOOKUP(C117,PM[],3,FALSE)</f>
        <v>Electronics</v>
      </c>
      <c r="F117">
        <f>_xlfn.XLOOKUP(C117,PM[Product ID],PM[Unit Price (₹)])</f>
        <v>780</v>
      </c>
      <c r="G117" t="str">
        <f>_xlfn.XLOOKUP(Sales[[#This Row],[Order ID]],ST[Order ID],ST[Employee ID])</f>
        <v>E05</v>
      </c>
      <c r="H117" t="str">
        <f>_xlfn.XLOOKUP(G117,SM[Employee ID],SM[Salesperson])</f>
        <v>Karan Malhotra</v>
      </c>
      <c r="I117" t="str">
        <f>_xlfn.XLOOKUP(G117,SM[Employee ID],SM[Region])</f>
        <v>East</v>
      </c>
      <c r="J117" t="str">
        <f>_xlfn.XLOOKUP(G117,SM[Employee ID],SM[State/City])</f>
        <v>Kolkata</v>
      </c>
      <c r="K117" s="2">
        <f>_xlfn.XLOOKUP(Sales[[#This Row],[Order ID]],ST[Order ID],ST[Units Sold])</f>
        <v>1</v>
      </c>
      <c r="L117">
        <f t="shared" si="1"/>
        <v>780</v>
      </c>
    </row>
    <row r="118" spans="1:12" x14ac:dyDescent="0.35">
      <c r="A118" s="7">
        <v>1107</v>
      </c>
      <c r="B118" s="1">
        <v>45067</v>
      </c>
      <c r="C118" s="2" t="s">
        <v>20</v>
      </c>
      <c r="D118" t="str">
        <f>_xlfn.XLOOKUP(Merged_Sales_Data!C118,PM[Product ID],PM[Product Name])</f>
        <v>Standing Desk</v>
      </c>
      <c r="E118" t="str">
        <f>VLOOKUP(C118,PM[],3,FALSE)</f>
        <v>Office Supplies</v>
      </c>
      <c r="F118">
        <f>_xlfn.XLOOKUP(C118,PM[Product ID],PM[Unit Price (₹)])</f>
        <v>11010</v>
      </c>
      <c r="G118" t="str">
        <f>_xlfn.XLOOKUP(Sales[[#This Row],[Order ID]],ST[Order ID],ST[Employee ID])</f>
        <v>E02</v>
      </c>
      <c r="H118" t="str">
        <f>_xlfn.XLOOKUP(G118,SM[Employee ID],SM[Salesperson])</f>
        <v>Ishita Verma</v>
      </c>
      <c r="I118" t="str">
        <f>_xlfn.XLOOKUP(G118,SM[Employee ID],SM[Region])</f>
        <v>North</v>
      </c>
      <c r="J118" t="str">
        <f>_xlfn.XLOOKUP(G118,SM[Employee ID],SM[State/City])</f>
        <v>Chandigarh</v>
      </c>
      <c r="K118" s="2">
        <f>_xlfn.XLOOKUP(Sales[[#This Row],[Order ID]],ST[Order ID],ST[Units Sold])</f>
        <v>3</v>
      </c>
      <c r="L118">
        <f t="shared" si="1"/>
        <v>33030</v>
      </c>
    </row>
    <row r="119" spans="1:12" x14ac:dyDescent="0.35">
      <c r="A119" s="7">
        <v>1105</v>
      </c>
      <c r="B119" s="1">
        <v>45068</v>
      </c>
      <c r="C119" s="2" t="s">
        <v>5</v>
      </c>
      <c r="D119" t="str">
        <f>_xlfn.XLOOKUP(Merged_Sales_Data!C119,PM[Product ID],PM[Product Name])</f>
        <v>Ergo Office Chair</v>
      </c>
      <c r="E119" t="str">
        <f>VLOOKUP(C119,PM[],3,FALSE)</f>
        <v>Office Supplies</v>
      </c>
      <c r="F119">
        <f>_xlfn.XLOOKUP(C119,PM[Product ID],PM[Unit Price (₹)])</f>
        <v>6750</v>
      </c>
      <c r="G119" t="str">
        <f>_xlfn.XLOOKUP(Sales[[#This Row],[Order ID]],ST[Order ID],ST[Employee ID])</f>
        <v>E04</v>
      </c>
      <c r="H119" t="str">
        <f>_xlfn.XLOOKUP(G119,SM[Employee ID],SM[Salesperson])</f>
        <v>Priya Nair</v>
      </c>
      <c r="I119" t="str">
        <f>_xlfn.XLOOKUP(G119,SM[Employee ID],SM[Region])</f>
        <v>South</v>
      </c>
      <c r="J119" t="str">
        <f>_xlfn.XLOOKUP(G119,SM[Employee ID],SM[State/City])</f>
        <v>Bengaluru</v>
      </c>
      <c r="K119" s="2">
        <f>_xlfn.XLOOKUP(Sales[[#This Row],[Order ID]],ST[Order ID],ST[Units Sold])</f>
        <v>1</v>
      </c>
      <c r="L119">
        <f t="shared" si="1"/>
        <v>6750</v>
      </c>
    </row>
    <row r="120" spans="1:12" x14ac:dyDescent="0.35">
      <c r="A120" s="7">
        <v>1117</v>
      </c>
      <c r="B120" s="1">
        <v>45069</v>
      </c>
      <c r="C120" s="2" t="s">
        <v>12</v>
      </c>
      <c r="D120" t="str">
        <f>_xlfn.XLOOKUP(Merged_Sales_Data!C120,PM[Product ID],PM[Product Name])</f>
        <v>Bookshelf Unit</v>
      </c>
      <c r="E120" t="str">
        <f>VLOOKUP(C120,PM[],3,FALSE)</f>
        <v>Furniture</v>
      </c>
      <c r="F120">
        <f>_xlfn.XLOOKUP(C120,PM[Product ID],PM[Unit Price (₹)])</f>
        <v>3910</v>
      </c>
      <c r="G120" t="str">
        <f>_xlfn.XLOOKUP(Sales[[#This Row],[Order ID]],ST[Order ID],ST[Employee ID])</f>
        <v>E07</v>
      </c>
      <c r="H120" t="str">
        <f>_xlfn.XLOOKUP(G120,SM[Employee ID],SM[Salesperson])</f>
        <v>Aditya Kapoor</v>
      </c>
      <c r="I120" t="str">
        <f>_xlfn.XLOOKUP(G120,SM[Employee ID],SM[Region])</f>
        <v>West</v>
      </c>
      <c r="J120" t="str">
        <f>_xlfn.XLOOKUP(G120,SM[Employee ID],SM[State/City])</f>
        <v>Mumbai</v>
      </c>
      <c r="K120" s="2">
        <f>_xlfn.XLOOKUP(Sales[[#This Row],[Order ID]],ST[Order ID],ST[Units Sold])</f>
        <v>4</v>
      </c>
      <c r="L120">
        <f t="shared" si="1"/>
        <v>15640</v>
      </c>
    </row>
    <row r="121" spans="1:12" x14ac:dyDescent="0.35">
      <c r="A121" s="7">
        <v>1119</v>
      </c>
      <c r="B121" s="1">
        <v>45070</v>
      </c>
      <c r="C121" s="2" t="s">
        <v>10</v>
      </c>
      <c r="D121" t="str">
        <f>_xlfn.XLOOKUP(Merged_Sales_Data!C121,PM[Product ID],PM[Product Name])</f>
        <v>Filing Cabinet</v>
      </c>
      <c r="E121" t="str">
        <f>VLOOKUP(C121,PM[],3,FALSE)</f>
        <v>Furniture</v>
      </c>
      <c r="F121">
        <f>_xlfn.XLOOKUP(C121,PM[Product ID],PM[Unit Price (₹)])</f>
        <v>4070</v>
      </c>
      <c r="G121" t="str">
        <f>_xlfn.XLOOKUP(Sales[[#This Row],[Order ID]],ST[Order ID],ST[Employee ID])</f>
        <v>E07</v>
      </c>
      <c r="H121" t="str">
        <f>_xlfn.XLOOKUP(G121,SM[Employee ID],SM[Salesperson])</f>
        <v>Aditya Kapoor</v>
      </c>
      <c r="I121" t="str">
        <f>_xlfn.XLOOKUP(G121,SM[Employee ID],SM[Region])</f>
        <v>West</v>
      </c>
      <c r="J121" t="str">
        <f>_xlfn.XLOOKUP(G121,SM[Employee ID],SM[State/City])</f>
        <v>Mumbai</v>
      </c>
      <c r="K121" s="2">
        <f>_xlfn.XLOOKUP(Sales[[#This Row],[Order ID]],ST[Order ID],ST[Units Sold])</f>
        <v>10</v>
      </c>
      <c r="L121">
        <f t="shared" si="1"/>
        <v>40700</v>
      </c>
    </row>
    <row r="122" spans="1:12" x14ac:dyDescent="0.35">
      <c r="A122" s="7">
        <v>1115</v>
      </c>
      <c r="B122" s="1">
        <v>45074</v>
      </c>
      <c r="C122" s="2" t="s">
        <v>12</v>
      </c>
      <c r="D122" t="str">
        <f>_xlfn.XLOOKUP(Merged_Sales_Data!C122,PM[Product ID],PM[Product Name])</f>
        <v>Bookshelf Unit</v>
      </c>
      <c r="E122" t="str">
        <f>VLOOKUP(C122,PM[],3,FALSE)</f>
        <v>Furniture</v>
      </c>
      <c r="F122">
        <f>_xlfn.XLOOKUP(C122,PM[Product ID],PM[Unit Price (₹)])</f>
        <v>3910</v>
      </c>
      <c r="G122" t="str">
        <f>_xlfn.XLOOKUP(Sales[[#This Row],[Order ID]],ST[Order ID],ST[Employee ID])</f>
        <v>E06</v>
      </c>
      <c r="H122" t="str">
        <f>_xlfn.XLOOKUP(G122,SM[Employee ID],SM[Salesperson])</f>
        <v>Sneha Roy</v>
      </c>
      <c r="I122" t="str">
        <f>_xlfn.XLOOKUP(G122,SM[Employee ID],SM[Region])</f>
        <v>East</v>
      </c>
      <c r="J122" t="str">
        <f>_xlfn.XLOOKUP(G122,SM[Employee ID],SM[State/City])</f>
        <v>Kolkata</v>
      </c>
      <c r="K122" s="2">
        <f>_xlfn.XLOOKUP(Sales[[#This Row],[Order ID]],ST[Order ID],ST[Units Sold])</f>
        <v>10</v>
      </c>
      <c r="L122">
        <f t="shared" si="1"/>
        <v>39100</v>
      </c>
    </row>
    <row r="123" spans="1:12" x14ac:dyDescent="0.35">
      <c r="A123" s="7">
        <v>1108</v>
      </c>
      <c r="B123" s="1">
        <v>45077</v>
      </c>
      <c r="C123" s="2" t="s">
        <v>8</v>
      </c>
      <c r="D123" t="str">
        <f>_xlfn.XLOOKUP(Merged_Sales_Data!C123,PM[Product ID],PM[Product Name])</f>
        <v>USB-C Hub</v>
      </c>
      <c r="E123" t="str">
        <f>VLOOKUP(C123,PM[],3,FALSE)</f>
        <v>Accessories</v>
      </c>
      <c r="F123">
        <f>_xlfn.XLOOKUP(C123,PM[Product ID],PM[Unit Price (₹)])</f>
        <v>880</v>
      </c>
      <c r="G123" t="str">
        <f>_xlfn.XLOOKUP(Sales[[#This Row],[Order ID]],ST[Order ID],ST[Employee ID])</f>
        <v>E07</v>
      </c>
      <c r="H123" t="str">
        <f>_xlfn.XLOOKUP(G123,SM[Employee ID],SM[Salesperson])</f>
        <v>Aditya Kapoor</v>
      </c>
      <c r="I123" t="str">
        <f>_xlfn.XLOOKUP(G123,SM[Employee ID],SM[Region])</f>
        <v>West</v>
      </c>
      <c r="J123" t="str">
        <f>_xlfn.XLOOKUP(G123,SM[Employee ID],SM[State/City])</f>
        <v>Mumbai</v>
      </c>
      <c r="K123" s="2">
        <f>_xlfn.XLOOKUP(Sales[[#This Row],[Order ID]],ST[Order ID],ST[Units Sold])</f>
        <v>3</v>
      </c>
      <c r="L123">
        <f t="shared" si="1"/>
        <v>2640</v>
      </c>
    </row>
    <row r="124" spans="1:12" x14ac:dyDescent="0.35">
      <c r="A124" s="7">
        <v>1147</v>
      </c>
      <c r="B124" s="1">
        <v>45078</v>
      </c>
      <c r="C124" s="2" t="s">
        <v>10</v>
      </c>
      <c r="D124" t="str">
        <f>_xlfn.XLOOKUP(Merged_Sales_Data!C124,PM[Product ID],PM[Product Name])</f>
        <v>Filing Cabinet</v>
      </c>
      <c r="E124" t="str">
        <f>VLOOKUP(C124,PM[],3,FALSE)</f>
        <v>Furniture</v>
      </c>
      <c r="F124">
        <f>_xlfn.XLOOKUP(C124,PM[Product ID],PM[Unit Price (₹)])</f>
        <v>4070</v>
      </c>
      <c r="G124" t="str">
        <f>_xlfn.XLOOKUP(Sales[[#This Row],[Order ID]],ST[Order ID],ST[Employee ID])</f>
        <v>E01</v>
      </c>
      <c r="H124" t="str">
        <f>_xlfn.XLOOKUP(G124,SM[Employee ID],SM[Salesperson])</f>
        <v>Aarav Sharma</v>
      </c>
      <c r="I124" t="str">
        <f>_xlfn.XLOOKUP(G124,SM[Employee ID],SM[Region])</f>
        <v>North</v>
      </c>
      <c r="J124" t="str">
        <f>_xlfn.XLOOKUP(G124,SM[Employee ID],SM[State/City])</f>
        <v>Lucknow</v>
      </c>
      <c r="K124" s="2">
        <f>_xlfn.XLOOKUP(Sales[[#This Row],[Order ID]],ST[Order ID],ST[Units Sold])</f>
        <v>5</v>
      </c>
      <c r="L124">
        <f t="shared" si="1"/>
        <v>20350</v>
      </c>
    </row>
    <row r="125" spans="1:12" x14ac:dyDescent="0.35">
      <c r="A125" s="7">
        <v>1132</v>
      </c>
      <c r="B125" s="1">
        <v>45079</v>
      </c>
      <c r="C125" s="2" t="s">
        <v>8</v>
      </c>
      <c r="D125" t="str">
        <f>_xlfn.XLOOKUP(Merged_Sales_Data!C125,PM[Product ID],PM[Product Name])</f>
        <v>USB-C Hub</v>
      </c>
      <c r="E125" t="str">
        <f>VLOOKUP(C125,PM[],3,FALSE)</f>
        <v>Accessories</v>
      </c>
      <c r="F125">
        <f>_xlfn.XLOOKUP(C125,PM[Product ID],PM[Unit Price (₹)])</f>
        <v>880</v>
      </c>
      <c r="G125" t="str">
        <f>_xlfn.XLOOKUP(Sales[[#This Row],[Order ID]],ST[Order ID],ST[Employee ID])</f>
        <v>E03</v>
      </c>
      <c r="H125" t="str">
        <f>_xlfn.XLOOKUP(G125,SM[Employee ID],SM[Salesperson])</f>
        <v>Rohan Mehta</v>
      </c>
      <c r="I125" t="str">
        <f>_xlfn.XLOOKUP(G125,SM[Employee ID],SM[Region])</f>
        <v>South</v>
      </c>
      <c r="J125" t="str">
        <f>_xlfn.XLOOKUP(G125,SM[Employee ID],SM[State/City])</f>
        <v>Bengaluru</v>
      </c>
      <c r="K125" s="2">
        <f>_xlfn.XLOOKUP(Sales[[#This Row],[Order ID]],ST[Order ID],ST[Units Sold])</f>
        <v>5</v>
      </c>
      <c r="L125">
        <f t="shared" si="1"/>
        <v>4400</v>
      </c>
    </row>
    <row r="126" spans="1:12" x14ac:dyDescent="0.35">
      <c r="A126" s="7">
        <v>1139</v>
      </c>
      <c r="B126" s="1">
        <v>45080</v>
      </c>
      <c r="C126" s="2" t="s">
        <v>20</v>
      </c>
      <c r="D126" t="str">
        <f>_xlfn.XLOOKUP(Merged_Sales_Data!C126,PM[Product ID],PM[Product Name])</f>
        <v>Standing Desk</v>
      </c>
      <c r="E126" t="str">
        <f>VLOOKUP(C126,PM[],3,FALSE)</f>
        <v>Office Supplies</v>
      </c>
      <c r="F126">
        <f>_xlfn.XLOOKUP(C126,PM[Product ID],PM[Unit Price (₹)])</f>
        <v>11010</v>
      </c>
      <c r="G126" t="str">
        <f>_xlfn.XLOOKUP(Sales[[#This Row],[Order ID]],ST[Order ID],ST[Employee ID])</f>
        <v>E04</v>
      </c>
      <c r="H126" t="str">
        <f>_xlfn.XLOOKUP(G126,SM[Employee ID],SM[Salesperson])</f>
        <v>Priya Nair</v>
      </c>
      <c r="I126" t="str">
        <f>_xlfn.XLOOKUP(G126,SM[Employee ID],SM[Region])</f>
        <v>South</v>
      </c>
      <c r="J126" t="str">
        <f>_xlfn.XLOOKUP(G126,SM[Employee ID],SM[State/City])</f>
        <v>Bengaluru</v>
      </c>
      <c r="K126" s="2">
        <f>_xlfn.XLOOKUP(Sales[[#This Row],[Order ID]],ST[Order ID],ST[Units Sold])</f>
        <v>5</v>
      </c>
      <c r="L126">
        <f t="shared" si="1"/>
        <v>55050</v>
      </c>
    </row>
    <row r="127" spans="1:12" x14ac:dyDescent="0.35">
      <c r="A127" s="7">
        <v>1126</v>
      </c>
      <c r="B127" s="1">
        <v>45082</v>
      </c>
      <c r="C127" s="2" t="s">
        <v>5</v>
      </c>
      <c r="D127" t="str">
        <f>_xlfn.XLOOKUP(Merged_Sales_Data!C127,PM[Product ID],PM[Product Name])</f>
        <v>Ergo Office Chair</v>
      </c>
      <c r="E127" t="str">
        <f>VLOOKUP(C127,PM[],3,FALSE)</f>
        <v>Office Supplies</v>
      </c>
      <c r="F127">
        <f>_xlfn.XLOOKUP(C127,PM[Product ID],PM[Unit Price (₹)])</f>
        <v>6750</v>
      </c>
      <c r="G127" t="str">
        <f>_xlfn.XLOOKUP(Sales[[#This Row],[Order ID]],ST[Order ID],ST[Employee ID])</f>
        <v>E05</v>
      </c>
      <c r="H127" t="str">
        <f>_xlfn.XLOOKUP(G127,SM[Employee ID],SM[Salesperson])</f>
        <v>Karan Malhotra</v>
      </c>
      <c r="I127" t="str">
        <f>_xlfn.XLOOKUP(G127,SM[Employee ID],SM[Region])</f>
        <v>East</v>
      </c>
      <c r="J127" t="str">
        <f>_xlfn.XLOOKUP(G127,SM[Employee ID],SM[State/City])</f>
        <v>Kolkata</v>
      </c>
      <c r="K127" s="2">
        <f>_xlfn.XLOOKUP(Sales[[#This Row],[Order ID]],ST[Order ID],ST[Units Sold])</f>
        <v>2</v>
      </c>
      <c r="L127">
        <f t="shared" si="1"/>
        <v>13500</v>
      </c>
    </row>
    <row r="128" spans="1:12" x14ac:dyDescent="0.35">
      <c r="A128" s="7">
        <v>1133</v>
      </c>
      <c r="B128" s="1">
        <v>45082</v>
      </c>
      <c r="C128" s="2" t="s">
        <v>11</v>
      </c>
      <c r="D128" t="str">
        <f>_xlfn.XLOOKUP(Merged_Sales_Data!C128,PM[Product ID],PM[Product Name])</f>
        <v>Bluetooth Speaker</v>
      </c>
      <c r="E128" t="str">
        <f>VLOOKUP(C128,PM[],3,FALSE)</f>
        <v>Electronics</v>
      </c>
      <c r="F128">
        <f>_xlfn.XLOOKUP(C128,PM[Product ID],PM[Unit Price (₹)])</f>
        <v>1430</v>
      </c>
      <c r="G128" t="str">
        <f>_xlfn.XLOOKUP(Sales[[#This Row],[Order ID]],ST[Order ID],ST[Employee ID])</f>
        <v>E04</v>
      </c>
      <c r="H128" t="str">
        <f>_xlfn.XLOOKUP(G128,SM[Employee ID],SM[Salesperson])</f>
        <v>Priya Nair</v>
      </c>
      <c r="I128" t="str">
        <f>_xlfn.XLOOKUP(G128,SM[Employee ID],SM[Region])</f>
        <v>South</v>
      </c>
      <c r="J128" t="str">
        <f>_xlfn.XLOOKUP(G128,SM[Employee ID],SM[State/City])</f>
        <v>Bengaluru</v>
      </c>
      <c r="K128" s="2">
        <f>_xlfn.XLOOKUP(Sales[[#This Row],[Order ID]],ST[Order ID],ST[Units Sold])</f>
        <v>5</v>
      </c>
      <c r="L128">
        <f t="shared" si="1"/>
        <v>7150</v>
      </c>
    </row>
    <row r="129" spans="1:12" x14ac:dyDescent="0.35">
      <c r="A129" s="7">
        <v>1141</v>
      </c>
      <c r="B129" s="1">
        <v>45082</v>
      </c>
      <c r="C129" s="2" t="s">
        <v>8</v>
      </c>
      <c r="D129" t="str">
        <f>_xlfn.XLOOKUP(Merged_Sales_Data!C129,PM[Product ID],PM[Product Name])</f>
        <v>USB-C Hub</v>
      </c>
      <c r="E129" t="str">
        <f>VLOOKUP(C129,PM[],3,FALSE)</f>
        <v>Accessories</v>
      </c>
      <c r="F129">
        <f>_xlfn.XLOOKUP(C129,PM[Product ID],PM[Unit Price (₹)])</f>
        <v>880</v>
      </c>
      <c r="G129" t="str">
        <f>_xlfn.XLOOKUP(Sales[[#This Row],[Order ID]],ST[Order ID],ST[Employee ID])</f>
        <v>E06</v>
      </c>
      <c r="H129" t="str">
        <f>_xlfn.XLOOKUP(G129,SM[Employee ID],SM[Salesperson])</f>
        <v>Sneha Roy</v>
      </c>
      <c r="I129" t="str">
        <f>_xlfn.XLOOKUP(G129,SM[Employee ID],SM[Region])</f>
        <v>East</v>
      </c>
      <c r="J129" t="str">
        <f>_xlfn.XLOOKUP(G129,SM[Employee ID],SM[State/City])</f>
        <v>Kolkata</v>
      </c>
      <c r="K129" s="2">
        <f>_xlfn.XLOOKUP(Sales[[#This Row],[Order ID]],ST[Order ID],ST[Units Sold])</f>
        <v>1</v>
      </c>
      <c r="L129">
        <f t="shared" si="1"/>
        <v>880</v>
      </c>
    </row>
    <row r="130" spans="1:12" x14ac:dyDescent="0.35">
      <c r="A130" s="7">
        <v>1131</v>
      </c>
      <c r="B130" s="1">
        <v>45085</v>
      </c>
      <c r="C130" s="2" t="s">
        <v>11</v>
      </c>
      <c r="D130" t="str">
        <f>_xlfn.XLOOKUP(Merged_Sales_Data!C130,PM[Product ID],PM[Product Name])</f>
        <v>Bluetooth Speaker</v>
      </c>
      <c r="E130" t="str">
        <f>VLOOKUP(C130,PM[],3,FALSE)</f>
        <v>Electronics</v>
      </c>
      <c r="F130">
        <f>_xlfn.XLOOKUP(C130,PM[Product ID],PM[Unit Price (₹)])</f>
        <v>1430</v>
      </c>
      <c r="G130" t="str">
        <f>_xlfn.XLOOKUP(Sales[[#This Row],[Order ID]],ST[Order ID],ST[Employee ID])</f>
        <v>E01</v>
      </c>
      <c r="H130" t="str">
        <f>_xlfn.XLOOKUP(G130,SM[Employee ID],SM[Salesperson])</f>
        <v>Aarav Sharma</v>
      </c>
      <c r="I130" t="str">
        <f>_xlfn.XLOOKUP(G130,SM[Employee ID],SM[Region])</f>
        <v>North</v>
      </c>
      <c r="J130" t="str">
        <f>_xlfn.XLOOKUP(G130,SM[Employee ID],SM[State/City])</f>
        <v>Lucknow</v>
      </c>
      <c r="K130" s="2">
        <f>_xlfn.XLOOKUP(Sales[[#This Row],[Order ID]],ST[Order ID],ST[Units Sold])</f>
        <v>4</v>
      </c>
      <c r="L130">
        <f t="shared" si="1"/>
        <v>5720</v>
      </c>
    </row>
    <row r="131" spans="1:12" x14ac:dyDescent="0.35">
      <c r="A131" s="7">
        <v>1137</v>
      </c>
      <c r="B131" s="1">
        <v>45086</v>
      </c>
      <c r="C131" s="2" t="s">
        <v>14</v>
      </c>
      <c r="D131" t="str">
        <f>_xlfn.XLOOKUP(Merged_Sales_Data!C131,PM[Product ID],PM[Product Name])</f>
        <v>Laptop Backpack</v>
      </c>
      <c r="E131" t="str">
        <f>VLOOKUP(C131,PM[],3,FALSE)</f>
        <v>Accessories</v>
      </c>
      <c r="F131">
        <f>_xlfn.XLOOKUP(C131,PM[Product ID],PM[Unit Price (₹)])</f>
        <v>1110</v>
      </c>
      <c r="G131" t="str">
        <f>_xlfn.XLOOKUP(Sales[[#This Row],[Order ID]],ST[Order ID],ST[Employee ID])</f>
        <v>E03</v>
      </c>
      <c r="H131" t="str">
        <f>_xlfn.XLOOKUP(G131,SM[Employee ID],SM[Salesperson])</f>
        <v>Rohan Mehta</v>
      </c>
      <c r="I131" t="str">
        <f>_xlfn.XLOOKUP(G131,SM[Employee ID],SM[Region])</f>
        <v>South</v>
      </c>
      <c r="J131" t="str">
        <f>_xlfn.XLOOKUP(G131,SM[Employee ID],SM[State/City])</f>
        <v>Bengaluru</v>
      </c>
      <c r="K131" s="2">
        <f>_xlfn.XLOOKUP(Sales[[#This Row],[Order ID]],ST[Order ID],ST[Units Sold])</f>
        <v>5</v>
      </c>
      <c r="L131">
        <f t="shared" ref="L131:L194" si="2">F131*K131</f>
        <v>5550</v>
      </c>
    </row>
    <row r="132" spans="1:12" x14ac:dyDescent="0.35">
      <c r="A132" s="7">
        <v>1140</v>
      </c>
      <c r="B132" s="1">
        <v>45088</v>
      </c>
      <c r="C132" s="2" t="s">
        <v>5</v>
      </c>
      <c r="D132" t="str">
        <f>_xlfn.XLOOKUP(Merged_Sales_Data!C132,PM[Product ID],PM[Product Name])</f>
        <v>Ergo Office Chair</v>
      </c>
      <c r="E132" t="str">
        <f>VLOOKUP(C132,PM[],3,FALSE)</f>
        <v>Office Supplies</v>
      </c>
      <c r="F132">
        <f>_xlfn.XLOOKUP(C132,PM[Product ID],PM[Unit Price (₹)])</f>
        <v>6750</v>
      </c>
      <c r="G132" t="str">
        <f>_xlfn.XLOOKUP(Sales[[#This Row],[Order ID]],ST[Order ID],ST[Employee ID])</f>
        <v>E05</v>
      </c>
      <c r="H132" t="str">
        <f>_xlfn.XLOOKUP(G132,SM[Employee ID],SM[Salesperson])</f>
        <v>Karan Malhotra</v>
      </c>
      <c r="I132" t="str">
        <f>_xlfn.XLOOKUP(G132,SM[Employee ID],SM[Region])</f>
        <v>East</v>
      </c>
      <c r="J132" t="str">
        <f>_xlfn.XLOOKUP(G132,SM[Employee ID],SM[State/City])</f>
        <v>Kolkata</v>
      </c>
      <c r="K132" s="2">
        <f>_xlfn.XLOOKUP(Sales[[#This Row],[Order ID]],ST[Order ID],ST[Units Sold])</f>
        <v>2</v>
      </c>
      <c r="L132">
        <f t="shared" si="2"/>
        <v>13500</v>
      </c>
    </row>
    <row r="133" spans="1:12" x14ac:dyDescent="0.35">
      <c r="A133" s="7">
        <v>1129</v>
      </c>
      <c r="B133" s="1">
        <v>45090</v>
      </c>
      <c r="C133" s="2" t="s">
        <v>10</v>
      </c>
      <c r="D133" t="str">
        <f>_xlfn.XLOOKUP(Merged_Sales_Data!C133,PM[Product ID],PM[Product Name])</f>
        <v>Filing Cabinet</v>
      </c>
      <c r="E133" t="str">
        <f>VLOOKUP(C133,PM[],3,FALSE)</f>
        <v>Furniture</v>
      </c>
      <c r="F133">
        <f>_xlfn.XLOOKUP(C133,PM[Product ID],PM[Unit Price (₹)])</f>
        <v>4070</v>
      </c>
      <c r="G133" t="str">
        <f>_xlfn.XLOOKUP(Sales[[#This Row],[Order ID]],ST[Order ID],ST[Employee ID])</f>
        <v>E04</v>
      </c>
      <c r="H133" t="str">
        <f>_xlfn.XLOOKUP(G133,SM[Employee ID],SM[Salesperson])</f>
        <v>Priya Nair</v>
      </c>
      <c r="I133" t="str">
        <f>_xlfn.XLOOKUP(G133,SM[Employee ID],SM[Region])</f>
        <v>South</v>
      </c>
      <c r="J133" t="str">
        <f>_xlfn.XLOOKUP(G133,SM[Employee ID],SM[State/City])</f>
        <v>Bengaluru</v>
      </c>
      <c r="K133" s="2">
        <f>_xlfn.XLOOKUP(Sales[[#This Row],[Order ID]],ST[Order ID],ST[Units Sold])</f>
        <v>5</v>
      </c>
      <c r="L133">
        <f t="shared" si="2"/>
        <v>20350</v>
      </c>
    </row>
    <row r="134" spans="1:12" x14ac:dyDescent="0.35">
      <c r="A134" s="7">
        <v>1143</v>
      </c>
      <c r="B134" s="1">
        <v>45091</v>
      </c>
      <c r="C134" s="2" t="s">
        <v>5</v>
      </c>
      <c r="D134" t="str">
        <f>_xlfn.XLOOKUP(Merged_Sales_Data!C134,PM[Product ID],PM[Product Name])</f>
        <v>Ergo Office Chair</v>
      </c>
      <c r="E134" t="str">
        <f>VLOOKUP(C134,PM[],3,FALSE)</f>
        <v>Office Supplies</v>
      </c>
      <c r="F134">
        <f>_xlfn.XLOOKUP(C134,PM[Product ID],PM[Unit Price (₹)])</f>
        <v>6750</v>
      </c>
      <c r="G134" t="str">
        <f>_xlfn.XLOOKUP(Sales[[#This Row],[Order ID]],ST[Order ID],ST[Employee ID])</f>
        <v>E03</v>
      </c>
      <c r="H134" t="str">
        <f>_xlfn.XLOOKUP(G134,SM[Employee ID],SM[Salesperson])</f>
        <v>Rohan Mehta</v>
      </c>
      <c r="I134" t="str">
        <f>_xlfn.XLOOKUP(G134,SM[Employee ID],SM[Region])</f>
        <v>South</v>
      </c>
      <c r="J134" t="str">
        <f>_xlfn.XLOOKUP(G134,SM[Employee ID],SM[State/City])</f>
        <v>Bengaluru</v>
      </c>
      <c r="K134" s="2">
        <f>_xlfn.XLOOKUP(Sales[[#This Row],[Order ID]],ST[Order ID],ST[Units Sold])</f>
        <v>1</v>
      </c>
      <c r="L134">
        <f t="shared" si="2"/>
        <v>6750</v>
      </c>
    </row>
    <row r="135" spans="1:12" x14ac:dyDescent="0.35">
      <c r="A135" s="7">
        <v>1144</v>
      </c>
      <c r="B135" s="1">
        <v>45092</v>
      </c>
      <c r="C135" s="2" t="s">
        <v>12</v>
      </c>
      <c r="D135" t="str">
        <f>_xlfn.XLOOKUP(Merged_Sales_Data!C135,PM[Product ID],PM[Product Name])</f>
        <v>Bookshelf Unit</v>
      </c>
      <c r="E135" t="str">
        <f>VLOOKUP(C135,PM[],3,FALSE)</f>
        <v>Furniture</v>
      </c>
      <c r="F135">
        <f>_xlfn.XLOOKUP(C135,PM[Product ID],PM[Unit Price (₹)])</f>
        <v>3910</v>
      </c>
      <c r="G135" t="str">
        <f>_xlfn.XLOOKUP(Sales[[#This Row],[Order ID]],ST[Order ID],ST[Employee ID])</f>
        <v>E07</v>
      </c>
      <c r="H135" t="str">
        <f>_xlfn.XLOOKUP(G135,SM[Employee ID],SM[Salesperson])</f>
        <v>Aditya Kapoor</v>
      </c>
      <c r="I135" t="str">
        <f>_xlfn.XLOOKUP(G135,SM[Employee ID],SM[Region])</f>
        <v>West</v>
      </c>
      <c r="J135" t="str">
        <f>_xlfn.XLOOKUP(G135,SM[Employee ID],SM[State/City])</f>
        <v>Mumbai</v>
      </c>
      <c r="K135" s="2">
        <f>_xlfn.XLOOKUP(Sales[[#This Row],[Order ID]],ST[Order ID],ST[Units Sold])</f>
        <v>6</v>
      </c>
      <c r="L135">
        <f t="shared" si="2"/>
        <v>23460</v>
      </c>
    </row>
    <row r="136" spans="1:12" x14ac:dyDescent="0.35">
      <c r="A136" s="7">
        <v>1127</v>
      </c>
      <c r="B136" s="1">
        <v>45093</v>
      </c>
      <c r="C136" s="2" t="s">
        <v>21</v>
      </c>
      <c r="D136" t="str">
        <f>_xlfn.XLOOKUP(Merged_Sales_Data!C136,PM[Product ID],PM[Product Name])</f>
        <v>Wireless Mouse</v>
      </c>
      <c r="E136" t="str">
        <f>VLOOKUP(C136,PM[],3,FALSE)</f>
        <v>Electronics</v>
      </c>
      <c r="F136">
        <f>_xlfn.XLOOKUP(C136,PM[Product ID],PM[Unit Price (₹)])</f>
        <v>780</v>
      </c>
      <c r="G136" t="str">
        <f>_xlfn.XLOOKUP(Sales[[#This Row],[Order ID]],ST[Order ID],ST[Employee ID])</f>
        <v>E01</v>
      </c>
      <c r="H136" t="str">
        <f>_xlfn.XLOOKUP(G136,SM[Employee ID],SM[Salesperson])</f>
        <v>Aarav Sharma</v>
      </c>
      <c r="I136" t="str">
        <f>_xlfn.XLOOKUP(G136,SM[Employee ID],SM[Region])</f>
        <v>North</v>
      </c>
      <c r="J136" t="str">
        <f>_xlfn.XLOOKUP(G136,SM[Employee ID],SM[State/City])</f>
        <v>Lucknow</v>
      </c>
      <c r="K136" s="2">
        <f>_xlfn.XLOOKUP(Sales[[#This Row],[Order ID]],ST[Order ID],ST[Units Sold])</f>
        <v>2</v>
      </c>
      <c r="L136">
        <f t="shared" si="2"/>
        <v>1560</v>
      </c>
    </row>
    <row r="137" spans="1:12" x14ac:dyDescent="0.35">
      <c r="A137" s="7">
        <v>1138</v>
      </c>
      <c r="B137" s="1">
        <v>45093</v>
      </c>
      <c r="C137" s="2" t="s">
        <v>20</v>
      </c>
      <c r="D137" t="str">
        <f>_xlfn.XLOOKUP(Merged_Sales_Data!C137,PM[Product ID],PM[Product Name])</f>
        <v>Standing Desk</v>
      </c>
      <c r="E137" t="str">
        <f>VLOOKUP(C137,PM[],3,FALSE)</f>
        <v>Office Supplies</v>
      </c>
      <c r="F137">
        <f>_xlfn.XLOOKUP(C137,PM[Product ID],PM[Unit Price (₹)])</f>
        <v>11010</v>
      </c>
      <c r="G137" t="str">
        <f>_xlfn.XLOOKUP(Sales[[#This Row],[Order ID]],ST[Order ID],ST[Employee ID])</f>
        <v>E04</v>
      </c>
      <c r="H137" t="str">
        <f>_xlfn.XLOOKUP(G137,SM[Employee ID],SM[Salesperson])</f>
        <v>Priya Nair</v>
      </c>
      <c r="I137" t="str">
        <f>_xlfn.XLOOKUP(G137,SM[Employee ID],SM[Region])</f>
        <v>South</v>
      </c>
      <c r="J137" t="str">
        <f>_xlfn.XLOOKUP(G137,SM[Employee ID],SM[State/City])</f>
        <v>Bengaluru</v>
      </c>
      <c r="K137" s="2">
        <f>_xlfn.XLOOKUP(Sales[[#This Row],[Order ID]],ST[Order ID],ST[Units Sold])</f>
        <v>6</v>
      </c>
      <c r="L137">
        <f t="shared" si="2"/>
        <v>66060</v>
      </c>
    </row>
    <row r="138" spans="1:12" x14ac:dyDescent="0.35">
      <c r="A138" s="7">
        <v>1124</v>
      </c>
      <c r="B138" s="1">
        <v>45094</v>
      </c>
      <c r="C138" s="2" t="s">
        <v>11</v>
      </c>
      <c r="D138" t="str">
        <f>_xlfn.XLOOKUP(Merged_Sales_Data!C138,PM[Product ID],PM[Product Name])</f>
        <v>Bluetooth Speaker</v>
      </c>
      <c r="E138" t="str">
        <f>VLOOKUP(C138,PM[],3,FALSE)</f>
        <v>Electronics</v>
      </c>
      <c r="F138">
        <f>_xlfn.XLOOKUP(C138,PM[Product ID],PM[Unit Price (₹)])</f>
        <v>1430</v>
      </c>
      <c r="G138" t="str">
        <f>_xlfn.XLOOKUP(Sales[[#This Row],[Order ID]],ST[Order ID],ST[Employee ID])</f>
        <v>E03</v>
      </c>
      <c r="H138" t="str">
        <f>_xlfn.XLOOKUP(G138,SM[Employee ID],SM[Salesperson])</f>
        <v>Rohan Mehta</v>
      </c>
      <c r="I138" t="str">
        <f>_xlfn.XLOOKUP(G138,SM[Employee ID],SM[Region])</f>
        <v>South</v>
      </c>
      <c r="J138" t="str">
        <f>_xlfn.XLOOKUP(G138,SM[Employee ID],SM[State/City])</f>
        <v>Bengaluru</v>
      </c>
      <c r="K138" s="2">
        <f>_xlfn.XLOOKUP(Sales[[#This Row],[Order ID]],ST[Order ID],ST[Units Sold])</f>
        <v>2</v>
      </c>
      <c r="L138">
        <f t="shared" si="2"/>
        <v>2860</v>
      </c>
    </row>
    <row r="139" spans="1:12" x14ac:dyDescent="0.35">
      <c r="A139" s="7">
        <v>1134</v>
      </c>
      <c r="B139" s="1">
        <v>45097</v>
      </c>
      <c r="C139" s="2" t="s">
        <v>8</v>
      </c>
      <c r="D139" t="str">
        <f>_xlfn.XLOOKUP(Merged_Sales_Data!C139,PM[Product ID],PM[Product Name])</f>
        <v>USB-C Hub</v>
      </c>
      <c r="E139" t="str">
        <f>VLOOKUP(C139,PM[],3,FALSE)</f>
        <v>Accessories</v>
      </c>
      <c r="F139">
        <f>_xlfn.XLOOKUP(C139,PM[Product ID],PM[Unit Price (₹)])</f>
        <v>880</v>
      </c>
      <c r="G139" t="str">
        <f>_xlfn.XLOOKUP(Sales[[#This Row],[Order ID]],ST[Order ID],ST[Employee ID])</f>
        <v>E08</v>
      </c>
      <c r="H139" t="str">
        <f>_xlfn.XLOOKUP(G139,SM[Employee ID],SM[Salesperson])</f>
        <v>Neha Joshi</v>
      </c>
      <c r="I139" t="str">
        <f>_xlfn.XLOOKUP(G139,SM[Employee ID],SM[Region])</f>
        <v>West</v>
      </c>
      <c r="J139" t="str">
        <f>_xlfn.XLOOKUP(G139,SM[Employee ID],SM[State/City])</f>
        <v>Ahmedabad</v>
      </c>
      <c r="K139" s="2">
        <f>_xlfn.XLOOKUP(Sales[[#This Row],[Order ID]],ST[Order ID],ST[Units Sold])</f>
        <v>6</v>
      </c>
      <c r="L139">
        <f t="shared" si="2"/>
        <v>5280</v>
      </c>
    </row>
    <row r="140" spans="1:12" x14ac:dyDescent="0.35">
      <c r="A140" s="7">
        <v>1125</v>
      </c>
      <c r="B140" s="1">
        <v>45099</v>
      </c>
      <c r="C140" s="2" t="s">
        <v>11</v>
      </c>
      <c r="D140" t="str">
        <f>_xlfn.XLOOKUP(Merged_Sales_Data!C140,PM[Product ID],PM[Product Name])</f>
        <v>Bluetooth Speaker</v>
      </c>
      <c r="E140" t="str">
        <f>VLOOKUP(C140,PM[],3,FALSE)</f>
        <v>Electronics</v>
      </c>
      <c r="F140">
        <f>_xlfn.XLOOKUP(C140,PM[Product ID],PM[Unit Price (₹)])</f>
        <v>1430</v>
      </c>
      <c r="G140" t="str">
        <f>_xlfn.XLOOKUP(Sales[[#This Row],[Order ID]],ST[Order ID],ST[Employee ID])</f>
        <v>E06</v>
      </c>
      <c r="H140" t="str">
        <f>_xlfn.XLOOKUP(G140,SM[Employee ID],SM[Salesperson])</f>
        <v>Sneha Roy</v>
      </c>
      <c r="I140" t="str">
        <f>_xlfn.XLOOKUP(G140,SM[Employee ID],SM[Region])</f>
        <v>East</v>
      </c>
      <c r="J140" t="str">
        <f>_xlfn.XLOOKUP(G140,SM[Employee ID],SM[State/City])</f>
        <v>Kolkata</v>
      </c>
      <c r="K140" s="2">
        <f>_xlfn.XLOOKUP(Sales[[#This Row],[Order ID]],ST[Order ID],ST[Units Sold])</f>
        <v>2</v>
      </c>
      <c r="L140">
        <f t="shared" si="2"/>
        <v>2860</v>
      </c>
    </row>
    <row r="141" spans="1:12" x14ac:dyDescent="0.35">
      <c r="A141" s="7">
        <v>1130</v>
      </c>
      <c r="B141" s="1">
        <v>45100</v>
      </c>
      <c r="C141" s="2" t="s">
        <v>18</v>
      </c>
      <c r="D141" t="str">
        <f>_xlfn.XLOOKUP(Merged_Sales_Data!C141,PM[Product ID],PM[Product Name])</f>
        <v>LED Monitor 24"</v>
      </c>
      <c r="E141" t="str">
        <f>VLOOKUP(C141,PM[],3,FALSE)</f>
        <v>Electronics</v>
      </c>
      <c r="F141">
        <f>_xlfn.XLOOKUP(C141,PM[Product ID],PM[Unit Price (₹)])</f>
        <v>7700</v>
      </c>
      <c r="G141" t="str">
        <f>_xlfn.XLOOKUP(Sales[[#This Row],[Order ID]],ST[Order ID],ST[Employee ID])</f>
        <v>E04</v>
      </c>
      <c r="H141" t="str">
        <f>_xlfn.XLOOKUP(G141,SM[Employee ID],SM[Salesperson])</f>
        <v>Priya Nair</v>
      </c>
      <c r="I141" t="str">
        <f>_xlfn.XLOOKUP(G141,SM[Employee ID],SM[Region])</f>
        <v>South</v>
      </c>
      <c r="J141" t="str">
        <f>_xlfn.XLOOKUP(G141,SM[Employee ID],SM[State/City])</f>
        <v>Bengaluru</v>
      </c>
      <c r="K141" s="2">
        <f>_xlfn.XLOOKUP(Sales[[#This Row],[Order ID]],ST[Order ID],ST[Units Sold])</f>
        <v>10</v>
      </c>
      <c r="L141">
        <f t="shared" si="2"/>
        <v>77000</v>
      </c>
    </row>
    <row r="142" spans="1:12" x14ac:dyDescent="0.35">
      <c r="A142" s="7">
        <v>1142</v>
      </c>
      <c r="B142" s="1">
        <v>45100</v>
      </c>
      <c r="C142" s="2" t="s">
        <v>5</v>
      </c>
      <c r="D142" t="str">
        <f>_xlfn.XLOOKUP(Merged_Sales_Data!C142,PM[Product ID],PM[Product Name])</f>
        <v>Ergo Office Chair</v>
      </c>
      <c r="E142" t="str">
        <f>VLOOKUP(C142,PM[],3,FALSE)</f>
        <v>Office Supplies</v>
      </c>
      <c r="F142">
        <f>_xlfn.XLOOKUP(C142,PM[Product ID],PM[Unit Price (₹)])</f>
        <v>6750</v>
      </c>
      <c r="G142" t="str">
        <f>_xlfn.XLOOKUP(Sales[[#This Row],[Order ID]],ST[Order ID],ST[Employee ID])</f>
        <v>E03</v>
      </c>
      <c r="H142" t="str">
        <f>_xlfn.XLOOKUP(G142,SM[Employee ID],SM[Salesperson])</f>
        <v>Rohan Mehta</v>
      </c>
      <c r="I142" t="str">
        <f>_xlfn.XLOOKUP(G142,SM[Employee ID],SM[Region])</f>
        <v>South</v>
      </c>
      <c r="J142" t="str">
        <f>_xlfn.XLOOKUP(G142,SM[Employee ID],SM[State/City])</f>
        <v>Bengaluru</v>
      </c>
      <c r="K142" s="2">
        <f>_xlfn.XLOOKUP(Sales[[#This Row],[Order ID]],ST[Order ID],ST[Units Sold])</f>
        <v>4</v>
      </c>
      <c r="L142">
        <f t="shared" si="2"/>
        <v>27000</v>
      </c>
    </row>
    <row r="143" spans="1:12" x14ac:dyDescent="0.35">
      <c r="A143" s="7">
        <v>1146</v>
      </c>
      <c r="B143" s="1">
        <v>45100</v>
      </c>
      <c r="C143" s="2" t="s">
        <v>10</v>
      </c>
      <c r="D143" t="str">
        <f>_xlfn.XLOOKUP(Merged_Sales_Data!C143,PM[Product ID],PM[Product Name])</f>
        <v>Filing Cabinet</v>
      </c>
      <c r="E143" t="str">
        <f>VLOOKUP(C143,PM[],3,FALSE)</f>
        <v>Furniture</v>
      </c>
      <c r="F143">
        <f>_xlfn.XLOOKUP(C143,PM[Product ID],PM[Unit Price (₹)])</f>
        <v>4070</v>
      </c>
      <c r="G143" t="str">
        <f>_xlfn.XLOOKUP(Sales[[#This Row],[Order ID]],ST[Order ID],ST[Employee ID])</f>
        <v>E07</v>
      </c>
      <c r="H143" t="str">
        <f>_xlfn.XLOOKUP(G143,SM[Employee ID],SM[Salesperson])</f>
        <v>Aditya Kapoor</v>
      </c>
      <c r="I143" t="str">
        <f>_xlfn.XLOOKUP(G143,SM[Employee ID],SM[Region])</f>
        <v>West</v>
      </c>
      <c r="J143" t="str">
        <f>_xlfn.XLOOKUP(G143,SM[Employee ID],SM[State/City])</f>
        <v>Mumbai</v>
      </c>
      <c r="K143" s="2">
        <f>_xlfn.XLOOKUP(Sales[[#This Row],[Order ID]],ST[Order ID],ST[Units Sold])</f>
        <v>8</v>
      </c>
      <c r="L143">
        <f t="shared" si="2"/>
        <v>32560</v>
      </c>
    </row>
    <row r="144" spans="1:12" x14ac:dyDescent="0.35">
      <c r="A144" s="7">
        <v>1123</v>
      </c>
      <c r="B144" s="1">
        <v>45103</v>
      </c>
      <c r="C144" s="2" t="s">
        <v>8</v>
      </c>
      <c r="D144" t="str">
        <f>_xlfn.XLOOKUP(Merged_Sales_Data!C144,PM[Product ID],PM[Product Name])</f>
        <v>USB-C Hub</v>
      </c>
      <c r="E144" t="str">
        <f>VLOOKUP(C144,PM[],3,FALSE)</f>
        <v>Accessories</v>
      </c>
      <c r="F144">
        <f>_xlfn.XLOOKUP(C144,PM[Product ID],PM[Unit Price (₹)])</f>
        <v>880</v>
      </c>
      <c r="G144" t="str">
        <f>_xlfn.XLOOKUP(Sales[[#This Row],[Order ID]],ST[Order ID],ST[Employee ID])</f>
        <v>E04</v>
      </c>
      <c r="H144" t="str">
        <f>_xlfn.XLOOKUP(G144,SM[Employee ID],SM[Salesperson])</f>
        <v>Priya Nair</v>
      </c>
      <c r="I144" t="str">
        <f>_xlfn.XLOOKUP(G144,SM[Employee ID],SM[Region])</f>
        <v>South</v>
      </c>
      <c r="J144" t="str">
        <f>_xlfn.XLOOKUP(G144,SM[Employee ID],SM[State/City])</f>
        <v>Bengaluru</v>
      </c>
      <c r="K144" s="2">
        <f>_xlfn.XLOOKUP(Sales[[#This Row],[Order ID]],ST[Order ID],ST[Units Sold])</f>
        <v>5</v>
      </c>
      <c r="L144">
        <f t="shared" si="2"/>
        <v>4400</v>
      </c>
    </row>
    <row r="145" spans="1:12" x14ac:dyDescent="0.35">
      <c r="A145" s="7">
        <v>1135</v>
      </c>
      <c r="B145" s="1">
        <v>45104</v>
      </c>
      <c r="C145" s="2" t="s">
        <v>14</v>
      </c>
      <c r="D145" t="str">
        <f>_xlfn.XLOOKUP(Merged_Sales_Data!C145,PM[Product ID],PM[Product Name])</f>
        <v>Laptop Backpack</v>
      </c>
      <c r="E145" t="str">
        <f>VLOOKUP(C145,PM[],3,FALSE)</f>
        <v>Accessories</v>
      </c>
      <c r="F145">
        <f>_xlfn.XLOOKUP(C145,PM[Product ID],PM[Unit Price (₹)])</f>
        <v>1110</v>
      </c>
      <c r="G145" t="str">
        <f>_xlfn.XLOOKUP(Sales[[#This Row],[Order ID]],ST[Order ID],ST[Employee ID])</f>
        <v>E06</v>
      </c>
      <c r="H145" t="str">
        <f>_xlfn.XLOOKUP(G145,SM[Employee ID],SM[Salesperson])</f>
        <v>Sneha Roy</v>
      </c>
      <c r="I145" t="str">
        <f>_xlfn.XLOOKUP(G145,SM[Employee ID],SM[Region])</f>
        <v>East</v>
      </c>
      <c r="J145" t="str">
        <f>_xlfn.XLOOKUP(G145,SM[Employee ID],SM[State/City])</f>
        <v>Kolkata</v>
      </c>
      <c r="K145" s="2">
        <f>_xlfn.XLOOKUP(Sales[[#This Row],[Order ID]],ST[Order ID],ST[Units Sold])</f>
        <v>8</v>
      </c>
      <c r="L145">
        <f t="shared" si="2"/>
        <v>8880</v>
      </c>
    </row>
    <row r="146" spans="1:12" x14ac:dyDescent="0.35">
      <c r="A146" s="7">
        <v>1145</v>
      </c>
      <c r="B146" s="1">
        <v>45104</v>
      </c>
      <c r="C146" s="2" t="s">
        <v>21</v>
      </c>
      <c r="D146" t="str">
        <f>_xlfn.XLOOKUP(Merged_Sales_Data!C146,PM[Product ID],PM[Product Name])</f>
        <v>Wireless Mouse</v>
      </c>
      <c r="E146" t="str">
        <f>VLOOKUP(C146,PM[],3,FALSE)</f>
        <v>Electronics</v>
      </c>
      <c r="F146">
        <f>_xlfn.XLOOKUP(C146,PM[Product ID],PM[Unit Price (₹)])</f>
        <v>780</v>
      </c>
      <c r="G146" t="str">
        <f>_xlfn.XLOOKUP(Sales[[#This Row],[Order ID]],ST[Order ID],ST[Employee ID])</f>
        <v>E07</v>
      </c>
      <c r="H146" t="str">
        <f>_xlfn.XLOOKUP(G146,SM[Employee ID],SM[Salesperson])</f>
        <v>Aditya Kapoor</v>
      </c>
      <c r="I146" t="str">
        <f>_xlfn.XLOOKUP(G146,SM[Employee ID],SM[Region])</f>
        <v>West</v>
      </c>
      <c r="J146" t="str">
        <f>_xlfn.XLOOKUP(G146,SM[Employee ID],SM[State/City])</f>
        <v>Mumbai</v>
      </c>
      <c r="K146" s="2">
        <f>_xlfn.XLOOKUP(Sales[[#This Row],[Order ID]],ST[Order ID],ST[Units Sold])</f>
        <v>2</v>
      </c>
      <c r="L146">
        <f t="shared" si="2"/>
        <v>1560</v>
      </c>
    </row>
    <row r="147" spans="1:12" x14ac:dyDescent="0.35">
      <c r="A147" s="7">
        <v>1148</v>
      </c>
      <c r="B147" s="1">
        <v>45105</v>
      </c>
      <c r="C147" s="2" t="s">
        <v>20</v>
      </c>
      <c r="D147" t="str">
        <f>_xlfn.XLOOKUP(Merged_Sales_Data!C147,PM[Product ID],PM[Product Name])</f>
        <v>Standing Desk</v>
      </c>
      <c r="E147" t="str">
        <f>VLOOKUP(C147,PM[],3,FALSE)</f>
        <v>Office Supplies</v>
      </c>
      <c r="F147">
        <f>_xlfn.XLOOKUP(C147,PM[Product ID],PM[Unit Price (₹)])</f>
        <v>11010</v>
      </c>
      <c r="G147" t="str">
        <f>_xlfn.XLOOKUP(Sales[[#This Row],[Order ID]],ST[Order ID],ST[Employee ID])</f>
        <v>E06</v>
      </c>
      <c r="H147" t="str">
        <f>_xlfn.XLOOKUP(G147,SM[Employee ID],SM[Salesperson])</f>
        <v>Sneha Roy</v>
      </c>
      <c r="I147" t="str">
        <f>_xlfn.XLOOKUP(G147,SM[Employee ID],SM[Region])</f>
        <v>East</v>
      </c>
      <c r="J147" t="str">
        <f>_xlfn.XLOOKUP(G147,SM[Employee ID],SM[State/City])</f>
        <v>Kolkata</v>
      </c>
      <c r="K147" s="2">
        <f>_xlfn.XLOOKUP(Sales[[#This Row],[Order ID]],ST[Order ID],ST[Units Sold])</f>
        <v>4</v>
      </c>
      <c r="L147">
        <f t="shared" si="2"/>
        <v>44040</v>
      </c>
    </row>
    <row r="148" spans="1:12" x14ac:dyDescent="0.35">
      <c r="A148" s="7">
        <v>1128</v>
      </c>
      <c r="B148" s="1">
        <v>45106</v>
      </c>
      <c r="C148" s="2" t="s">
        <v>14</v>
      </c>
      <c r="D148" t="str">
        <f>_xlfn.XLOOKUP(Merged_Sales_Data!C148,PM[Product ID],PM[Product Name])</f>
        <v>Laptop Backpack</v>
      </c>
      <c r="E148" t="str">
        <f>VLOOKUP(C148,PM[],3,FALSE)</f>
        <v>Accessories</v>
      </c>
      <c r="F148">
        <f>_xlfn.XLOOKUP(C148,PM[Product ID],PM[Unit Price (₹)])</f>
        <v>1110</v>
      </c>
      <c r="G148" t="str">
        <f>_xlfn.XLOOKUP(Sales[[#This Row],[Order ID]],ST[Order ID],ST[Employee ID])</f>
        <v>E02</v>
      </c>
      <c r="H148" t="str">
        <f>_xlfn.XLOOKUP(G148,SM[Employee ID],SM[Salesperson])</f>
        <v>Ishita Verma</v>
      </c>
      <c r="I148" t="str">
        <f>_xlfn.XLOOKUP(G148,SM[Employee ID],SM[Region])</f>
        <v>North</v>
      </c>
      <c r="J148" t="str">
        <f>_xlfn.XLOOKUP(G148,SM[Employee ID],SM[State/City])</f>
        <v>Chandigarh</v>
      </c>
      <c r="K148" s="2">
        <f>_xlfn.XLOOKUP(Sales[[#This Row],[Order ID]],ST[Order ID],ST[Units Sold])</f>
        <v>4</v>
      </c>
      <c r="L148">
        <f t="shared" si="2"/>
        <v>4440</v>
      </c>
    </row>
    <row r="149" spans="1:12" x14ac:dyDescent="0.35">
      <c r="A149" s="7">
        <v>1136</v>
      </c>
      <c r="B149" s="1">
        <v>45106</v>
      </c>
      <c r="C149" s="2" t="s">
        <v>8</v>
      </c>
      <c r="D149" t="str">
        <f>_xlfn.XLOOKUP(Merged_Sales_Data!C149,PM[Product ID],PM[Product Name])</f>
        <v>USB-C Hub</v>
      </c>
      <c r="E149" t="str">
        <f>VLOOKUP(C149,PM[],3,FALSE)</f>
        <v>Accessories</v>
      </c>
      <c r="F149">
        <f>_xlfn.XLOOKUP(C149,PM[Product ID],PM[Unit Price (₹)])</f>
        <v>880</v>
      </c>
      <c r="G149" t="str">
        <f>_xlfn.XLOOKUP(Sales[[#This Row],[Order ID]],ST[Order ID],ST[Employee ID])</f>
        <v>E07</v>
      </c>
      <c r="H149" t="str">
        <f>_xlfn.XLOOKUP(G149,SM[Employee ID],SM[Salesperson])</f>
        <v>Aditya Kapoor</v>
      </c>
      <c r="I149" t="str">
        <f>_xlfn.XLOOKUP(G149,SM[Employee ID],SM[Region])</f>
        <v>West</v>
      </c>
      <c r="J149" t="str">
        <f>_xlfn.XLOOKUP(G149,SM[Employee ID],SM[State/City])</f>
        <v>Mumbai</v>
      </c>
      <c r="K149" s="2">
        <f>_xlfn.XLOOKUP(Sales[[#This Row],[Order ID]],ST[Order ID],ST[Units Sold])</f>
        <v>5</v>
      </c>
      <c r="L149">
        <f t="shared" si="2"/>
        <v>4400</v>
      </c>
    </row>
    <row r="150" spans="1:12" x14ac:dyDescent="0.35">
      <c r="A150" s="7">
        <v>1155</v>
      </c>
      <c r="B150" s="1">
        <v>45109</v>
      </c>
      <c r="C150" s="2" t="s">
        <v>14</v>
      </c>
      <c r="D150" t="str">
        <f>_xlfn.XLOOKUP(Merged_Sales_Data!C150,PM[Product ID],PM[Product Name])</f>
        <v>Laptop Backpack</v>
      </c>
      <c r="E150" t="str">
        <f>VLOOKUP(C150,PM[],3,FALSE)</f>
        <v>Accessories</v>
      </c>
      <c r="F150">
        <f>_xlfn.XLOOKUP(C150,PM[Product ID],PM[Unit Price (₹)])</f>
        <v>1110</v>
      </c>
      <c r="G150" t="str">
        <f>_xlfn.XLOOKUP(Sales[[#This Row],[Order ID]],ST[Order ID],ST[Employee ID])</f>
        <v>E03</v>
      </c>
      <c r="H150" t="str">
        <f>_xlfn.XLOOKUP(G150,SM[Employee ID],SM[Salesperson])</f>
        <v>Rohan Mehta</v>
      </c>
      <c r="I150" t="str">
        <f>_xlfn.XLOOKUP(G150,SM[Employee ID],SM[Region])</f>
        <v>South</v>
      </c>
      <c r="J150" t="str">
        <f>_xlfn.XLOOKUP(G150,SM[Employee ID],SM[State/City])</f>
        <v>Bengaluru</v>
      </c>
      <c r="K150" s="2">
        <f>_xlfn.XLOOKUP(Sales[[#This Row],[Order ID]],ST[Order ID],ST[Units Sold])</f>
        <v>1</v>
      </c>
      <c r="L150">
        <f t="shared" si="2"/>
        <v>1110</v>
      </c>
    </row>
    <row r="151" spans="1:12" x14ac:dyDescent="0.35">
      <c r="A151" s="7">
        <v>1168</v>
      </c>
      <c r="B151" s="1">
        <v>45110</v>
      </c>
      <c r="C151" s="2" t="s">
        <v>10</v>
      </c>
      <c r="D151" t="str">
        <f>_xlfn.XLOOKUP(Merged_Sales_Data!C151,PM[Product ID],PM[Product Name])</f>
        <v>Filing Cabinet</v>
      </c>
      <c r="E151" t="str">
        <f>VLOOKUP(C151,PM[],3,FALSE)</f>
        <v>Furniture</v>
      </c>
      <c r="F151">
        <f>_xlfn.XLOOKUP(C151,PM[Product ID],PM[Unit Price (₹)])</f>
        <v>4070</v>
      </c>
      <c r="G151" t="str">
        <f>_xlfn.XLOOKUP(Sales[[#This Row],[Order ID]],ST[Order ID],ST[Employee ID])</f>
        <v>E07</v>
      </c>
      <c r="H151" t="str">
        <f>_xlfn.XLOOKUP(G151,SM[Employee ID],SM[Salesperson])</f>
        <v>Aditya Kapoor</v>
      </c>
      <c r="I151" t="str">
        <f>_xlfn.XLOOKUP(G151,SM[Employee ID],SM[Region])</f>
        <v>West</v>
      </c>
      <c r="J151" t="str">
        <f>_xlfn.XLOOKUP(G151,SM[Employee ID],SM[State/City])</f>
        <v>Mumbai</v>
      </c>
      <c r="K151" s="2">
        <f>_xlfn.XLOOKUP(Sales[[#This Row],[Order ID]],ST[Order ID],ST[Units Sold])</f>
        <v>2</v>
      </c>
      <c r="L151">
        <f t="shared" si="2"/>
        <v>8140</v>
      </c>
    </row>
    <row r="152" spans="1:12" x14ac:dyDescent="0.35">
      <c r="A152" s="7">
        <v>1166</v>
      </c>
      <c r="B152" s="1">
        <v>45111</v>
      </c>
      <c r="C152" s="2" t="s">
        <v>18</v>
      </c>
      <c r="D152" t="str">
        <f>_xlfn.XLOOKUP(Merged_Sales_Data!C152,PM[Product ID],PM[Product Name])</f>
        <v>LED Monitor 24"</v>
      </c>
      <c r="E152" t="str">
        <f>VLOOKUP(C152,PM[],3,FALSE)</f>
        <v>Electronics</v>
      </c>
      <c r="F152">
        <f>_xlfn.XLOOKUP(C152,PM[Product ID],PM[Unit Price (₹)])</f>
        <v>7700</v>
      </c>
      <c r="G152" t="str">
        <f>_xlfn.XLOOKUP(Sales[[#This Row],[Order ID]],ST[Order ID],ST[Employee ID])</f>
        <v>E02</v>
      </c>
      <c r="H152" t="str">
        <f>_xlfn.XLOOKUP(G152,SM[Employee ID],SM[Salesperson])</f>
        <v>Ishita Verma</v>
      </c>
      <c r="I152" t="str">
        <f>_xlfn.XLOOKUP(G152,SM[Employee ID],SM[Region])</f>
        <v>North</v>
      </c>
      <c r="J152" t="str">
        <f>_xlfn.XLOOKUP(G152,SM[Employee ID],SM[State/City])</f>
        <v>Chandigarh</v>
      </c>
      <c r="K152" s="2">
        <f>_xlfn.XLOOKUP(Sales[[#This Row],[Order ID]],ST[Order ID],ST[Units Sold])</f>
        <v>2</v>
      </c>
      <c r="L152">
        <f t="shared" si="2"/>
        <v>15400</v>
      </c>
    </row>
    <row r="153" spans="1:12" x14ac:dyDescent="0.35">
      <c r="A153" s="7">
        <v>1156</v>
      </c>
      <c r="B153" s="1">
        <v>45114</v>
      </c>
      <c r="C153" s="2" t="s">
        <v>10</v>
      </c>
      <c r="D153" t="str">
        <f>_xlfn.XLOOKUP(Merged_Sales_Data!C153,PM[Product ID],PM[Product Name])</f>
        <v>Filing Cabinet</v>
      </c>
      <c r="E153" t="str">
        <f>VLOOKUP(C153,PM[],3,FALSE)</f>
        <v>Furniture</v>
      </c>
      <c r="F153">
        <f>_xlfn.XLOOKUP(C153,PM[Product ID],PM[Unit Price (₹)])</f>
        <v>4070</v>
      </c>
      <c r="G153" t="str">
        <f>_xlfn.XLOOKUP(Sales[[#This Row],[Order ID]],ST[Order ID],ST[Employee ID])</f>
        <v>E05</v>
      </c>
      <c r="H153" t="str">
        <f>_xlfn.XLOOKUP(G153,SM[Employee ID],SM[Salesperson])</f>
        <v>Karan Malhotra</v>
      </c>
      <c r="I153" t="str">
        <f>_xlfn.XLOOKUP(G153,SM[Employee ID],SM[Region])</f>
        <v>East</v>
      </c>
      <c r="J153" t="str">
        <f>_xlfn.XLOOKUP(G153,SM[Employee ID],SM[State/City])</f>
        <v>Kolkata</v>
      </c>
      <c r="K153" s="2">
        <f>_xlfn.XLOOKUP(Sales[[#This Row],[Order ID]],ST[Order ID],ST[Units Sold])</f>
        <v>3</v>
      </c>
      <c r="L153">
        <f t="shared" si="2"/>
        <v>12210</v>
      </c>
    </row>
    <row r="154" spans="1:12" x14ac:dyDescent="0.35">
      <c r="A154" s="7">
        <v>1178</v>
      </c>
      <c r="B154" s="1">
        <v>45115</v>
      </c>
      <c r="C154" s="2" t="s">
        <v>20</v>
      </c>
      <c r="D154" t="str">
        <f>_xlfn.XLOOKUP(Merged_Sales_Data!C154,PM[Product ID],PM[Product Name])</f>
        <v>Standing Desk</v>
      </c>
      <c r="E154" t="str">
        <f>VLOOKUP(C154,PM[],3,FALSE)</f>
        <v>Office Supplies</v>
      </c>
      <c r="F154">
        <f>_xlfn.XLOOKUP(C154,PM[Product ID],PM[Unit Price (₹)])</f>
        <v>11010</v>
      </c>
      <c r="G154" t="str">
        <f>_xlfn.XLOOKUP(Sales[[#This Row],[Order ID]],ST[Order ID],ST[Employee ID])</f>
        <v>E02</v>
      </c>
      <c r="H154" t="str">
        <f>_xlfn.XLOOKUP(G154,SM[Employee ID],SM[Salesperson])</f>
        <v>Ishita Verma</v>
      </c>
      <c r="I154" t="str">
        <f>_xlfn.XLOOKUP(G154,SM[Employee ID],SM[Region])</f>
        <v>North</v>
      </c>
      <c r="J154" t="str">
        <f>_xlfn.XLOOKUP(G154,SM[Employee ID],SM[State/City])</f>
        <v>Chandigarh</v>
      </c>
      <c r="K154" s="2">
        <f>_xlfn.XLOOKUP(Sales[[#This Row],[Order ID]],ST[Order ID],ST[Units Sold])</f>
        <v>5</v>
      </c>
      <c r="L154">
        <f t="shared" si="2"/>
        <v>55050</v>
      </c>
    </row>
    <row r="155" spans="1:12" x14ac:dyDescent="0.35">
      <c r="A155" s="7">
        <v>1149</v>
      </c>
      <c r="B155" s="1">
        <v>45116</v>
      </c>
      <c r="C155" s="2" t="s">
        <v>14</v>
      </c>
      <c r="D155" t="str">
        <f>_xlfn.XLOOKUP(Merged_Sales_Data!C155,PM[Product ID],PM[Product Name])</f>
        <v>Laptop Backpack</v>
      </c>
      <c r="E155" t="str">
        <f>VLOOKUP(C155,PM[],3,FALSE)</f>
        <v>Accessories</v>
      </c>
      <c r="F155">
        <f>_xlfn.XLOOKUP(C155,PM[Product ID],PM[Unit Price (₹)])</f>
        <v>1110</v>
      </c>
      <c r="G155" t="str">
        <f>_xlfn.XLOOKUP(Sales[[#This Row],[Order ID]],ST[Order ID],ST[Employee ID])</f>
        <v>E04</v>
      </c>
      <c r="H155" t="str">
        <f>_xlfn.XLOOKUP(G155,SM[Employee ID],SM[Salesperson])</f>
        <v>Priya Nair</v>
      </c>
      <c r="I155" t="str">
        <f>_xlfn.XLOOKUP(G155,SM[Employee ID],SM[Region])</f>
        <v>South</v>
      </c>
      <c r="J155" t="str">
        <f>_xlfn.XLOOKUP(G155,SM[Employee ID],SM[State/City])</f>
        <v>Bengaluru</v>
      </c>
      <c r="K155" s="2">
        <f>_xlfn.XLOOKUP(Sales[[#This Row],[Order ID]],ST[Order ID],ST[Units Sold])</f>
        <v>2</v>
      </c>
      <c r="L155">
        <f t="shared" si="2"/>
        <v>2220</v>
      </c>
    </row>
    <row r="156" spans="1:12" x14ac:dyDescent="0.35">
      <c r="A156" s="7">
        <v>1158</v>
      </c>
      <c r="B156" s="1">
        <v>45116</v>
      </c>
      <c r="C156" s="2" t="s">
        <v>20</v>
      </c>
      <c r="D156" t="str">
        <f>_xlfn.XLOOKUP(Merged_Sales_Data!C156,PM[Product ID],PM[Product Name])</f>
        <v>Standing Desk</v>
      </c>
      <c r="E156" t="str">
        <f>VLOOKUP(C156,PM[],3,FALSE)</f>
        <v>Office Supplies</v>
      </c>
      <c r="F156">
        <f>_xlfn.XLOOKUP(C156,PM[Product ID],PM[Unit Price (₹)])</f>
        <v>11010</v>
      </c>
      <c r="G156" t="str">
        <f>_xlfn.XLOOKUP(Sales[[#This Row],[Order ID]],ST[Order ID],ST[Employee ID])</f>
        <v>E07</v>
      </c>
      <c r="H156" t="str">
        <f>_xlfn.XLOOKUP(G156,SM[Employee ID],SM[Salesperson])</f>
        <v>Aditya Kapoor</v>
      </c>
      <c r="I156" t="str">
        <f>_xlfn.XLOOKUP(G156,SM[Employee ID],SM[Region])</f>
        <v>West</v>
      </c>
      <c r="J156" t="str">
        <f>_xlfn.XLOOKUP(G156,SM[Employee ID],SM[State/City])</f>
        <v>Mumbai</v>
      </c>
      <c r="K156" s="2">
        <f>_xlfn.XLOOKUP(Sales[[#This Row],[Order ID]],ST[Order ID],ST[Units Sold])</f>
        <v>4</v>
      </c>
      <c r="L156">
        <f t="shared" si="2"/>
        <v>44040</v>
      </c>
    </row>
    <row r="157" spans="1:12" x14ac:dyDescent="0.35">
      <c r="A157" s="7">
        <v>1175</v>
      </c>
      <c r="B157" s="1">
        <v>45116</v>
      </c>
      <c r="C157" s="2" t="s">
        <v>8</v>
      </c>
      <c r="D157" t="str">
        <f>_xlfn.XLOOKUP(Merged_Sales_Data!C157,PM[Product ID],PM[Product Name])</f>
        <v>USB-C Hub</v>
      </c>
      <c r="E157" t="str">
        <f>VLOOKUP(C157,PM[],3,FALSE)</f>
        <v>Accessories</v>
      </c>
      <c r="F157">
        <f>_xlfn.XLOOKUP(C157,PM[Product ID],PM[Unit Price (₹)])</f>
        <v>880</v>
      </c>
      <c r="G157" t="str">
        <f>_xlfn.XLOOKUP(Sales[[#This Row],[Order ID]],ST[Order ID],ST[Employee ID])</f>
        <v>E03</v>
      </c>
      <c r="H157" t="str">
        <f>_xlfn.XLOOKUP(G157,SM[Employee ID],SM[Salesperson])</f>
        <v>Rohan Mehta</v>
      </c>
      <c r="I157" t="str">
        <f>_xlfn.XLOOKUP(G157,SM[Employee ID],SM[Region])</f>
        <v>South</v>
      </c>
      <c r="J157" t="str">
        <f>_xlfn.XLOOKUP(G157,SM[Employee ID],SM[State/City])</f>
        <v>Bengaluru</v>
      </c>
      <c r="K157" s="2">
        <f>_xlfn.XLOOKUP(Sales[[#This Row],[Order ID]],ST[Order ID],ST[Units Sold])</f>
        <v>10</v>
      </c>
      <c r="L157">
        <f t="shared" si="2"/>
        <v>8800</v>
      </c>
    </row>
    <row r="158" spans="1:12" x14ac:dyDescent="0.35">
      <c r="A158" s="7">
        <v>1150</v>
      </c>
      <c r="B158" s="1">
        <v>45120</v>
      </c>
      <c r="C158" s="2" t="s">
        <v>14</v>
      </c>
      <c r="D158" t="str">
        <f>_xlfn.XLOOKUP(Merged_Sales_Data!C158,PM[Product ID],PM[Product Name])</f>
        <v>Laptop Backpack</v>
      </c>
      <c r="E158" t="str">
        <f>VLOOKUP(C158,PM[],3,FALSE)</f>
        <v>Accessories</v>
      </c>
      <c r="F158">
        <f>_xlfn.XLOOKUP(C158,PM[Product ID],PM[Unit Price (₹)])</f>
        <v>1110</v>
      </c>
      <c r="G158" t="str">
        <f>_xlfn.XLOOKUP(Sales[[#This Row],[Order ID]],ST[Order ID],ST[Employee ID])</f>
        <v>E07</v>
      </c>
      <c r="H158" t="str">
        <f>_xlfn.XLOOKUP(G158,SM[Employee ID],SM[Salesperson])</f>
        <v>Aditya Kapoor</v>
      </c>
      <c r="I158" t="str">
        <f>_xlfn.XLOOKUP(G158,SM[Employee ID],SM[Region])</f>
        <v>West</v>
      </c>
      <c r="J158" t="str">
        <f>_xlfn.XLOOKUP(G158,SM[Employee ID],SM[State/City])</f>
        <v>Mumbai</v>
      </c>
      <c r="K158" s="2">
        <f>_xlfn.XLOOKUP(Sales[[#This Row],[Order ID]],ST[Order ID],ST[Units Sold])</f>
        <v>1</v>
      </c>
      <c r="L158">
        <f t="shared" si="2"/>
        <v>1110</v>
      </c>
    </row>
    <row r="159" spans="1:12" x14ac:dyDescent="0.35">
      <c r="A159" s="7">
        <v>1154</v>
      </c>
      <c r="B159" s="1">
        <v>45121</v>
      </c>
      <c r="C159" s="2" t="s">
        <v>11</v>
      </c>
      <c r="D159" t="str">
        <f>_xlfn.XLOOKUP(Merged_Sales_Data!C159,PM[Product ID],PM[Product Name])</f>
        <v>Bluetooth Speaker</v>
      </c>
      <c r="E159" t="str">
        <f>VLOOKUP(C159,PM[],3,FALSE)</f>
        <v>Electronics</v>
      </c>
      <c r="F159">
        <f>_xlfn.XLOOKUP(C159,PM[Product ID],PM[Unit Price (₹)])</f>
        <v>1430</v>
      </c>
      <c r="G159" t="str">
        <f>_xlfn.XLOOKUP(Sales[[#This Row],[Order ID]],ST[Order ID],ST[Employee ID])</f>
        <v>E01</v>
      </c>
      <c r="H159" t="str">
        <f>_xlfn.XLOOKUP(G159,SM[Employee ID],SM[Salesperson])</f>
        <v>Aarav Sharma</v>
      </c>
      <c r="I159" t="str">
        <f>_xlfn.XLOOKUP(G159,SM[Employee ID],SM[Region])</f>
        <v>North</v>
      </c>
      <c r="J159" t="str">
        <f>_xlfn.XLOOKUP(G159,SM[Employee ID],SM[State/City])</f>
        <v>Lucknow</v>
      </c>
      <c r="K159" s="2">
        <f>_xlfn.XLOOKUP(Sales[[#This Row],[Order ID]],ST[Order ID],ST[Units Sold])</f>
        <v>10</v>
      </c>
      <c r="L159">
        <f t="shared" si="2"/>
        <v>14300</v>
      </c>
    </row>
    <row r="160" spans="1:12" x14ac:dyDescent="0.35">
      <c r="A160" s="7">
        <v>1174</v>
      </c>
      <c r="B160" s="1">
        <v>45121</v>
      </c>
      <c r="C160" s="2" t="s">
        <v>14</v>
      </c>
      <c r="D160" t="str">
        <f>_xlfn.XLOOKUP(Merged_Sales_Data!C160,PM[Product ID],PM[Product Name])</f>
        <v>Laptop Backpack</v>
      </c>
      <c r="E160" t="str">
        <f>VLOOKUP(C160,PM[],3,FALSE)</f>
        <v>Accessories</v>
      </c>
      <c r="F160">
        <f>_xlfn.XLOOKUP(C160,PM[Product ID],PM[Unit Price (₹)])</f>
        <v>1110</v>
      </c>
      <c r="G160" t="str">
        <f>_xlfn.XLOOKUP(Sales[[#This Row],[Order ID]],ST[Order ID],ST[Employee ID])</f>
        <v>E06</v>
      </c>
      <c r="H160" t="str">
        <f>_xlfn.XLOOKUP(G160,SM[Employee ID],SM[Salesperson])</f>
        <v>Sneha Roy</v>
      </c>
      <c r="I160" t="str">
        <f>_xlfn.XLOOKUP(G160,SM[Employee ID],SM[Region])</f>
        <v>East</v>
      </c>
      <c r="J160" t="str">
        <f>_xlfn.XLOOKUP(G160,SM[Employee ID],SM[State/City])</f>
        <v>Kolkata</v>
      </c>
      <c r="K160" s="2">
        <f>_xlfn.XLOOKUP(Sales[[#This Row],[Order ID]],ST[Order ID],ST[Units Sold])</f>
        <v>1</v>
      </c>
      <c r="L160">
        <f t="shared" si="2"/>
        <v>1110</v>
      </c>
    </row>
    <row r="161" spans="1:12" x14ac:dyDescent="0.35">
      <c r="A161" s="7">
        <v>1163</v>
      </c>
      <c r="B161" s="1">
        <v>45123</v>
      </c>
      <c r="C161" s="2" t="s">
        <v>5</v>
      </c>
      <c r="D161" t="str">
        <f>_xlfn.XLOOKUP(Merged_Sales_Data!C161,PM[Product ID],PM[Product Name])</f>
        <v>Ergo Office Chair</v>
      </c>
      <c r="E161" t="str">
        <f>VLOOKUP(C161,PM[],3,FALSE)</f>
        <v>Office Supplies</v>
      </c>
      <c r="F161">
        <f>_xlfn.XLOOKUP(C161,PM[Product ID],PM[Unit Price (₹)])</f>
        <v>6750</v>
      </c>
      <c r="G161" t="str">
        <f>_xlfn.XLOOKUP(Sales[[#This Row],[Order ID]],ST[Order ID],ST[Employee ID])</f>
        <v>E03</v>
      </c>
      <c r="H161" t="str">
        <f>_xlfn.XLOOKUP(G161,SM[Employee ID],SM[Salesperson])</f>
        <v>Rohan Mehta</v>
      </c>
      <c r="I161" t="str">
        <f>_xlfn.XLOOKUP(G161,SM[Employee ID],SM[Region])</f>
        <v>South</v>
      </c>
      <c r="J161" t="str">
        <f>_xlfn.XLOOKUP(G161,SM[Employee ID],SM[State/City])</f>
        <v>Bengaluru</v>
      </c>
      <c r="K161" s="2">
        <f>_xlfn.XLOOKUP(Sales[[#This Row],[Order ID]],ST[Order ID],ST[Units Sold])</f>
        <v>1</v>
      </c>
      <c r="L161">
        <f t="shared" si="2"/>
        <v>6750</v>
      </c>
    </row>
    <row r="162" spans="1:12" x14ac:dyDescent="0.35">
      <c r="A162" s="7">
        <v>1171</v>
      </c>
      <c r="B162" s="1">
        <v>45124</v>
      </c>
      <c r="C162" s="2" t="s">
        <v>12</v>
      </c>
      <c r="D162" t="str">
        <f>_xlfn.XLOOKUP(Merged_Sales_Data!C162,PM[Product ID],PM[Product Name])</f>
        <v>Bookshelf Unit</v>
      </c>
      <c r="E162" t="str">
        <f>VLOOKUP(C162,PM[],3,FALSE)</f>
        <v>Furniture</v>
      </c>
      <c r="F162">
        <f>_xlfn.XLOOKUP(C162,PM[Product ID],PM[Unit Price (₹)])</f>
        <v>3910</v>
      </c>
      <c r="G162" t="str">
        <f>_xlfn.XLOOKUP(Sales[[#This Row],[Order ID]],ST[Order ID],ST[Employee ID])</f>
        <v>E07</v>
      </c>
      <c r="H162" t="str">
        <f>_xlfn.XLOOKUP(G162,SM[Employee ID],SM[Salesperson])</f>
        <v>Aditya Kapoor</v>
      </c>
      <c r="I162" t="str">
        <f>_xlfn.XLOOKUP(G162,SM[Employee ID],SM[Region])</f>
        <v>West</v>
      </c>
      <c r="J162" t="str">
        <f>_xlfn.XLOOKUP(G162,SM[Employee ID],SM[State/City])</f>
        <v>Mumbai</v>
      </c>
      <c r="K162" s="2">
        <f>_xlfn.XLOOKUP(Sales[[#This Row],[Order ID]],ST[Order ID],ST[Units Sold])</f>
        <v>1</v>
      </c>
      <c r="L162">
        <f t="shared" si="2"/>
        <v>3910</v>
      </c>
    </row>
    <row r="163" spans="1:12" x14ac:dyDescent="0.35">
      <c r="A163" s="7">
        <v>1152</v>
      </c>
      <c r="B163" s="1">
        <v>45125</v>
      </c>
      <c r="C163" s="2" t="s">
        <v>18</v>
      </c>
      <c r="D163" t="str">
        <f>_xlfn.XLOOKUP(Merged_Sales_Data!C163,PM[Product ID],PM[Product Name])</f>
        <v>LED Monitor 24"</v>
      </c>
      <c r="E163" t="str">
        <f>VLOOKUP(C163,PM[],3,FALSE)</f>
        <v>Electronics</v>
      </c>
      <c r="F163">
        <f>_xlfn.XLOOKUP(C163,PM[Product ID],PM[Unit Price (₹)])</f>
        <v>7700</v>
      </c>
      <c r="G163" t="str">
        <f>_xlfn.XLOOKUP(Sales[[#This Row],[Order ID]],ST[Order ID],ST[Employee ID])</f>
        <v>E08</v>
      </c>
      <c r="H163" t="str">
        <f>_xlfn.XLOOKUP(G163,SM[Employee ID],SM[Salesperson])</f>
        <v>Neha Joshi</v>
      </c>
      <c r="I163" t="str">
        <f>_xlfn.XLOOKUP(G163,SM[Employee ID],SM[Region])</f>
        <v>West</v>
      </c>
      <c r="J163" t="str">
        <f>_xlfn.XLOOKUP(G163,SM[Employee ID],SM[State/City])</f>
        <v>Ahmedabad</v>
      </c>
      <c r="K163" s="2">
        <f>_xlfn.XLOOKUP(Sales[[#This Row],[Order ID]],ST[Order ID],ST[Units Sold])</f>
        <v>8</v>
      </c>
      <c r="L163">
        <f t="shared" si="2"/>
        <v>61600</v>
      </c>
    </row>
    <row r="164" spans="1:12" x14ac:dyDescent="0.35">
      <c r="A164" s="7">
        <v>1170</v>
      </c>
      <c r="B164" s="1">
        <v>45125</v>
      </c>
      <c r="C164" s="2" t="s">
        <v>21</v>
      </c>
      <c r="D164" t="str">
        <f>_xlfn.XLOOKUP(Merged_Sales_Data!C164,PM[Product ID],PM[Product Name])</f>
        <v>Wireless Mouse</v>
      </c>
      <c r="E164" t="str">
        <f>VLOOKUP(C164,PM[],3,FALSE)</f>
        <v>Electronics</v>
      </c>
      <c r="F164">
        <f>_xlfn.XLOOKUP(C164,PM[Product ID],PM[Unit Price (₹)])</f>
        <v>780</v>
      </c>
      <c r="G164" t="str">
        <f>_xlfn.XLOOKUP(Sales[[#This Row],[Order ID]],ST[Order ID],ST[Employee ID])</f>
        <v>E02</v>
      </c>
      <c r="H164" t="str">
        <f>_xlfn.XLOOKUP(G164,SM[Employee ID],SM[Salesperson])</f>
        <v>Ishita Verma</v>
      </c>
      <c r="I164" t="str">
        <f>_xlfn.XLOOKUP(G164,SM[Employee ID],SM[Region])</f>
        <v>North</v>
      </c>
      <c r="J164" t="str">
        <f>_xlfn.XLOOKUP(G164,SM[Employee ID],SM[State/City])</f>
        <v>Chandigarh</v>
      </c>
      <c r="K164" s="2">
        <f>_xlfn.XLOOKUP(Sales[[#This Row],[Order ID]],ST[Order ID],ST[Units Sold])</f>
        <v>3</v>
      </c>
      <c r="L164">
        <f t="shared" si="2"/>
        <v>2340</v>
      </c>
    </row>
    <row r="165" spans="1:12" x14ac:dyDescent="0.35">
      <c r="A165" s="7">
        <v>1153</v>
      </c>
      <c r="B165" s="1">
        <v>45126</v>
      </c>
      <c r="C165" s="2" t="s">
        <v>10</v>
      </c>
      <c r="D165" t="str">
        <f>_xlfn.XLOOKUP(Merged_Sales_Data!C165,PM[Product ID],PM[Product Name])</f>
        <v>Filing Cabinet</v>
      </c>
      <c r="E165" t="str">
        <f>VLOOKUP(C165,PM[],3,FALSE)</f>
        <v>Furniture</v>
      </c>
      <c r="F165">
        <f>_xlfn.XLOOKUP(C165,PM[Product ID],PM[Unit Price (₹)])</f>
        <v>4070</v>
      </c>
      <c r="G165" t="str">
        <f>_xlfn.XLOOKUP(Sales[[#This Row],[Order ID]],ST[Order ID],ST[Employee ID])</f>
        <v>E01</v>
      </c>
      <c r="H165" t="str">
        <f>_xlfn.XLOOKUP(G165,SM[Employee ID],SM[Salesperson])</f>
        <v>Aarav Sharma</v>
      </c>
      <c r="I165" t="str">
        <f>_xlfn.XLOOKUP(G165,SM[Employee ID],SM[Region])</f>
        <v>North</v>
      </c>
      <c r="J165" t="str">
        <f>_xlfn.XLOOKUP(G165,SM[Employee ID],SM[State/City])</f>
        <v>Lucknow</v>
      </c>
      <c r="K165" s="2">
        <f>_xlfn.XLOOKUP(Sales[[#This Row],[Order ID]],ST[Order ID],ST[Units Sold])</f>
        <v>8</v>
      </c>
      <c r="L165">
        <f t="shared" si="2"/>
        <v>32560</v>
      </c>
    </row>
    <row r="166" spans="1:12" x14ac:dyDescent="0.35">
      <c r="A166" s="7">
        <v>1162</v>
      </c>
      <c r="B166" s="1">
        <v>45127</v>
      </c>
      <c r="C166" s="2" t="s">
        <v>5</v>
      </c>
      <c r="D166" t="str">
        <f>_xlfn.XLOOKUP(Merged_Sales_Data!C166,PM[Product ID],PM[Product Name])</f>
        <v>Ergo Office Chair</v>
      </c>
      <c r="E166" t="str">
        <f>VLOOKUP(C166,PM[],3,FALSE)</f>
        <v>Office Supplies</v>
      </c>
      <c r="F166">
        <f>_xlfn.XLOOKUP(C166,PM[Product ID],PM[Unit Price (₹)])</f>
        <v>6750</v>
      </c>
      <c r="G166" t="str">
        <f>_xlfn.XLOOKUP(Sales[[#This Row],[Order ID]],ST[Order ID],ST[Employee ID])</f>
        <v>E04</v>
      </c>
      <c r="H166" t="str">
        <f>_xlfn.XLOOKUP(G166,SM[Employee ID],SM[Salesperson])</f>
        <v>Priya Nair</v>
      </c>
      <c r="I166" t="str">
        <f>_xlfn.XLOOKUP(G166,SM[Employee ID],SM[Region])</f>
        <v>South</v>
      </c>
      <c r="J166" t="str">
        <f>_xlfn.XLOOKUP(G166,SM[Employee ID],SM[State/City])</f>
        <v>Bengaluru</v>
      </c>
      <c r="K166" s="2">
        <f>_xlfn.XLOOKUP(Sales[[#This Row],[Order ID]],ST[Order ID],ST[Units Sold])</f>
        <v>1</v>
      </c>
      <c r="L166">
        <f t="shared" si="2"/>
        <v>6750</v>
      </c>
    </row>
    <row r="167" spans="1:12" x14ac:dyDescent="0.35">
      <c r="A167" s="7">
        <v>1165</v>
      </c>
      <c r="B167" s="1">
        <v>45127</v>
      </c>
      <c r="C167" s="2" t="s">
        <v>12</v>
      </c>
      <c r="D167" t="str">
        <f>_xlfn.XLOOKUP(Merged_Sales_Data!C167,PM[Product ID],PM[Product Name])</f>
        <v>Bookshelf Unit</v>
      </c>
      <c r="E167" t="str">
        <f>VLOOKUP(C167,PM[],3,FALSE)</f>
        <v>Furniture</v>
      </c>
      <c r="F167">
        <f>_xlfn.XLOOKUP(C167,PM[Product ID],PM[Unit Price (₹)])</f>
        <v>3910</v>
      </c>
      <c r="G167" t="str">
        <f>_xlfn.XLOOKUP(Sales[[#This Row],[Order ID]],ST[Order ID],ST[Employee ID])</f>
        <v>E05</v>
      </c>
      <c r="H167" t="str">
        <f>_xlfn.XLOOKUP(G167,SM[Employee ID],SM[Salesperson])</f>
        <v>Karan Malhotra</v>
      </c>
      <c r="I167" t="str">
        <f>_xlfn.XLOOKUP(G167,SM[Employee ID],SM[Region])</f>
        <v>East</v>
      </c>
      <c r="J167" t="str">
        <f>_xlfn.XLOOKUP(G167,SM[Employee ID],SM[State/City])</f>
        <v>Kolkata</v>
      </c>
      <c r="K167" s="2">
        <f>_xlfn.XLOOKUP(Sales[[#This Row],[Order ID]],ST[Order ID],ST[Units Sold])</f>
        <v>1</v>
      </c>
      <c r="L167">
        <f t="shared" si="2"/>
        <v>3910</v>
      </c>
    </row>
    <row r="168" spans="1:12" x14ac:dyDescent="0.35">
      <c r="A168" s="7">
        <v>1160</v>
      </c>
      <c r="B168" s="1">
        <v>45128</v>
      </c>
      <c r="C168" s="2" t="s">
        <v>12</v>
      </c>
      <c r="D168" t="str">
        <f>_xlfn.XLOOKUP(Merged_Sales_Data!C168,PM[Product ID],PM[Product Name])</f>
        <v>Bookshelf Unit</v>
      </c>
      <c r="E168" t="str">
        <f>VLOOKUP(C168,PM[],3,FALSE)</f>
        <v>Furniture</v>
      </c>
      <c r="F168">
        <f>_xlfn.XLOOKUP(C168,PM[Product ID],PM[Unit Price (₹)])</f>
        <v>3910</v>
      </c>
      <c r="G168" t="str">
        <f>_xlfn.XLOOKUP(Sales[[#This Row],[Order ID]],ST[Order ID],ST[Employee ID])</f>
        <v>E01</v>
      </c>
      <c r="H168" t="str">
        <f>_xlfn.XLOOKUP(G168,SM[Employee ID],SM[Salesperson])</f>
        <v>Aarav Sharma</v>
      </c>
      <c r="I168" t="str">
        <f>_xlfn.XLOOKUP(G168,SM[Employee ID],SM[Region])</f>
        <v>North</v>
      </c>
      <c r="J168" t="str">
        <f>_xlfn.XLOOKUP(G168,SM[Employee ID],SM[State/City])</f>
        <v>Lucknow</v>
      </c>
      <c r="K168" s="2">
        <f>_xlfn.XLOOKUP(Sales[[#This Row],[Order ID]],ST[Order ID],ST[Units Sold])</f>
        <v>2</v>
      </c>
      <c r="L168">
        <f t="shared" si="2"/>
        <v>7820</v>
      </c>
    </row>
    <row r="169" spans="1:12" x14ac:dyDescent="0.35">
      <c r="A169" s="7">
        <v>1167</v>
      </c>
      <c r="B169" s="1">
        <v>45129</v>
      </c>
      <c r="C169" s="2" t="s">
        <v>20</v>
      </c>
      <c r="D169" t="str">
        <f>_xlfn.XLOOKUP(Merged_Sales_Data!C169,PM[Product ID],PM[Product Name])</f>
        <v>Standing Desk</v>
      </c>
      <c r="E169" t="str">
        <f>VLOOKUP(C169,PM[],3,FALSE)</f>
        <v>Office Supplies</v>
      </c>
      <c r="F169">
        <f>_xlfn.XLOOKUP(C169,PM[Product ID],PM[Unit Price (₹)])</f>
        <v>11010</v>
      </c>
      <c r="G169" t="str">
        <f>_xlfn.XLOOKUP(Sales[[#This Row],[Order ID]],ST[Order ID],ST[Employee ID])</f>
        <v>E01</v>
      </c>
      <c r="H169" t="str">
        <f>_xlfn.XLOOKUP(G169,SM[Employee ID],SM[Salesperson])</f>
        <v>Aarav Sharma</v>
      </c>
      <c r="I169" t="str">
        <f>_xlfn.XLOOKUP(G169,SM[Employee ID],SM[Region])</f>
        <v>North</v>
      </c>
      <c r="J169" t="str">
        <f>_xlfn.XLOOKUP(G169,SM[Employee ID],SM[State/City])</f>
        <v>Lucknow</v>
      </c>
      <c r="K169" s="2">
        <f>_xlfn.XLOOKUP(Sales[[#This Row],[Order ID]],ST[Order ID],ST[Units Sold])</f>
        <v>8</v>
      </c>
      <c r="L169">
        <f t="shared" si="2"/>
        <v>88080</v>
      </c>
    </row>
    <row r="170" spans="1:12" x14ac:dyDescent="0.35">
      <c r="A170" s="7">
        <v>1164</v>
      </c>
      <c r="B170" s="1">
        <v>45130</v>
      </c>
      <c r="C170" s="2" t="s">
        <v>5</v>
      </c>
      <c r="D170" t="str">
        <f>_xlfn.XLOOKUP(Merged_Sales_Data!C170,PM[Product ID],PM[Product Name])</f>
        <v>Ergo Office Chair</v>
      </c>
      <c r="E170" t="str">
        <f>VLOOKUP(C170,PM[],3,FALSE)</f>
        <v>Office Supplies</v>
      </c>
      <c r="F170">
        <f>_xlfn.XLOOKUP(C170,PM[Product ID],PM[Unit Price (₹)])</f>
        <v>6750</v>
      </c>
      <c r="G170" t="str">
        <f>_xlfn.XLOOKUP(Sales[[#This Row],[Order ID]],ST[Order ID],ST[Employee ID])</f>
        <v>E02</v>
      </c>
      <c r="H170" t="str">
        <f>_xlfn.XLOOKUP(G170,SM[Employee ID],SM[Salesperson])</f>
        <v>Ishita Verma</v>
      </c>
      <c r="I170" t="str">
        <f>_xlfn.XLOOKUP(G170,SM[Employee ID],SM[Region])</f>
        <v>North</v>
      </c>
      <c r="J170" t="str">
        <f>_xlfn.XLOOKUP(G170,SM[Employee ID],SM[State/City])</f>
        <v>Chandigarh</v>
      </c>
      <c r="K170" s="2">
        <f>_xlfn.XLOOKUP(Sales[[#This Row],[Order ID]],ST[Order ID],ST[Units Sold])</f>
        <v>5</v>
      </c>
      <c r="L170">
        <f t="shared" si="2"/>
        <v>33750</v>
      </c>
    </row>
    <row r="171" spans="1:12" x14ac:dyDescent="0.35">
      <c r="A171" s="7">
        <v>1159</v>
      </c>
      <c r="B171" s="1">
        <v>45131</v>
      </c>
      <c r="C171" s="2" t="s">
        <v>14</v>
      </c>
      <c r="D171" t="str">
        <f>_xlfn.XLOOKUP(Merged_Sales_Data!C171,PM[Product ID],PM[Product Name])</f>
        <v>Laptop Backpack</v>
      </c>
      <c r="E171" t="str">
        <f>VLOOKUP(C171,PM[],3,FALSE)</f>
        <v>Accessories</v>
      </c>
      <c r="F171">
        <f>_xlfn.XLOOKUP(C171,PM[Product ID],PM[Unit Price (₹)])</f>
        <v>1110</v>
      </c>
      <c r="G171" t="str">
        <f>_xlfn.XLOOKUP(Sales[[#This Row],[Order ID]],ST[Order ID],ST[Employee ID])</f>
        <v>E02</v>
      </c>
      <c r="H171" t="str">
        <f>_xlfn.XLOOKUP(G171,SM[Employee ID],SM[Salesperson])</f>
        <v>Ishita Verma</v>
      </c>
      <c r="I171" t="str">
        <f>_xlfn.XLOOKUP(G171,SM[Employee ID],SM[Region])</f>
        <v>North</v>
      </c>
      <c r="J171" t="str">
        <f>_xlfn.XLOOKUP(G171,SM[Employee ID],SM[State/City])</f>
        <v>Chandigarh</v>
      </c>
      <c r="K171" s="2">
        <f>_xlfn.XLOOKUP(Sales[[#This Row],[Order ID]],ST[Order ID],ST[Units Sold])</f>
        <v>1</v>
      </c>
      <c r="L171">
        <f t="shared" si="2"/>
        <v>1110</v>
      </c>
    </row>
    <row r="172" spans="1:12" x14ac:dyDescent="0.35">
      <c r="A172" s="7">
        <v>1157</v>
      </c>
      <c r="B172" s="1">
        <v>45132</v>
      </c>
      <c r="C172" s="2" t="s">
        <v>12</v>
      </c>
      <c r="D172" t="str">
        <f>_xlfn.XLOOKUP(Merged_Sales_Data!C172,PM[Product ID],PM[Product Name])</f>
        <v>Bookshelf Unit</v>
      </c>
      <c r="E172" t="str">
        <f>VLOOKUP(C172,PM[],3,FALSE)</f>
        <v>Furniture</v>
      </c>
      <c r="F172">
        <f>_xlfn.XLOOKUP(C172,PM[Product ID],PM[Unit Price (₹)])</f>
        <v>3910</v>
      </c>
      <c r="G172" t="str">
        <f>_xlfn.XLOOKUP(Sales[[#This Row],[Order ID]],ST[Order ID],ST[Employee ID])</f>
        <v>E08</v>
      </c>
      <c r="H172" t="str">
        <f>_xlfn.XLOOKUP(G172,SM[Employee ID],SM[Salesperson])</f>
        <v>Neha Joshi</v>
      </c>
      <c r="I172" t="str">
        <f>_xlfn.XLOOKUP(G172,SM[Employee ID],SM[Region])</f>
        <v>West</v>
      </c>
      <c r="J172" t="str">
        <f>_xlfn.XLOOKUP(G172,SM[Employee ID],SM[State/City])</f>
        <v>Ahmedabad</v>
      </c>
      <c r="K172" s="2">
        <f>_xlfn.XLOOKUP(Sales[[#This Row],[Order ID]],ST[Order ID],ST[Units Sold])</f>
        <v>3</v>
      </c>
      <c r="L172">
        <f t="shared" si="2"/>
        <v>11730</v>
      </c>
    </row>
    <row r="173" spans="1:12" x14ac:dyDescent="0.35">
      <c r="A173" s="7">
        <v>1151</v>
      </c>
      <c r="B173" s="1">
        <v>45134</v>
      </c>
      <c r="C173" s="2" t="s">
        <v>10</v>
      </c>
      <c r="D173" t="str">
        <f>_xlfn.XLOOKUP(Merged_Sales_Data!C173,PM[Product ID],PM[Product Name])</f>
        <v>Filing Cabinet</v>
      </c>
      <c r="E173" t="str">
        <f>VLOOKUP(C173,PM[],3,FALSE)</f>
        <v>Furniture</v>
      </c>
      <c r="F173">
        <f>_xlfn.XLOOKUP(C173,PM[Product ID],PM[Unit Price (₹)])</f>
        <v>4070</v>
      </c>
      <c r="G173" t="str">
        <f>_xlfn.XLOOKUP(Sales[[#This Row],[Order ID]],ST[Order ID],ST[Employee ID])</f>
        <v>E06</v>
      </c>
      <c r="H173" t="str">
        <f>_xlfn.XLOOKUP(G173,SM[Employee ID],SM[Salesperson])</f>
        <v>Sneha Roy</v>
      </c>
      <c r="I173" t="str">
        <f>_xlfn.XLOOKUP(G173,SM[Employee ID],SM[Region])</f>
        <v>East</v>
      </c>
      <c r="J173" t="str">
        <f>_xlfn.XLOOKUP(G173,SM[Employee ID],SM[State/City])</f>
        <v>Kolkata</v>
      </c>
      <c r="K173" s="2">
        <f>_xlfn.XLOOKUP(Sales[[#This Row],[Order ID]],ST[Order ID],ST[Units Sold])</f>
        <v>1</v>
      </c>
      <c r="L173">
        <f t="shared" si="2"/>
        <v>4070</v>
      </c>
    </row>
    <row r="174" spans="1:12" x14ac:dyDescent="0.35">
      <c r="A174" s="7">
        <v>1172</v>
      </c>
      <c r="B174" s="1">
        <v>45134</v>
      </c>
      <c r="C174" s="2" t="s">
        <v>21</v>
      </c>
      <c r="D174" t="str">
        <f>_xlfn.XLOOKUP(Merged_Sales_Data!C174,PM[Product ID],PM[Product Name])</f>
        <v>Wireless Mouse</v>
      </c>
      <c r="E174" t="str">
        <f>VLOOKUP(C174,PM[],3,FALSE)</f>
        <v>Electronics</v>
      </c>
      <c r="F174">
        <f>_xlfn.XLOOKUP(C174,PM[Product ID],PM[Unit Price (₹)])</f>
        <v>780</v>
      </c>
      <c r="G174" t="str">
        <f>_xlfn.XLOOKUP(Sales[[#This Row],[Order ID]],ST[Order ID],ST[Employee ID])</f>
        <v>E06</v>
      </c>
      <c r="H174" t="str">
        <f>_xlfn.XLOOKUP(G174,SM[Employee ID],SM[Salesperson])</f>
        <v>Sneha Roy</v>
      </c>
      <c r="I174" t="str">
        <f>_xlfn.XLOOKUP(G174,SM[Employee ID],SM[Region])</f>
        <v>East</v>
      </c>
      <c r="J174" t="str">
        <f>_xlfn.XLOOKUP(G174,SM[Employee ID],SM[State/City])</f>
        <v>Kolkata</v>
      </c>
      <c r="K174" s="2">
        <f>_xlfn.XLOOKUP(Sales[[#This Row],[Order ID]],ST[Order ID],ST[Units Sold])</f>
        <v>4</v>
      </c>
      <c r="L174">
        <f t="shared" si="2"/>
        <v>3120</v>
      </c>
    </row>
    <row r="175" spans="1:12" x14ac:dyDescent="0.35">
      <c r="A175" s="7">
        <v>1176</v>
      </c>
      <c r="B175" s="1">
        <v>45134</v>
      </c>
      <c r="C175" s="2" t="s">
        <v>14</v>
      </c>
      <c r="D175" t="str">
        <f>_xlfn.XLOOKUP(Merged_Sales_Data!C175,PM[Product ID],PM[Product Name])</f>
        <v>Laptop Backpack</v>
      </c>
      <c r="E175" t="str">
        <f>VLOOKUP(C175,PM[],3,FALSE)</f>
        <v>Accessories</v>
      </c>
      <c r="F175">
        <f>_xlfn.XLOOKUP(C175,PM[Product ID],PM[Unit Price (₹)])</f>
        <v>1110</v>
      </c>
      <c r="G175" t="str">
        <f>_xlfn.XLOOKUP(Sales[[#This Row],[Order ID]],ST[Order ID],ST[Employee ID])</f>
        <v>E08</v>
      </c>
      <c r="H175" t="str">
        <f>_xlfn.XLOOKUP(G175,SM[Employee ID],SM[Salesperson])</f>
        <v>Neha Joshi</v>
      </c>
      <c r="I175" t="str">
        <f>_xlfn.XLOOKUP(G175,SM[Employee ID],SM[Region])</f>
        <v>West</v>
      </c>
      <c r="J175" t="str">
        <f>_xlfn.XLOOKUP(G175,SM[Employee ID],SM[State/City])</f>
        <v>Ahmedabad</v>
      </c>
      <c r="K175" s="2">
        <f>_xlfn.XLOOKUP(Sales[[#This Row],[Order ID]],ST[Order ID],ST[Units Sold])</f>
        <v>4</v>
      </c>
      <c r="L175">
        <f t="shared" si="2"/>
        <v>4440</v>
      </c>
    </row>
    <row r="176" spans="1:12" x14ac:dyDescent="0.35">
      <c r="A176" s="7">
        <v>1177</v>
      </c>
      <c r="B176" s="1">
        <v>45134</v>
      </c>
      <c r="C176" s="2" t="s">
        <v>12</v>
      </c>
      <c r="D176" t="str">
        <f>_xlfn.XLOOKUP(Merged_Sales_Data!C176,PM[Product ID],PM[Product Name])</f>
        <v>Bookshelf Unit</v>
      </c>
      <c r="E176" t="str">
        <f>VLOOKUP(C176,PM[],3,FALSE)</f>
        <v>Furniture</v>
      </c>
      <c r="F176">
        <f>_xlfn.XLOOKUP(C176,PM[Product ID],PM[Unit Price (₹)])</f>
        <v>3910</v>
      </c>
      <c r="G176" t="str">
        <f>_xlfn.XLOOKUP(Sales[[#This Row],[Order ID]],ST[Order ID],ST[Employee ID])</f>
        <v>E05</v>
      </c>
      <c r="H176" t="str">
        <f>_xlfn.XLOOKUP(G176,SM[Employee ID],SM[Salesperson])</f>
        <v>Karan Malhotra</v>
      </c>
      <c r="I176" t="str">
        <f>_xlfn.XLOOKUP(G176,SM[Employee ID],SM[Region])</f>
        <v>East</v>
      </c>
      <c r="J176" t="str">
        <f>_xlfn.XLOOKUP(G176,SM[Employee ID],SM[State/City])</f>
        <v>Kolkata</v>
      </c>
      <c r="K176" s="2">
        <f>_xlfn.XLOOKUP(Sales[[#This Row],[Order ID]],ST[Order ID],ST[Units Sold])</f>
        <v>2</v>
      </c>
      <c r="L176">
        <f t="shared" si="2"/>
        <v>7820</v>
      </c>
    </row>
    <row r="177" spans="1:12" x14ac:dyDescent="0.35">
      <c r="A177" s="7">
        <v>1169</v>
      </c>
      <c r="B177" s="1">
        <v>45135</v>
      </c>
      <c r="C177" s="2" t="s">
        <v>11</v>
      </c>
      <c r="D177" t="str">
        <f>_xlfn.XLOOKUP(Merged_Sales_Data!C177,PM[Product ID],PM[Product Name])</f>
        <v>Bluetooth Speaker</v>
      </c>
      <c r="E177" t="str">
        <f>VLOOKUP(C177,PM[],3,FALSE)</f>
        <v>Electronics</v>
      </c>
      <c r="F177">
        <f>_xlfn.XLOOKUP(C177,PM[Product ID],PM[Unit Price (₹)])</f>
        <v>1430</v>
      </c>
      <c r="G177" t="str">
        <f>_xlfn.XLOOKUP(Sales[[#This Row],[Order ID]],ST[Order ID],ST[Employee ID])</f>
        <v>E04</v>
      </c>
      <c r="H177" t="str">
        <f>_xlfn.XLOOKUP(G177,SM[Employee ID],SM[Salesperson])</f>
        <v>Priya Nair</v>
      </c>
      <c r="I177" t="str">
        <f>_xlfn.XLOOKUP(G177,SM[Employee ID],SM[Region])</f>
        <v>South</v>
      </c>
      <c r="J177" t="str">
        <f>_xlfn.XLOOKUP(G177,SM[Employee ID],SM[State/City])</f>
        <v>Bengaluru</v>
      </c>
      <c r="K177" s="2">
        <f>_xlfn.XLOOKUP(Sales[[#This Row],[Order ID]],ST[Order ID],ST[Units Sold])</f>
        <v>2</v>
      </c>
      <c r="L177">
        <f t="shared" si="2"/>
        <v>2860</v>
      </c>
    </row>
    <row r="178" spans="1:12" x14ac:dyDescent="0.35">
      <c r="A178" s="7">
        <v>1161</v>
      </c>
      <c r="B178" s="1">
        <v>45138</v>
      </c>
      <c r="C178" s="2" t="s">
        <v>21</v>
      </c>
      <c r="D178" t="str">
        <f>_xlfn.XLOOKUP(Merged_Sales_Data!C178,PM[Product ID],PM[Product Name])</f>
        <v>Wireless Mouse</v>
      </c>
      <c r="E178" t="str">
        <f>VLOOKUP(C178,PM[],3,FALSE)</f>
        <v>Electronics</v>
      </c>
      <c r="F178">
        <f>_xlfn.XLOOKUP(C178,PM[Product ID],PM[Unit Price (₹)])</f>
        <v>780</v>
      </c>
      <c r="G178" t="str">
        <f>_xlfn.XLOOKUP(Sales[[#This Row],[Order ID]],ST[Order ID],ST[Employee ID])</f>
        <v>E02</v>
      </c>
      <c r="H178" t="str">
        <f>_xlfn.XLOOKUP(G178,SM[Employee ID],SM[Salesperson])</f>
        <v>Ishita Verma</v>
      </c>
      <c r="I178" t="str">
        <f>_xlfn.XLOOKUP(G178,SM[Employee ID],SM[Region])</f>
        <v>North</v>
      </c>
      <c r="J178" t="str">
        <f>_xlfn.XLOOKUP(G178,SM[Employee ID],SM[State/City])</f>
        <v>Chandigarh</v>
      </c>
      <c r="K178" s="2">
        <f>_xlfn.XLOOKUP(Sales[[#This Row],[Order ID]],ST[Order ID],ST[Units Sold])</f>
        <v>1</v>
      </c>
      <c r="L178">
        <f t="shared" si="2"/>
        <v>780</v>
      </c>
    </row>
    <row r="179" spans="1:12" x14ac:dyDescent="0.35">
      <c r="A179" s="7">
        <v>1173</v>
      </c>
      <c r="B179" s="1">
        <v>45138</v>
      </c>
      <c r="C179" s="2" t="s">
        <v>11</v>
      </c>
      <c r="D179" t="str">
        <f>_xlfn.XLOOKUP(Merged_Sales_Data!C179,PM[Product ID],PM[Product Name])</f>
        <v>Bluetooth Speaker</v>
      </c>
      <c r="E179" t="str">
        <f>VLOOKUP(C179,PM[],3,FALSE)</f>
        <v>Electronics</v>
      </c>
      <c r="F179">
        <f>_xlfn.XLOOKUP(C179,PM[Product ID],PM[Unit Price (₹)])</f>
        <v>1430</v>
      </c>
      <c r="G179" t="str">
        <f>_xlfn.XLOOKUP(Sales[[#This Row],[Order ID]],ST[Order ID],ST[Employee ID])</f>
        <v>E08</v>
      </c>
      <c r="H179" t="str">
        <f>_xlfn.XLOOKUP(G179,SM[Employee ID],SM[Salesperson])</f>
        <v>Neha Joshi</v>
      </c>
      <c r="I179" t="str">
        <f>_xlfn.XLOOKUP(G179,SM[Employee ID],SM[Region])</f>
        <v>West</v>
      </c>
      <c r="J179" t="str">
        <f>_xlfn.XLOOKUP(G179,SM[Employee ID],SM[State/City])</f>
        <v>Ahmedabad</v>
      </c>
      <c r="K179" s="2">
        <f>_xlfn.XLOOKUP(Sales[[#This Row],[Order ID]],ST[Order ID],ST[Units Sold])</f>
        <v>4</v>
      </c>
      <c r="L179">
        <f t="shared" si="2"/>
        <v>5720</v>
      </c>
    </row>
    <row r="180" spans="1:12" x14ac:dyDescent="0.35">
      <c r="A180" s="7">
        <v>1186</v>
      </c>
      <c r="B180" s="1">
        <v>45141</v>
      </c>
      <c r="C180" s="2" t="s">
        <v>14</v>
      </c>
      <c r="D180" t="str">
        <f>_xlfn.XLOOKUP(Merged_Sales_Data!C180,PM[Product ID],PM[Product Name])</f>
        <v>Laptop Backpack</v>
      </c>
      <c r="E180" t="str">
        <f>VLOOKUP(C180,PM[],3,FALSE)</f>
        <v>Accessories</v>
      </c>
      <c r="F180">
        <f>_xlfn.XLOOKUP(C180,PM[Product ID],PM[Unit Price (₹)])</f>
        <v>1110</v>
      </c>
      <c r="G180" t="str">
        <f>_xlfn.XLOOKUP(Sales[[#This Row],[Order ID]],ST[Order ID],ST[Employee ID])</f>
        <v>E08</v>
      </c>
      <c r="H180" t="str">
        <f>_xlfn.XLOOKUP(G180,SM[Employee ID],SM[Salesperson])</f>
        <v>Neha Joshi</v>
      </c>
      <c r="I180" t="str">
        <f>_xlfn.XLOOKUP(G180,SM[Employee ID],SM[Region])</f>
        <v>West</v>
      </c>
      <c r="J180" t="str">
        <f>_xlfn.XLOOKUP(G180,SM[Employee ID],SM[State/City])</f>
        <v>Ahmedabad</v>
      </c>
      <c r="K180" s="2">
        <f>_xlfn.XLOOKUP(Sales[[#This Row],[Order ID]],ST[Order ID],ST[Units Sold])</f>
        <v>1</v>
      </c>
      <c r="L180">
        <f t="shared" si="2"/>
        <v>1110</v>
      </c>
    </row>
    <row r="181" spans="1:12" x14ac:dyDescent="0.35">
      <c r="A181" s="7">
        <v>1204</v>
      </c>
      <c r="B181" s="1">
        <v>45141</v>
      </c>
      <c r="C181" s="2" t="s">
        <v>10</v>
      </c>
      <c r="D181" t="str">
        <f>_xlfn.XLOOKUP(Merged_Sales_Data!C181,PM[Product ID],PM[Product Name])</f>
        <v>Filing Cabinet</v>
      </c>
      <c r="E181" t="str">
        <f>VLOOKUP(C181,PM[],3,FALSE)</f>
        <v>Furniture</v>
      </c>
      <c r="F181">
        <f>_xlfn.XLOOKUP(C181,PM[Product ID],PM[Unit Price (₹)])</f>
        <v>4070</v>
      </c>
      <c r="G181" t="str">
        <f>_xlfn.XLOOKUP(Sales[[#This Row],[Order ID]],ST[Order ID],ST[Employee ID])</f>
        <v>E02</v>
      </c>
      <c r="H181" t="str">
        <f>_xlfn.XLOOKUP(G181,SM[Employee ID],SM[Salesperson])</f>
        <v>Ishita Verma</v>
      </c>
      <c r="I181" t="str">
        <f>_xlfn.XLOOKUP(G181,SM[Employee ID],SM[Region])</f>
        <v>North</v>
      </c>
      <c r="J181" t="str">
        <f>_xlfn.XLOOKUP(G181,SM[Employee ID],SM[State/City])</f>
        <v>Chandigarh</v>
      </c>
      <c r="K181" s="2">
        <f>_xlfn.XLOOKUP(Sales[[#This Row],[Order ID]],ST[Order ID],ST[Units Sold])</f>
        <v>5</v>
      </c>
      <c r="L181">
        <f t="shared" si="2"/>
        <v>20350</v>
      </c>
    </row>
    <row r="182" spans="1:12" x14ac:dyDescent="0.35">
      <c r="A182" s="7">
        <v>1203</v>
      </c>
      <c r="B182" s="1">
        <v>45142</v>
      </c>
      <c r="C182" s="2" t="s">
        <v>20</v>
      </c>
      <c r="D182" t="str">
        <f>_xlfn.XLOOKUP(Merged_Sales_Data!C182,PM[Product ID],PM[Product Name])</f>
        <v>Standing Desk</v>
      </c>
      <c r="E182" t="str">
        <f>VLOOKUP(C182,PM[],3,FALSE)</f>
        <v>Office Supplies</v>
      </c>
      <c r="F182">
        <f>_xlfn.XLOOKUP(C182,PM[Product ID],PM[Unit Price (₹)])</f>
        <v>11010</v>
      </c>
      <c r="G182" t="str">
        <f>_xlfn.XLOOKUP(Sales[[#This Row],[Order ID]],ST[Order ID],ST[Employee ID])</f>
        <v>E01</v>
      </c>
      <c r="H182" t="str">
        <f>_xlfn.XLOOKUP(G182,SM[Employee ID],SM[Salesperson])</f>
        <v>Aarav Sharma</v>
      </c>
      <c r="I182" t="str">
        <f>_xlfn.XLOOKUP(G182,SM[Employee ID],SM[Region])</f>
        <v>North</v>
      </c>
      <c r="J182" t="str">
        <f>_xlfn.XLOOKUP(G182,SM[Employee ID],SM[State/City])</f>
        <v>Lucknow</v>
      </c>
      <c r="K182" s="2">
        <f>_xlfn.XLOOKUP(Sales[[#This Row],[Order ID]],ST[Order ID],ST[Units Sold])</f>
        <v>5</v>
      </c>
      <c r="L182">
        <f t="shared" si="2"/>
        <v>55050</v>
      </c>
    </row>
    <row r="183" spans="1:12" x14ac:dyDescent="0.35">
      <c r="A183" s="7">
        <v>1206</v>
      </c>
      <c r="B183" s="1">
        <v>45142</v>
      </c>
      <c r="C183" s="2" t="s">
        <v>11</v>
      </c>
      <c r="D183" t="str">
        <f>_xlfn.XLOOKUP(Merged_Sales_Data!C183,PM[Product ID],PM[Product Name])</f>
        <v>Bluetooth Speaker</v>
      </c>
      <c r="E183" t="str">
        <f>VLOOKUP(C183,PM[],3,FALSE)</f>
        <v>Electronics</v>
      </c>
      <c r="F183">
        <f>_xlfn.XLOOKUP(C183,PM[Product ID],PM[Unit Price (₹)])</f>
        <v>1430</v>
      </c>
      <c r="G183" t="str">
        <f>_xlfn.XLOOKUP(Sales[[#This Row],[Order ID]],ST[Order ID],ST[Employee ID])</f>
        <v>E05</v>
      </c>
      <c r="H183" t="str">
        <f>_xlfn.XLOOKUP(G183,SM[Employee ID],SM[Salesperson])</f>
        <v>Karan Malhotra</v>
      </c>
      <c r="I183" t="str">
        <f>_xlfn.XLOOKUP(G183,SM[Employee ID],SM[Region])</f>
        <v>East</v>
      </c>
      <c r="J183" t="str">
        <f>_xlfn.XLOOKUP(G183,SM[Employee ID],SM[State/City])</f>
        <v>Kolkata</v>
      </c>
      <c r="K183" s="2">
        <f>_xlfn.XLOOKUP(Sales[[#This Row],[Order ID]],ST[Order ID],ST[Units Sold])</f>
        <v>2</v>
      </c>
      <c r="L183">
        <f t="shared" si="2"/>
        <v>2860</v>
      </c>
    </row>
    <row r="184" spans="1:12" x14ac:dyDescent="0.35">
      <c r="A184" s="7">
        <v>1180</v>
      </c>
      <c r="B184" s="1">
        <v>45145</v>
      </c>
      <c r="C184" s="2" t="s">
        <v>18</v>
      </c>
      <c r="D184" t="str">
        <f>_xlfn.XLOOKUP(Merged_Sales_Data!C184,PM[Product ID],PM[Product Name])</f>
        <v>LED Monitor 24"</v>
      </c>
      <c r="E184" t="str">
        <f>VLOOKUP(C184,PM[],3,FALSE)</f>
        <v>Electronics</v>
      </c>
      <c r="F184">
        <f>_xlfn.XLOOKUP(C184,PM[Product ID],PM[Unit Price (₹)])</f>
        <v>7700</v>
      </c>
      <c r="G184" t="str">
        <f>_xlfn.XLOOKUP(Sales[[#This Row],[Order ID]],ST[Order ID],ST[Employee ID])</f>
        <v>E06</v>
      </c>
      <c r="H184" t="str">
        <f>_xlfn.XLOOKUP(G184,SM[Employee ID],SM[Salesperson])</f>
        <v>Sneha Roy</v>
      </c>
      <c r="I184" t="str">
        <f>_xlfn.XLOOKUP(G184,SM[Employee ID],SM[Region])</f>
        <v>East</v>
      </c>
      <c r="J184" t="str">
        <f>_xlfn.XLOOKUP(G184,SM[Employee ID],SM[State/City])</f>
        <v>Kolkata</v>
      </c>
      <c r="K184" s="2">
        <f>_xlfn.XLOOKUP(Sales[[#This Row],[Order ID]],ST[Order ID],ST[Units Sold])</f>
        <v>5</v>
      </c>
      <c r="L184">
        <f t="shared" si="2"/>
        <v>38500</v>
      </c>
    </row>
    <row r="185" spans="1:12" x14ac:dyDescent="0.35">
      <c r="A185" s="7">
        <v>1181</v>
      </c>
      <c r="B185" s="1">
        <v>45147</v>
      </c>
      <c r="C185" s="2" t="s">
        <v>20</v>
      </c>
      <c r="D185" t="str">
        <f>_xlfn.XLOOKUP(Merged_Sales_Data!C185,PM[Product ID],PM[Product Name])</f>
        <v>Standing Desk</v>
      </c>
      <c r="E185" t="str">
        <f>VLOOKUP(C185,PM[],3,FALSE)</f>
        <v>Office Supplies</v>
      </c>
      <c r="F185">
        <f>_xlfn.XLOOKUP(C185,PM[Product ID],PM[Unit Price (₹)])</f>
        <v>11010</v>
      </c>
      <c r="G185" t="str">
        <f>_xlfn.XLOOKUP(Sales[[#This Row],[Order ID]],ST[Order ID],ST[Employee ID])</f>
        <v>E06</v>
      </c>
      <c r="H185" t="str">
        <f>_xlfn.XLOOKUP(G185,SM[Employee ID],SM[Salesperson])</f>
        <v>Sneha Roy</v>
      </c>
      <c r="I185" t="str">
        <f>_xlfn.XLOOKUP(G185,SM[Employee ID],SM[Region])</f>
        <v>East</v>
      </c>
      <c r="J185" t="str">
        <f>_xlfn.XLOOKUP(G185,SM[Employee ID],SM[State/City])</f>
        <v>Kolkata</v>
      </c>
      <c r="K185" s="2">
        <f>_xlfn.XLOOKUP(Sales[[#This Row],[Order ID]],ST[Order ID],ST[Units Sold])</f>
        <v>3</v>
      </c>
      <c r="L185">
        <f t="shared" si="2"/>
        <v>33030</v>
      </c>
    </row>
    <row r="186" spans="1:12" x14ac:dyDescent="0.35">
      <c r="A186" s="7">
        <v>1198</v>
      </c>
      <c r="B186" s="1">
        <v>45147</v>
      </c>
      <c r="C186" s="2" t="s">
        <v>8</v>
      </c>
      <c r="D186" t="str">
        <f>_xlfn.XLOOKUP(Merged_Sales_Data!C186,PM[Product ID],PM[Product Name])</f>
        <v>USB-C Hub</v>
      </c>
      <c r="E186" t="str">
        <f>VLOOKUP(C186,PM[],3,FALSE)</f>
        <v>Accessories</v>
      </c>
      <c r="F186">
        <f>_xlfn.XLOOKUP(C186,PM[Product ID],PM[Unit Price (₹)])</f>
        <v>880</v>
      </c>
      <c r="G186" t="str">
        <f>_xlfn.XLOOKUP(Sales[[#This Row],[Order ID]],ST[Order ID],ST[Employee ID])</f>
        <v>E01</v>
      </c>
      <c r="H186" t="str">
        <f>_xlfn.XLOOKUP(G186,SM[Employee ID],SM[Salesperson])</f>
        <v>Aarav Sharma</v>
      </c>
      <c r="I186" t="str">
        <f>_xlfn.XLOOKUP(G186,SM[Employee ID],SM[Region])</f>
        <v>North</v>
      </c>
      <c r="J186" t="str">
        <f>_xlfn.XLOOKUP(G186,SM[Employee ID],SM[State/City])</f>
        <v>Lucknow</v>
      </c>
      <c r="K186" s="2">
        <f>_xlfn.XLOOKUP(Sales[[#This Row],[Order ID]],ST[Order ID],ST[Units Sold])</f>
        <v>1</v>
      </c>
      <c r="L186">
        <f t="shared" si="2"/>
        <v>880</v>
      </c>
    </row>
    <row r="187" spans="1:12" x14ac:dyDescent="0.35">
      <c r="A187" s="7">
        <v>1191</v>
      </c>
      <c r="B187" s="1">
        <v>45148</v>
      </c>
      <c r="C187" s="2" t="s">
        <v>14</v>
      </c>
      <c r="D187" t="str">
        <f>_xlfn.XLOOKUP(Merged_Sales_Data!C187,PM[Product ID],PM[Product Name])</f>
        <v>Laptop Backpack</v>
      </c>
      <c r="E187" t="str">
        <f>VLOOKUP(C187,PM[],3,FALSE)</f>
        <v>Accessories</v>
      </c>
      <c r="F187">
        <f>_xlfn.XLOOKUP(C187,PM[Product ID],PM[Unit Price (₹)])</f>
        <v>1110</v>
      </c>
      <c r="G187" t="str">
        <f>_xlfn.XLOOKUP(Sales[[#This Row],[Order ID]],ST[Order ID],ST[Employee ID])</f>
        <v>E06</v>
      </c>
      <c r="H187" t="str">
        <f>_xlfn.XLOOKUP(G187,SM[Employee ID],SM[Salesperson])</f>
        <v>Sneha Roy</v>
      </c>
      <c r="I187" t="str">
        <f>_xlfn.XLOOKUP(G187,SM[Employee ID],SM[Region])</f>
        <v>East</v>
      </c>
      <c r="J187" t="str">
        <f>_xlfn.XLOOKUP(G187,SM[Employee ID],SM[State/City])</f>
        <v>Kolkata</v>
      </c>
      <c r="K187" s="2">
        <f>_xlfn.XLOOKUP(Sales[[#This Row],[Order ID]],ST[Order ID],ST[Units Sold])</f>
        <v>2</v>
      </c>
      <c r="L187">
        <f t="shared" si="2"/>
        <v>2220</v>
      </c>
    </row>
    <row r="188" spans="1:12" x14ac:dyDescent="0.35">
      <c r="A188" s="7">
        <v>1196</v>
      </c>
      <c r="B188" s="1">
        <v>45148</v>
      </c>
      <c r="C188" s="2" t="s">
        <v>11</v>
      </c>
      <c r="D188" t="str">
        <f>_xlfn.XLOOKUP(Merged_Sales_Data!C188,PM[Product ID],PM[Product Name])</f>
        <v>Bluetooth Speaker</v>
      </c>
      <c r="E188" t="str">
        <f>VLOOKUP(C188,PM[],3,FALSE)</f>
        <v>Electronics</v>
      </c>
      <c r="F188">
        <f>_xlfn.XLOOKUP(C188,PM[Product ID],PM[Unit Price (₹)])</f>
        <v>1430</v>
      </c>
      <c r="G188" t="str">
        <f>_xlfn.XLOOKUP(Sales[[#This Row],[Order ID]],ST[Order ID],ST[Employee ID])</f>
        <v>E05</v>
      </c>
      <c r="H188" t="str">
        <f>_xlfn.XLOOKUP(G188,SM[Employee ID],SM[Salesperson])</f>
        <v>Karan Malhotra</v>
      </c>
      <c r="I188" t="str">
        <f>_xlfn.XLOOKUP(G188,SM[Employee ID],SM[Region])</f>
        <v>East</v>
      </c>
      <c r="J188" t="str">
        <f>_xlfn.XLOOKUP(G188,SM[Employee ID],SM[State/City])</f>
        <v>Kolkata</v>
      </c>
      <c r="K188" s="2">
        <f>_xlfn.XLOOKUP(Sales[[#This Row],[Order ID]],ST[Order ID],ST[Units Sold])</f>
        <v>2</v>
      </c>
      <c r="L188">
        <f t="shared" si="2"/>
        <v>2860</v>
      </c>
    </row>
    <row r="189" spans="1:12" x14ac:dyDescent="0.35">
      <c r="A189" s="7">
        <v>1197</v>
      </c>
      <c r="B189" s="1">
        <v>45148</v>
      </c>
      <c r="C189" s="2" t="s">
        <v>12</v>
      </c>
      <c r="D189" t="str">
        <f>_xlfn.XLOOKUP(Merged_Sales_Data!C189,PM[Product ID],PM[Product Name])</f>
        <v>Bookshelf Unit</v>
      </c>
      <c r="E189" t="str">
        <f>VLOOKUP(C189,PM[],3,FALSE)</f>
        <v>Furniture</v>
      </c>
      <c r="F189">
        <f>_xlfn.XLOOKUP(C189,PM[Product ID],PM[Unit Price (₹)])</f>
        <v>3910</v>
      </c>
      <c r="G189" t="str">
        <f>_xlfn.XLOOKUP(Sales[[#This Row],[Order ID]],ST[Order ID],ST[Employee ID])</f>
        <v>E04</v>
      </c>
      <c r="H189" t="str">
        <f>_xlfn.XLOOKUP(G189,SM[Employee ID],SM[Salesperson])</f>
        <v>Priya Nair</v>
      </c>
      <c r="I189" t="str">
        <f>_xlfn.XLOOKUP(G189,SM[Employee ID],SM[Region])</f>
        <v>South</v>
      </c>
      <c r="J189" t="str">
        <f>_xlfn.XLOOKUP(G189,SM[Employee ID],SM[State/City])</f>
        <v>Bengaluru</v>
      </c>
      <c r="K189" s="2">
        <f>_xlfn.XLOOKUP(Sales[[#This Row],[Order ID]],ST[Order ID],ST[Units Sold])</f>
        <v>1</v>
      </c>
      <c r="L189">
        <f t="shared" si="2"/>
        <v>3910</v>
      </c>
    </row>
    <row r="190" spans="1:12" x14ac:dyDescent="0.35">
      <c r="A190" s="7">
        <v>1199</v>
      </c>
      <c r="B190" s="1">
        <v>45148</v>
      </c>
      <c r="C190" s="2" t="s">
        <v>21</v>
      </c>
      <c r="D190" t="str">
        <f>_xlfn.XLOOKUP(Merged_Sales_Data!C190,PM[Product ID],PM[Product Name])</f>
        <v>Wireless Mouse</v>
      </c>
      <c r="E190" t="str">
        <f>VLOOKUP(C190,PM[],3,FALSE)</f>
        <v>Electronics</v>
      </c>
      <c r="F190">
        <f>_xlfn.XLOOKUP(C190,PM[Product ID],PM[Unit Price (₹)])</f>
        <v>780</v>
      </c>
      <c r="G190" t="str">
        <f>_xlfn.XLOOKUP(Sales[[#This Row],[Order ID]],ST[Order ID],ST[Employee ID])</f>
        <v>E01</v>
      </c>
      <c r="H190" t="str">
        <f>_xlfn.XLOOKUP(G190,SM[Employee ID],SM[Salesperson])</f>
        <v>Aarav Sharma</v>
      </c>
      <c r="I190" t="str">
        <f>_xlfn.XLOOKUP(G190,SM[Employee ID],SM[Region])</f>
        <v>North</v>
      </c>
      <c r="J190" t="str">
        <f>_xlfn.XLOOKUP(G190,SM[Employee ID],SM[State/City])</f>
        <v>Lucknow</v>
      </c>
      <c r="K190" s="2">
        <f>_xlfn.XLOOKUP(Sales[[#This Row],[Order ID]],ST[Order ID],ST[Units Sold])</f>
        <v>6</v>
      </c>
      <c r="L190">
        <f t="shared" si="2"/>
        <v>4680</v>
      </c>
    </row>
    <row r="191" spans="1:12" x14ac:dyDescent="0.35">
      <c r="A191" s="7">
        <v>1190</v>
      </c>
      <c r="B191" s="1">
        <v>45149</v>
      </c>
      <c r="C191" s="2" t="s">
        <v>10</v>
      </c>
      <c r="D191" t="str">
        <f>_xlfn.XLOOKUP(Merged_Sales_Data!C191,PM[Product ID],PM[Product Name])</f>
        <v>Filing Cabinet</v>
      </c>
      <c r="E191" t="str">
        <f>VLOOKUP(C191,PM[],3,FALSE)</f>
        <v>Furniture</v>
      </c>
      <c r="F191">
        <f>_xlfn.XLOOKUP(C191,PM[Product ID],PM[Unit Price (₹)])</f>
        <v>4070</v>
      </c>
      <c r="G191" t="str">
        <f>_xlfn.XLOOKUP(Sales[[#This Row],[Order ID]],ST[Order ID],ST[Employee ID])</f>
        <v>E06</v>
      </c>
      <c r="H191" t="str">
        <f>_xlfn.XLOOKUP(G191,SM[Employee ID],SM[Salesperson])</f>
        <v>Sneha Roy</v>
      </c>
      <c r="I191" t="str">
        <f>_xlfn.XLOOKUP(G191,SM[Employee ID],SM[Region])</f>
        <v>East</v>
      </c>
      <c r="J191" t="str">
        <f>_xlfn.XLOOKUP(G191,SM[Employee ID],SM[State/City])</f>
        <v>Kolkata</v>
      </c>
      <c r="K191" s="2">
        <f>_xlfn.XLOOKUP(Sales[[#This Row],[Order ID]],ST[Order ID],ST[Units Sold])</f>
        <v>6</v>
      </c>
      <c r="L191">
        <f t="shared" si="2"/>
        <v>24420</v>
      </c>
    </row>
    <row r="192" spans="1:12" x14ac:dyDescent="0.35">
      <c r="A192" s="7">
        <v>1207</v>
      </c>
      <c r="B192" s="1">
        <v>45151</v>
      </c>
      <c r="C192" s="2" t="s">
        <v>5</v>
      </c>
      <c r="D192" t="str">
        <f>_xlfn.XLOOKUP(Merged_Sales_Data!C192,PM[Product ID],PM[Product Name])</f>
        <v>Ergo Office Chair</v>
      </c>
      <c r="E192" t="str">
        <f>VLOOKUP(C192,PM[],3,FALSE)</f>
        <v>Office Supplies</v>
      </c>
      <c r="F192">
        <f>_xlfn.XLOOKUP(C192,PM[Product ID],PM[Unit Price (₹)])</f>
        <v>6750</v>
      </c>
      <c r="G192" t="str">
        <f>_xlfn.XLOOKUP(Sales[[#This Row],[Order ID]],ST[Order ID],ST[Employee ID])</f>
        <v>E07</v>
      </c>
      <c r="H192" t="str">
        <f>_xlfn.XLOOKUP(G192,SM[Employee ID],SM[Salesperson])</f>
        <v>Aditya Kapoor</v>
      </c>
      <c r="I192" t="str">
        <f>_xlfn.XLOOKUP(G192,SM[Employee ID],SM[Region])</f>
        <v>West</v>
      </c>
      <c r="J192" t="str">
        <f>_xlfn.XLOOKUP(G192,SM[Employee ID],SM[State/City])</f>
        <v>Mumbai</v>
      </c>
      <c r="K192" s="2">
        <f>_xlfn.XLOOKUP(Sales[[#This Row],[Order ID]],ST[Order ID],ST[Units Sold])</f>
        <v>6</v>
      </c>
      <c r="L192">
        <f t="shared" si="2"/>
        <v>40500</v>
      </c>
    </row>
    <row r="193" spans="1:12" x14ac:dyDescent="0.35">
      <c r="A193" s="7">
        <v>1179</v>
      </c>
      <c r="B193" s="1">
        <v>45154</v>
      </c>
      <c r="C193" s="2" t="s">
        <v>12</v>
      </c>
      <c r="D193" t="str">
        <f>_xlfn.XLOOKUP(Merged_Sales_Data!C193,PM[Product ID],PM[Product Name])</f>
        <v>Bookshelf Unit</v>
      </c>
      <c r="E193" t="str">
        <f>VLOOKUP(C193,PM[],3,FALSE)</f>
        <v>Furniture</v>
      </c>
      <c r="F193">
        <f>_xlfn.XLOOKUP(C193,PM[Product ID],PM[Unit Price (₹)])</f>
        <v>3910</v>
      </c>
      <c r="G193" t="str">
        <f>_xlfn.XLOOKUP(Sales[[#This Row],[Order ID]],ST[Order ID],ST[Employee ID])</f>
        <v>E07</v>
      </c>
      <c r="H193" t="str">
        <f>_xlfn.XLOOKUP(G193,SM[Employee ID],SM[Salesperson])</f>
        <v>Aditya Kapoor</v>
      </c>
      <c r="I193" t="str">
        <f>_xlfn.XLOOKUP(G193,SM[Employee ID],SM[Region])</f>
        <v>West</v>
      </c>
      <c r="J193" t="str">
        <f>_xlfn.XLOOKUP(G193,SM[Employee ID],SM[State/City])</f>
        <v>Mumbai</v>
      </c>
      <c r="K193" s="2">
        <f>_xlfn.XLOOKUP(Sales[[#This Row],[Order ID]],ST[Order ID],ST[Units Sold])</f>
        <v>1</v>
      </c>
      <c r="L193">
        <f t="shared" si="2"/>
        <v>3910</v>
      </c>
    </row>
    <row r="194" spans="1:12" x14ac:dyDescent="0.35">
      <c r="A194" s="7">
        <v>1201</v>
      </c>
      <c r="B194" s="1">
        <v>45154</v>
      </c>
      <c r="C194" s="2" t="s">
        <v>20</v>
      </c>
      <c r="D194" t="str">
        <f>_xlfn.XLOOKUP(Merged_Sales_Data!C194,PM[Product ID],PM[Product Name])</f>
        <v>Standing Desk</v>
      </c>
      <c r="E194" t="str">
        <f>VLOOKUP(C194,PM[],3,FALSE)</f>
        <v>Office Supplies</v>
      </c>
      <c r="F194">
        <f>_xlfn.XLOOKUP(C194,PM[Product ID],PM[Unit Price (₹)])</f>
        <v>11010</v>
      </c>
      <c r="G194" t="str">
        <f>_xlfn.XLOOKUP(Sales[[#This Row],[Order ID]],ST[Order ID],ST[Employee ID])</f>
        <v>E01</v>
      </c>
      <c r="H194" t="str">
        <f>_xlfn.XLOOKUP(G194,SM[Employee ID],SM[Salesperson])</f>
        <v>Aarav Sharma</v>
      </c>
      <c r="I194" t="str">
        <f>_xlfn.XLOOKUP(G194,SM[Employee ID],SM[Region])</f>
        <v>North</v>
      </c>
      <c r="J194" t="str">
        <f>_xlfn.XLOOKUP(G194,SM[Employee ID],SM[State/City])</f>
        <v>Lucknow</v>
      </c>
      <c r="K194" s="2">
        <f>_xlfn.XLOOKUP(Sales[[#This Row],[Order ID]],ST[Order ID],ST[Units Sold])</f>
        <v>5</v>
      </c>
      <c r="L194">
        <f t="shared" si="2"/>
        <v>55050</v>
      </c>
    </row>
    <row r="195" spans="1:12" x14ac:dyDescent="0.35">
      <c r="A195" s="7">
        <v>1182</v>
      </c>
      <c r="B195" s="1">
        <v>45155</v>
      </c>
      <c r="C195" s="2" t="s">
        <v>8</v>
      </c>
      <c r="D195" t="str">
        <f>_xlfn.XLOOKUP(Merged_Sales_Data!C195,PM[Product ID],PM[Product Name])</f>
        <v>USB-C Hub</v>
      </c>
      <c r="E195" t="str">
        <f>VLOOKUP(C195,PM[],3,FALSE)</f>
        <v>Accessories</v>
      </c>
      <c r="F195">
        <f>_xlfn.XLOOKUP(C195,PM[Product ID],PM[Unit Price (₹)])</f>
        <v>880</v>
      </c>
      <c r="G195" t="str">
        <f>_xlfn.XLOOKUP(Sales[[#This Row],[Order ID]],ST[Order ID],ST[Employee ID])</f>
        <v>E05</v>
      </c>
      <c r="H195" t="str">
        <f>_xlfn.XLOOKUP(G195,SM[Employee ID],SM[Salesperson])</f>
        <v>Karan Malhotra</v>
      </c>
      <c r="I195" t="str">
        <f>_xlfn.XLOOKUP(G195,SM[Employee ID],SM[Region])</f>
        <v>East</v>
      </c>
      <c r="J195" t="str">
        <f>_xlfn.XLOOKUP(G195,SM[Employee ID],SM[State/City])</f>
        <v>Kolkata</v>
      </c>
      <c r="K195" s="2">
        <f>_xlfn.XLOOKUP(Sales[[#This Row],[Order ID]],ST[Order ID],ST[Units Sold])</f>
        <v>1</v>
      </c>
      <c r="L195">
        <f t="shared" ref="L195:L258" si="3">F195*K195</f>
        <v>880</v>
      </c>
    </row>
    <row r="196" spans="1:12" x14ac:dyDescent="0.35">
      <c r="A196" s="7">
        <v>1189</v>
      </c>
      <c r="B196" s="1">
        <v>45155</v>
      </c>
      <c r="C196" s="2" t="s">
        <v>14</v>
      </c>
      <c r="D196" t="str">
        <f>_xlfn.XLOOKUP(Merged_Sales_Data!C196,PM[Product ID],PM[Product Name])</f>
        <v>Laptop Backpack</v>
      </c>
      <c r="E196" t="str">
        <f>VLOOKUP(C196,PM[],3,FALSE)</f>
        <v>Accessories</v>
      </c>
      <c r="F196">
        <f>_xlfn.XLOOKUP(C196,PM[Product ID],PM[Unit Price (₹)])</f>
        <v>1110</v>
      </c>
      <c r="G196" t="str">
        <f>_xlfn.XLOOKUP(Sales[[#This Row],[Order ID]],ST[Order ID],ST[Employee ID])</f>
        <v>E06</v>
      </c>
      <c r="H196" t="str">
        <f>_xlfn.XLOOKUP(G196,SM[Employee ID],SM[Salesperson])</f>
        <v>Sneha Roy</v>
      </c>
      <c r="I196" t="str">
        <f>_xlfn.XLOOKUP(G196,SM[Employee ID],SM[Region])</f>
        <v>East</v>
      </c>
      <c r="J196" t="str">
        <f>_xlfn.XLOOKUP(G196,SM[Employee ID],SM[State/City])</f>
        <v>Kolkata</v>
      </c>
      <c r="K196" s="2">
        <f>_xlfn.XLOOKUP(Sales[[#This Row],[Order ID]],ST[Order ID],ST[Units Sold])</f>
        <v>6</v>
      </c>
      <c r="L196">
        <f t="shared" si="3"/>
        <v>6660</v>
      </c>
    </row>
    <row r="197" spans="1:12" x14ac:dyDescent="0.35">
      <c r="A197" s="7">
        <v>1188</v>
      </c>
      <c r="B197" s="1">
        <v>45157</v>
      </c>
      <c r="C197" s="2" t="s">
        <v>20</v>
      </c>
      <c r="D197" t="str">
        <f>_xlfn.XLOOKUP(Merged_Sales_Data!C197,PM[Product ID],PM[Product Name])</f>
        <v>Standing Desk</v>
      </c>
      <c r="E197" t="str">
        <f>VLOOKUP(C197,PM[],3,FALSE)</f>
        <v>Office Supplies</v>
      </c>
      <c r="F197">
        <f>_xlfn.XLOOKUP(C197,PM[Product ID],PM[Unit Price (₹)])</f>
        <v>11010</v>
      </c>
      <c r="G197" t="str">
        <f>_xlfn.XLOOKUP(Sales[[#This Row],[Order ID]],ST[Order ID],ST[Employee ID])</f>
        <v>E04</v>
      </c>
      <c r="H197" t="str">
        <f>_xlfn.XLOOKUP(G197,SM[Employee ID],SM[Salesperson])</f>
        <v>Priya Nair</v>
      </c>
      <c r="I197" t="str">
        <f>_xlfn.XLOOKUP(G197,SM[Employee ID],SM[Region])</f>
        <v>South</v>
      </c>
      <c r="J197" t="str">
        <f>_xlfn.XLOOKUP(G197,SM[Employee ID],SM[State/City])</f>
        <v>Bengaluru</v>
      </c>
      <c r="K197" s="2">
        <f>_xlfn.XLOOKUP(Sales[[#This Row],[Order ID]],ST[Order ID],ST[Units Sold])</f>
        <v>10</v>
      </c>
      <c r="L197">
        <f t="shared" si="3"/>
        <v>110100</v>
      </c>
    </row>
    <row r="198" spans="1:12" x14ac:dyDescent="0.35">
      <c r="A198" s="7">
        <v>1209</v>
      </c>
      <c r="B198" s="1">
        <v>45158</v>
      </c>
      <c r="C198" s="2" t="s">
        <v>20</v>
      </c>
      <c r="D198" t="str">
        <f>_xlfn.XLOOKUP(Merged_Sales_Data!C198,PM[Product ID],PM[Product Name])</f>
        <v>Standing Desk</v>
      </c>
      <c r="E198" t="str">
        <f>VLOOKUP(C198,PM[],3,FALSE)</f>
        <v>Office Supplies</v>
      </c>
      <c r="F198">
        <f>_xlfn.XLOOKUP(C198,PM[Product ID],PM[Unit Price (₹)])</f>
        <v>11010</v>
      </c>
      <c r="G198" t="str">
        <f>_xlfn.XLOOKUP(Sales[[#This Row],[Order ID]],ST[Order ID],ST[Employee ID])</f>
        <v>E07</v>
      </c>
      <c r="H198" t="str">
        <f>_xlfn.XLOOKUP(G198,SM[Employee ID],SM[Salesperson])</f>
        <v>Aditya Kapoor</v>
      </c>
      <c r="I198" t="str">
        <f>_xlfn.XLOOKUP(G198,SM[Employee ID],SM[Region])</f>
        <v>West</v>
      </c>
      <c r="J198" t="str">
        <f>_xlfn.XLOOKUP(G198,SM[Employee ID],SM[State/City])</f>
        <v>Mumbai</v>
      </c>
      <c r="K198" s="2">
        <f>_xlfn.XLOOKUP(Sales[[#This Row],[Order ID]],ST[Order ID],ST[Units Sold])</f>
        <v>8</v>
      </c>
      <c r="L198">
        <f t="shared" si="3"/>
        <v>88080</v>
      </c>
    </row>
    <row r="199" spans="1:12" x14ac:dyDescent="0.35">
      <c r="A199" s="7">
        <v>1185</v>
      </c>
      <c r="B199" s="1">
        <v>45161</v>
      </c>
      <c r="C199" s="2" t="s">
        <v>14</v>
      </c>
      <c r="D199" t="str">
        <f>_xlfn.XLOOKUP(Merged_Sales_Data!C199,PM[Product ID],PM[Product Name])</f>
        <v>Laptop Backpack</v>
      </c>
      <c r="E199" t="str">
        <f>VLOOKUP(C199,PM[],3,FALSE)</f>
        <v>Accessories</v>
      </c>
      <c r="F199">
        <f>_xlfn.XLOOKUP(C199,PM[Product ID],PM[Unit Price (₹)])</f>
        <v>1110</v>
      </c>
      <c r="G199" t="str">
        <f>_xlfn.XLOOKUP(Sales[[#This Row],[Order ID]],ST[Order ID],ST[Employee ID])</f>
        <v>E04</v>
      </c>
      <c r="H199" t="str">
        <f>_xlfn.XLOOKUP(G199,SM[Employee ID],SM[Salesperson])</f>
        <v>Priya Nair</v>
      </c>
      <c r="I199" t="str">
        <f>_xlfn.XLOOKUP(G199,SM[Employee ID],SM[Region])</f>
        <v>South</v>
      </c>
      <c r="J199" t="str">
        <f>_xlfn.XLOOKUP(G199,SM[Employee ID],SM[State/City])</f>
        <v>Bengaluru</v>
      </c>
      <c r="K199" s="2">
        <f>_xlfn.XLOOKUP(Sales[[#This Row],[Order ID]],ST[Order ID],ST[Units Sold])</f>
        <v>10</v>
      </c>
      <c r="L199">
        <f t="shared" si="3"/>
        <v>11100</v>
      </c>
    </row>
    <row r="200" spans="1:12" x14ac:dyDescent="0.35">
      <c r="A200" s="7">
        <v>1187</v>
      </c>
      <c r="B200" s="1">
        <v>45161</v>
      </c>
      <c r="C200" s="2" t="s">
        <v>5</v>
      </c>
      <c r="D200" t="str">
        <f>_xlfn.XLOOKUP(Merged_Sales_Data!C200,PM[Product ID],PM[Product Name])</f>
        <v>Ergo Office Chair</v>
      </c>
      <c r="E200" t="str">
        <f>VLOOKUP(C200,PM[],3,FALSE)</f>
        <v>Office Supplies</v>
      </c>
      <c r="F200">
        <f>_xlfn.XLOOKUP(C200,PM[Product ID],PM[Unit Price (₹)])</f>
        <v>6750</v>
      </c>
      <c r="G200" t="str">
        <f>_xlfn.XLOOKUP(Sales[[#This Row],[Order ID]],ST[Order ID],ST[Employee ID])</f>
        <v>E05</v>
      </c>
      <c r="H200" t="str">
        <f>_xlfn.XLOOKUP(G200,SM[Employee ID],SM[Salesperson])</f>
        <v>Karan Malhotra</v>
      </c>
      <c r="I200" t="str">
        <f>_xlfn.XLOOKUP(G200,SM[Employee ID],SM[Region])</f>
        <v>East</v>
      </c>
      <c r="J200" t="str">
        <f>_xlfn.XLOOKUP(G200,SM[Employee ID],SM[State/City])</f>
        <v>Kolkata</v>
      </c>
      <c r="K200" s="2">
        <f>_xlfn.XLOOKUP(Sales[[#This Row],[Order ID]],ST[Order ID],ST[Units Sold])</f>
        <v>4</v>
      </c>
      <c r="L200">
        <f t="shared" si="3"/>
        <v>27000</v>
      </c>
    </row>
    <row r="201" spans="1:12" x14ac:dyDescent="0.35">
      <c r="A201" s="7">
        <v>1183</v>
      </c>
      <c r="B201" s="1">
        <v>45162</v>
      </c>
      <c r="C201" s="2" t="s">
        <v>11</v>
      </c>
      <c r="D201" t="str">
        <f>_xlfn.XLOOKUP(Merged_Sales_Data!C201,PM[Product ID],PM[Product Name])</f>
        <v>Bluetooth Speaker</v>
      </c>
      <c r="E201" t="str">
        <f>VLOOKUP(C201,PM[],3,FALSE)</f>
        <v>Electronics</v>
      </c>
      <c r="F201">
        <f>_xlfn.XLOOKUP(C201,PM[Product ID],PM[Unit Price (₹)])</f>
        <v>1430</v>
      </c>
      <c r="G201" t="str">
        <f>_xlfn.XLOOKUP(Sales[[#This Row],[Order ID]],ST[Order ID],ST[Employee ID])</f>
        <v>E04</v>
      </c>
      <c r="H201" t="str">
        <f>_xlfn.XLOOKUP(G201,SM[Employee ID],SM[Salesperson])</f>
        <v>Priya Nair</v>
      </c>
      <c r="I201" t="str">
        <f>_xlfn.XLOOKUP(G201,SM[Employee ID],SM[Region])</f>
        <v>South</v>
      </c>
      <c r="J201" t="str">
        <f>_xlfn.XLOOKUP(G201,SM[Employee ID],SM[State/City])</f>
        <v>Bengaluru</v>
      </c>
      <c r="K201" s="2">
        <f>_xlfn.XLOOKUP(Sales[[#This Row],[Order ID]],ST[Order ID],ST[Units Sold])</f>
        <v>2</v>
      </c>
      <c r="L201">
        <f t="shared" si="3"/>
        <v>2860</v>
      </c>
    </row>
    <row r="202" spans="1:12" x14ac:dyDescent="0.35">
      <c r="A202" s="7">
        <v>1192</v>
      </c>
      <c r="B202" s="1">
        <v>45162</v>
      </c>
      <c r="C202" s="2" t="s">
        <v>5</v>
      </c>
      <c r="D202" t="str">
        <f>_xlfn.XLOOKUP(Merged_Sales_Data!C202,PM[Product ID],PM[Product Name])</f>
        <v>Ergo Office Chair</v>
      </c>
      <c r="E202" t="str">
        <f>VLOOKUP(C202,PM[],3,FALSE)</f>
        <v>Office Supplies</v>
      </c>
      <c r="F202">
        <f>_xlfn.XLOOKUP(C202,PM[Product ID],PM[Unit Price (₹)])</f>
        <v>6750</v>
      </c>
      <c r="G202" t="str">
        <f>_xlfn.XLOOKUP(Sales[[#This Row],[Order ID]],ST[Order ID],ST[Employee ID])</f>
        <v>E05</v>
      </c>
      <c r="H202" t="str">
        <f>_xlfn.XLOOKUP(G202,SM[Employee ID],SM[Salesperson])</f>
        <v>Karan Malhotra</v>
      </c>
      <c r="I202" t="str">
        <f>_xlfn.XLOOKUP(G202,SM[Employee ID],SM[Region])</f>
        <v>East</v>
      </c>
      <c r="J202" t="str">
        <f>_xlfn.XLOOKUP(G202,SM[Employee ID],SM[State/City])</f>
        <v>Kolkata</v>
      </c>
      <c r="K202" s="2">
        <f>_xlfn.XLOOKUP(Sales[[#This Row],[Order ID]],ST[Order ID],ST[Units Sold])</f>
        <v>1</v>
      </c>
      <c r="L202">
        <f t="shared" si="3"/>
        <v>6750</v>
      </c>
    </row>
    <row r="203" spans="1:12" x14ac:dyDescent="0.35">
      <c r="A203" s="7">
        <v>1193</v>
      </c>
      <c r="B203" s="1">
        <v>45162</v>
      </c>
      <c r="C203" s="2" t="s">
        <v>12</v>
      </c>
      <c r="D203" t="str">
        <f>_xlfn.XLOOKUP(Merged_Sales_Data!C203,PM[Product ID],PM[Product Name])</f>
        <v>Bookshelf Unit</v>
      </c>
      <c r="E203" t="str">
        <f>VLOOKUP(C203,PM[],3,FALSE)</f>
        <v>Furniture</v>
      </c>
      <c r="F203">
        <f>_xlfn.XLOOKUP(C203,PM[Product ID],PM[Unit Price (₹)])</f>
        <v>3910</v>
      </c>
      <c r="G203" t="str">
        <f>_xlfn.XLOOKUP(Sales[[#This Row],[Order ID]],ST[Order ID],ST[Employee ID])</f>
        <v>E04</v>
      </c>
      <c r="H203" t="str">
        <f>_xlfn.XLOOKUP(G203,SM[Employee ID],SM[Salesperson])</f>
        <v>Priya Nair</v>
      </c>
      <c r="I203" t="str">
        <f>_xlfn.XLOOKUP(G203,SM[Employee ID],SM[Region])</f>
        <v>South</v>
      </c>
      <c r="J203" t="str">
        <f>_xlfn.XLOOKUP(G203,SM[Employee ID],SM[State/City])</f>
        <v>Bengaluru</v>
      </c>
      <c r="K203" s="2">
        <f>_xlfn.XLOOKUP(Sales[[#This Row],[Order ID]],ST[Order ID],ST[Units Sold])</f>
        <v>1</v>
      </c>
      <c r="L203">
        <f t="shared" si="3"/>
        <v>3910</v>
      </c>
    </row>
    <row r="204" spans="1:12" x14ac:dyDescent="0.35">
      <c r="A204" s="7">
        <v>1194</v>
      </c>
      <c r="B204" s="1">
        <v>45162</v>
      </c>
      <c r="C204" s="2" t="s">
        <v>5</v>
      </c>
      <c r="D204" t="str">
        <f>_xlfn.XLOOKUP(Merged_Sales_Data!C204,PM[Product ID],PM[Product Name])</f>
        <v>Ergo Office Chair</v>
      </c>
      <c r="E204" t="str">
        <f>VLOOKUP(C204,PM[],3,FALSE)</f>
        <v>Office Supplies</v>
      </c>
      <c r="F204">
        <f>_xlfn.XLOOKUP(C204,PM[Product ID],PM[Unit Price (₹)])</f>
        <v>6750</v>
      </c>
      <c r="G204" t="str">
        <f>_xlfn.XLOOKUP(Sales[[#This Row],[Order ID]],ST[Order ID],ST[Employee ID])</f>
        <v>E03</v>
      </c>
      <c r="H204" t="str">
        <f>_xlfn.XLOOKUP(G204,SM[Employee ID],SM[Salesperson])</f>
        <v>Rohan Mehta</v>
      </c>
      <c r="I204" t="str">
        <f>_xlfn.XLOOKUP(G204,SM[Employee ID],SM[Region])</f>
        <v>South</v>
      </c>
      <c r="J204" t="str">
        <f>_xlfn.XLOOKUP(G204,SM[Employee ID],SM[State/City])</f>
        <v>Bengaluru</v>
      </c>
      <c r="K204" s="2">
        <f>_xlfn.XLOOKUP(Sales[[#This Row],[Order ID]],ST[Order ID],ST[Units Sold])</f>
        <v>2</v>
      </c>
      <c r="L204">
        <f t="shared" si="3"/>
        <v>13500</v>
      </c>
    </row>
    <row r="205" spans="1:12" x14ac:dyDescent="0.35">
      <c r="A205" s="7">
        <v>1184</v>
      </c>
      <c r="B205" s="1">
        <v>45163</v>
      </c>
      <c r="C205" s="2" t="s">
        <v>14</v>
      </c>
      <c r="D205" t="str">
        <f>_xlfn.XLOOKUP(Merged_Sales_Data!C205,PM[Product ID],PM[Product Name])</f>
        <v>Laptop Backpack</v>
      </c>
      <c r="E205" t="str">
        <f>VLOOKUP(C205,PM[],3,FALSE)</f>
        <v>Accessories</v>
      </c>
      <c r="F205">
        <f>_xlfn.XLOOKUP(C205,PM[Product ID],PM[Unit Price (₹)])</f>
        <v>1110</v>
      </c>
      <c r="G205" t="str">
        <f>_xlfn.XLOOKUP(Sales[[#This Row],[Order ID]],ST[Order ID],ST[Employee ID])</f>
        <v>E07</v>
      </c>
      <c r="H205" t="str">
        <f>_xlfn.XLOOKUP(G205,SM[Employee ID],SM[Salesperson])</f>
        <v>Aditya Kapoor</v>
      </c>
      <c r="I205" t="str">
        <f>_xlfn.XLOOKUP(G205,SM[Employee ID],SM[Region])</f>
        <v>West</v>
      </c>
      <c r="J205" t="str">
        <f>_xlfn.XLOOKUP(G205,SM[Employee ID],SM[State/City])</f>
        <v>Mumbai</v>
      </c>
      <c r="K205" s="2">
        <f>_xlfn.XLOOKUP(Sales[[#This Row],[Order ID]],ST[Order ID],ST[Units Sold])</f>
        <v>6</v>
      </c>
      <c r="L205">
        <f t="shared" si="3"/>
        <v>6660</v>
      </c>
    </row>
    <row r="206" spans="1:12" x14ac:dyDescent="0.35">
      <c r="A206" s="7">
        <v>1195</v>
      </c>
      <c r="B206" s="1">
        <v>45163</v>
      </c>
      <c r="C206" s="2" t="s">
        <v>20</v>
      </c>
      <c r="D206" t="str">
        <f>_xlfn.XLOOKUP(Merged_Sales_Data!C206,PM[Product ID],PM[Product Name])</f>
        <v>Standing Desk</v>
      </c>
      <c r="E206" t="str">
        <f>VLOOKUP(C206,PM[],3,FALSE)</f>
        <v>Office Supplies</v>
      </c>
      <c r="F206">
        <f>_xlfn.XLOOKUP(C206,PM[Product ID],PM[Unit Price (₹)])</f>
        <v>11010</v>
      </c>
      <c r="G206" t="str">
        <f>_xlfn.XLOOKUP(Sales[[#This Row],[Order ID]],ST[Order ID],ST[Employee ID])</f>
        <v>E08</v>
      </c>
      <c r="H206" t="str">
        <f>_xlfn.XLOOKUP(G206,SM[Employee ID],SM[Salesperson])</f>
        <v>Neha Joshi</v>
      </c>
      <c r="I206" t="str">
        <f>_xlfn.XLOOKUP(G206,SM[Employee ID],SM[Region])</f>
        <v>West</v>
      </c>
      <c r="J206" t="str">
        <f>_xlfn.XLOOKUP(G206,SM[Employee ID],SM[State/City])</f>
        <v>Ahmedabad</v>
      </c>
      <c r="K206" s="2">
        <f>_xlfn.XLOOKUP(Sales[[#This Row],[Order ID]],ST[Order ID],ST[Units Sold])</f>
        <v>8</v>
      </c>
      <c r="L206">
        <f t="shared" si="3"/>
        <v>88080</v>
      </c>
    </row>
    <row r="207" spans="1:12" x14ac:dyDescent="0.35">
      <c r="A207" s="7">
        <v>1205</v>
      </c>
      <c r="B207" s="1">
        <v>45164</v>
      </c>
      <c r="C207" s="2" t="s">
        <v>18</v>
      </c>
      <c r="D207" t="str">
        <f>_xlfn.XLOOKUP(Merged_Sales_Data!C207,PM[Product ID],PM[Product Name])</f>
        <v>LED Monitor 24"</v>
      </c>
      <c r="E207" t="str">
        <f>VLOOKUP(C207,PM[],3,FALSE)</f>
        <v>Electronics</v>
      </c>
      <c r="F207">
        <f>_xlfn.XLOOKUP(C207,PM[Product ID],PM[Unit Price (₹)])</f>
        <v>7700</v>
      </c>
      <c r="G207" t="str">
        <f>_xlfn.XLOOKUP(Sales[[#This Row],[Order ID]],ST[Order ID],ST[Employee ID])</f>
        <v>E01</v>
      </c>
      <c r="H207" t="str">
        <f>_xlfn.XLOOKUP(G207,SM[Employee ID],SM[Salesperson])</f>
        <v>Aarav Sharma</v>
      </c>
      <c r="I207" t="str">
        <f>_xlfn.XLOOKUP(G207,SM[Employee ID],SM[Region])</f>
        <v>North</v>
      </c>
      <c r="J207" t="str">
        <f>_xlfn.XLOOKUP(G207,SM[Employee ID],SM[State/City])</f>
        <v>Lucknow</v>
      </c>
      <c r="K207" s="2">
        <f>_xlfn.XLOOKUP(Sales[[#This Row],[Order ID]],ST[Order ID],ST[Units Sold])</f>
        <v>1</v>
      </c>
      <c r="L207">
        <f t="shared" si="3"/>
        <v>7700</v>
      </c>
    </row>
    <row r="208" spans="1:12" x14ac:dyDescent="0.35">
      <c r="A208" s="7">
        <v>1200</v>
      </c>
      <c r="B208" s="1">
        <v>45166</v>
      </c>
      <c r="C208" s="2" t="s">
        <v>14</v>
      </c>
      <c r="D208" t="str">
        <f>_xlfn.XLOOKUP(Merged_Sales_Data!C208,PM[Product ID],PM[Product Name])</f>
        <v>Laptop Backpack</v>
      </c>
      <c r="E208" t="str">
        <f>VLOOKUP(C208,PM[],3,FALSE)</f>
        <v>Accessories</v>
      </c>
      <c r="F208">
        <f>_xlfn.XLOOKUP(C208,PM[Product ID],PM[Unit Price (₹)])</f>
        <v>1110</v>
      </c>
      <c r="G208" t="str">
        <f>_xlfn.XLOOKUP(Sales[[#This Row],[Order ID]],ST[Order ID],ST[Employee ID])</f>
        <v>E03</v>
      </c>
      <c r="H208" t="str">
        <f>_xlfn.XLOOKUP(G208,SM[Employee ID],SM[Salesperson])</f>
        <v>Rohan Mehta</v>
      </c>
      <c r="I208" t="str">
        <f>_xlfn.XLOOKUP(G208,SM[Employee ID],SM[Region])</f>
        <v>South</v>
      </c>
      <c r="J208" t="str">
        <f>_xlfn.XLOOKUP(G208,SM[Employee ID],SM[State/City])</f>
        <v>Bengaluru</v>
      </c>
      <c r="K208" s="2">
        <f>_xlfn.XLOOKUP(Sales[[#This Row],[Order ID]],ST[Order ID],ST[Units Sold])</f>
        <v>1</v>
      </c>
      <c r="L208">
        <f t="shared" si="3"/>
        <v>1110</v>
      </c>
    </row>
    <row r="209" spans="1:12" x14ac:dyDescent="0.35">
      <c r="A209" s="7">
        <v>1208</v>
      </c>
      <c r="B209" s="1">
        <v>45166</v>
      </c>
      <c r="C209" s="2" t="s">
        <v>14</v>
      </c>
      <c r="D209" t="str">
        <f>_xlfn.XLOOKUP(Merged_Sales_Data!C209,PM[Product ID],PM[Product Name])</f>
        <v>Laptop Backpack</v>
      </c>
      <c r="E209" t="str">
        <f>VLOOKUP(C209,PM[],3,FALSE)</f>
        <v>Accessories</v>
      </c>
      <c r="F209">
        <f>_xlfn.XLOOKUP(C209,PM[Product ID],PM[Unit Price (₹)])</f>
        <v>1110</v>
      </c>
      <c r="G209" t="str">
        <f>_xlfn.XLOOKUP(Sales[[#This Row],[Order ID]],ST[Order ID],ST[Employee ID])</f>
        <v>E08</v>
      </c>
      <c r="H209" t="str">
        <f>_xlfn.XLOOKUP(G209,SM[Employee ID],SM[Salesperson])</f>
        <v>Neha Joshi</v>
      </c>
      <c r="I209" t="str">
        <f>_xlfn.XLOOKUP(G209,SM[Employee ID],SM[Region])</f>
        <v>West</v>
      </c>
      <c r="J209" t="str">
        <f>_xlfn.XLOOKUP(G209,SM[Employee ID],SM[State/City])</f>
        <v>Ahmedabad</v>
      </c>
      <c r="K209" s="2">
        <f>_xlfn.XLOOKUP(Sales[[#This Row],[Order ID]],ST[Order ID],ST[Units Sold])</f>
        <v>2</v>
      </c>
      <c r="L209">
        <f t="shared" si="3"/>
        <v>2220</v>
      </c>
    </row>
    <row r="210" spans="1:12" x14ac:dyDescent="0.35">
      <c r="A210" s="7">
        <v>1202</v>
      </c>
      <c r="B210" s="1">
        <v>45169</v>
      </c>
      <c r="C210" s="2" t="s">
        <v>12</v>
      </c>
      <c r="D210" t="str">
        <f>_xlfn.XLOOKUP(Merged_Sales_Data!C210,PM[Product ID],PM[Product Name])</f>
        <v>Bookshelf Unit</v>
      </c>
      <c r="E210" t="str">
        <f>VLOOKUP(C210,PM[],3,FALSE)</f>
        <v>Furniture</v>
      </c>
      <c r="F210">
        <f>_xlfn.XLOOKUP(C210,PM[Product ID],PM[Unit Price (₹)])</f>
        <v>3910</v>
      </c>
      <c r="G210" t="str">
        <f>_xlfn.XLOOKUP(Sales[[#This Row],[Order ID]],ST[Order ID],ST[Employee ID])</f>
        <v>E08</v>
      </c>
      <c r="H210" t="str">
        <f>_xlfn.XLOOKUP(G210,SM[Employee ID],SM[Salesperson])</f>
        <v>Neha Joshi</v>
      </c>
      <c r="I210" t="str">
        <f>_xlfn.XLOOKUP(G210,SM[Employee ID],SM[Region])</f>
        <v>West</v>
      </c>
      <c r="J210" t="str">
        <f>_xlfn.XLOOKUP(G210,SM[Employee ID],SM[State/City])</f>
        <v>Ahmedabad</v>
      </c>
      <c r="K210" s="2">
        <f>_xlfn.XLOOKUP(Sales[[#This Row],[Order ID]],ST[Order ID],ST[Units Sold])</f>
        <v>1</v>
      </c>
      <c r="L210">
        <f t="shared" si="3"/>
        <v>3910</v>
      </c>
    </row>
    <row r="211" spans="1:12" x14ac:dyDescent="0.35">
      <c r="A211" s="7">
        <v>1225</v>
      </c>
      <c r="B211" s="1">
        <v>45171</v>
      </c>
      <c r="C211" s="2" t="s">
        <v>20</v>
      </c>
      <c r="D211" t="str">
        <f>_xlfn.XLOOKUP(Merged_Sales_Data!C211,PM[Product ID],PM[Product Name])</f>
        <v>Standing Desk</v>
      </c>
      <c r="E211" t="str">
        <f>VLOOKUP(C211,PM[],3,FALSE)</f>
        <v>Office Supplies</v>
      </c>
      <c r="F211">
        <f>_xlfn.XLOOKUP(C211,PM[Product ID],PM[Unit Price (₹)])</f>
        <v>11010</v>
      </c>
      <c r="G211" t="str">
        <f>_xlfn.XLOOKUP(Sales[[#This Row],[Order ID]],ST[Order ID],ST[Employee ID])</f>
        <v>E01</v>
      </c>
      <c r="H211" t="str">
        <f>_xlfn.XLOOKUP(G211,SM[Employee ID],SM[Salesperson])</f>
        <v>Aarav Sharma</v>
      </c>
      <c r="I211" t="str">
        <f>_xlfn.XLOOKUP(G211,SM[Employee ID],SM[Region])</f>
        <v>North</v>
      </c>
      <c r="J211" t="str">
        <f>_xlfn.XLOOKUP(G211,SM[Employee ID],SM[State/City])</f>
        <v>Lucknow</v>
      </c>
      <c r="K211" s="2">
        <f>_xlfn.XLOOKUP(Sales[[#This Row],[Order ID]],ST[Order ID],ST[Units Sold])</f>
        <v>8</v>
      </c>
      <c r="L211">
        <f t="shared" si="3"/>
        <v>88080</v>
      </c>
    </row>
    <row r="212" spans="1:12" x14ac:dyDescent="0.35">
      <c r="A212" s="7">
        <v>1215</v>
      </c>
      <c r="B212" s="1">
        <v>45172</v>
      </c>
      <c r="C212" s="2" t="s">
        <v>20</v>
      </c>
      <c r="D212" t="str">
        <f>_xlfn.XLOOKUP(Merged_Sales_Data!C212,PM[Product ID],PM[Product Name])</f>
        <v>Standing Desk</v>
      </c>
      <c r="E212" t="str">
        <f>VLOOKUP(C212,PM[],3,FALSE)</f>
        <v>Office Supplies</v>
      </c>
      <c r="F212">
        <f>_xlfn.XLOOKUP(C212,PM[Product ID],PM[Unit Price (₹)])</f>
        <v>11010</v>
      </c>
      <c r="G212" t="str">
        <f>_xlfn.XLOOKUP(Sales[[#This Row],[Order ID]],ST[Order ID],ST[Employee ID])</f>
        <v>E05</v>
      </c>
      <c r="H212" t="str">
        <f>_xlfn.XLOOKUP(G212,SM[Employee ID],SM[Salesperson])</f>
        <v>Karan Malhotra</v>
      </c>
      <c r="I212" t="str">
        <f>_xlfn.XLOOKUP(G212,SM[Employee ID],SM[Region])</f>
        <v>East</v>
      </c>
      <c r="J212" t="str">
        <f>_xlfn.XLOOKUP(G212,SM[Employee ID],SM[State/City])</f>
        <v>Kolkata</v>
      </c>
      <c r="K212" s="2">
        <f>_xlfn.XLOOKUP(Sales[[#This Row],[Order ID]],ST[Order ID],ST[Units Sold])</f>
        <v>5</v>
      </c>
      <c r="L212">
        <f t="shared" si="3"/>
        <v>55050</v>
      </c>
    </row>
    <row r="213" spans="1:12" x14ac:dyDescent="0.35">
      <c r="A213" s="7">
        <v>1220</v>
      </c>
      <c r="B213" s="1">
        <v>45173</v>
      </c>
      <c r="C213" s="2" t="s">
        <v>20</v>
      </c>
      <c r="D213" t="str">
        <f>_xlfn.XLOOKUP(Merged_Sales_Data!C213,PM[Product ID],PM[Product Name])</f>
        <v>Standing Desk</v>
      </c>
      <c r="E213" t="str">
        <f>VLOOKUP(C213,PM[],3,FALSE)</f>
        <v>Office Supplies</v>
      </c>
      <c r="F213">
        <f>_xlfn.XLOOKUP(C213,PM[Product ID],PM[Unit Price (₹)])</f>
        <v>11010</v>
      </c>
      <c r="G213" t="str">
        <f>_xlfn.XLOOKUP(Sales[[#This Row],[Order ID]],ST[Order ID],ST[Employee ID])</f>
        <v>E05</v>
      </c>
      <c r="H213" t="str">
        <f>_xlfn.XLOOKUP(G213,SM[Employee ID],SM[Salesperson])</f>
        <v>Karan Malhotra</v>
      </c>
      <c r="I213" t="str">
        <f>_xlfn.XLOOKUP(G213,SM[Employee ID],SM[Region])</f>
        <v>East</v>
      </c>
      <c r="J213" t="str">
        <f>_xlfn.XLOOKUP(G213,SM[Employee ID],SM[State/City])</f>
        <v>Kolkata</v>
      </c>
      <c r="K213" s="2">
        <f>_xlfn.XLOOKUP(Sales[[#This Row],[Order ID]],ST[Order ID],ST[Units Sold])</f>
        <v>5</v>
      </c>
      <c r="L213">
        <f t="shared" si="3"/>
        <v>55050</v>
      </c>
    </row>
    <row r="214" spans="1:12" x14ac:dyDescent="0.35">
      <c r="A214" s="7">
        <v>1212</v>
      </c>
      <c r="B214" s="1">
        <v>45175</v>
      </c>
      <c r="C214" s="2" t="s">
        <v>8</v>
      </c>
      <c r="D214" t="str">
        <f>_xlfn.XLOOKUP(Merged_Sales_Data!C214,PM[Product ID],PM[Product Name])</f>
        <v>USB-C Hub</v>
      </c>
      <c r="E214" t="str">
        <f>VLOOKUP(C214,PM[],3,FALSE)</f>
        <v>Accessories</v>
      </c>
      <c r="F214">
        <f>_xlfn.XLOOKUP(C214,PM[Product ID],PM[Unit Price (₹)])</f>
        <v>880</v>
      </c>
      <c r="G214" t="str">
        <f>_xlfn.XLOOKUP(Sales[[#This Row],[Order ID]],ST[Order ID],ST[Employee ID])</f>
        <v>E03</v>
      </c>
      <c r="H214" t="str">
        <f>_xlfn.XLOOKUP(G214,SM[Employee ID],SM[Salesperson])</f>
        <v>Rohan Mehta</v>
      </c>
      <c r="I214" t="str">
        <f>_xlfn.XLOOKUP(G214,SM[Employee ID],SM[Region])</f>
        <v>South</v>
      </c>
      <c r="J214" t="str">
        <f>_xlfn.XLOOKUP(G214,SM[Employee ID],SM[State/City])</f>
        <v>Bengaluru</v>
      </c>
      <c r="K214" s="2">
        <f>_xlfn.XLOOKUP(Sales[[#This Row],[Order ID]],ST[Order ID],ST[Units Sold])</f>
        <v>1</v>
      </c>
      <c r="L214">
        <f t="shared" si="3"/>
        <v>880</v>
      </c>
    </row>
    <row r="215" spans="1:12" x14ac:dyDescent="0.35">
      <c r="A215" s="7">
        <v>1219</v>
      </c>
      <c r="B215" s="1">
        <v>45175</v>
      </c>
      <c r="C215" s="2" t="s">
        <v>11</v>
      </c>
      <c r="D215" t="str">
        <f>_xlfn.XLOOKUP(Merged_Sales_Data!C215,PM[Product ID],PM[Product Name])</f>
        <v>Bluetooth Speaker</v>
      </c>
      <c r="E215" t="str">
        <f>VLOOKUP(C215,PM[],3,FALSE)</f>
        <v>Electronics</v>
      </c>
      <c r="F215">
        <f>_xlfn.XLOOKUP(C215,PM[Product ID],PM[Unit Price (₹)])</f>
        <v>1430</v>
      </c>
      <c r="G215" t="str">
        <f>_xlfn.XLOOKUP(Sales[[#This Row],[Order ID]],ST[Order ID],ST[Employee ID])</f>
        <v>E03</v>
      </c>
      <c r="H215" t="str">
        <f>_xlfn.XLOOKUP(G215,SM[Employee ID],SM[Salesperson])</f>
        <v>Rohan Mehta</v>
      </c>
      <c r="I215" t="str">
        <f>_xlfn.XLOOKUP(G215,SM[Employee ID],SM[Region])</f>
        <v>South</v>
      </c>
      <c r="J215" t="str">
        <f>_xlfn.XLOOKUP(G215,SM[Employee ID],SM[State/City])</f>
        <v>Bengaluru</v>
      </c>
      <c r="K215" s="2">
        <f>_xlfn.XLOOKUP(Sales[[#This Row],[Order ID]],ST[Order ID],ST[Units Sold])</f>
        <v>1</v>
      </c>
      <c r="L215">
        <f t="shared" si="3"/>
        <v>1430</v>
      </c>
    </row>
    <row r="216" spans="1:12" x14ac:dyDescent="0.35">
      <c r="A216" s="7">
        <v>1210</v>
      </c>
      <c r="B216" s="1">
        <v>45176</v>
      </c>
      <c r="C216" s="2" t="s">
        <v>5</v>
      </c>
      <c r="D216" t="str">
        <f>_xlfn.XLOOKUP(Merged_Sales_Data!C216,PM[Product ID],PM[Product Name])</f>
        <v>Ergo Office Chair</v>
      </c>
      <c r="E216" t="str">
        <f>VLOOKUP(C216,PM[],3,FALSE)</f>
        <v>Office Supplies</v>
      </c>
      <c r="F216">
        <f>_xlfn.XLOOKUP(C216,PM[Product ID],PM[Unit Price (₹)])</f>
        <v>6750</v>
      </c>
      <c r="G216" t="str">
        <f>_xlfn.XLOOKUP(Sales[[#This Row],[Order ID]],ST[Order ID],ST[Employee ID])</f>
        <v>E02</v>
      </c>
      <c r="H216" t="str">
        <f>_xlfn.XLOOKUP(G216,SM[Employee ID],SM[Salesperson])</f>
        <v>Ishita Verma</v>
      </c>
      <c r="I216" t="str">
        <f>_xlfn.XLOOKUP(G216,SM[Employee ID],SM[Region])</f>
        <v>North</v>
      </c>
      <c r="J216" t="str">
        <f>_xlfn.XLOOKUP(G216,SM[Employee ID],SM[State/City])</f>
        <v>Chandigarh</v>
      </c>
      <c r="K216" s="2">
        <f>_xlfn.XLOOKUP(Sales[[#This Row],[Order ID]],ST[Order ID],ST[Units Sold])</f>
        <v>10</v>
      </c>
      <c r="L216">
        <f t="shared" si="3"/>
        <v>67500</v>
      </c>
    </row>
    <row r="217" spans="1:12" x14ac:dyDescent="0.35">
      <c r="A217" s="7">
        <v>1211</v>
      </c>
      <c r="B217" s="1">
        <v>45177</v>
      </c>
      <c r="C217" s="2" t="s">
        <v>11</v>
      </c>
      <c r="D217" t="str">
        <f>_xlfn.XLOOKUP(Merged_Sales_Data!C217,PM[Product ID],PM[Product Name])</f>
        <v>Bluetooth Speaker</v>
      </c>
      <c r="E217" t="str">
        <f>VLOOKUP(C217,PM[],3,FALSE)</f>
        <v>Electronics</v>
      </c>
      <c r="F217">
        <f>_xlfn.XLOOKUP(C217,PM[Product ID],PM[Unit Price (₹)])</f>
        <v>1430</v>
      </c>
      <c r="G217" t="str">
        <f>_xlfn.XLOOKUP(Sales[[#This Row],[Order ID]],ST[Order ID],ST[Employee ID])</f>
        <v>E05</v>
      </c>
      <c r="H217" t="str">
        <f>_xlfn.XLOOKUP(G217,SM[Employee ID],SM[Salesperson])</f>
        <v>Karan Malhotra</v>
      </c>
      <c r="I217" t="str">
        <f>_xlfn.XLOOKUP(G217,SM[Employee ID],SM[Region])</f>
        <v>East</v>
      </c>
      <c r="J217" t="str">
        <f>_xlfn.XLOOKUP(G217,SM[Employee ID],SM[State/City])</f>
        <v>Kolkata</v>
      </c>
      <c r="K217" s="2">
        <f>_xlfn.XLOOKUP(Sales[[#This Row],[Order ID]],ST[Order ID],ST[Units Sold])</f>
        <v>1</v>
      </c>
      <c r="L217">
        <f t="shared" si="3"/>
        <v>1430</v>
      </c>
    </row>
    <row r="218" spans="1:12" x14ac:dyDescent="0.35">
      <c r="A218" s="7">
        <v>1214</v>
      </c>
      <c r="B218" s="1">
        <v>45177</v>
      </c>
      <c r="C218" s="2" t="s">
        <v>20</v>
      </c>
      <c r="D218" t="str">
        <f>_xlfn.XLOOKUP(Merged_Sales_Data!C218,PM[Product ID],PM[Product Name])</f>
        <v>Standing Desk</v>
      </c>
      <c r="E218" t="str">
        <f>VLOOKUP(C218,PM[],3,FALSE)</f>
        <v>Office Supplies</v>
      </c>
      <c r="F218">
        <f>_xlfn.XLOOKUP(C218,PM[Product ID],PM[Unit Price (₹)])</f>
        <v>11010</v>
      </c>
      <c r="G218" t="str">
        <f>_xlfn.XLOOKUP(Sales[[#This Row],[Order ID]],ST[Order ID],ST[Employee ID])</f>
        <v>E08</v>
      </c>
      <c r="H218" t="str">
        <f>_xlfn.XLOOKUP(G218,SM[Employee ID],SM[Salesperson])</f>
        <v>Neha Joshi</v>
      </c>
      <c r="I218" t="str">
        <f>_xlfn.XLOOKUP(G218,SM[Employee ID],SM[Region])</f>
        <v>West</v>
      </c>
      <c r="J218" t="str">
        <f>_xlfn.XLOOKUP(G218,SM[Employee ID],SM[State/City])</f>
        <v>Ahmedabad</v>
      </c>
      <c r="K218" s="2">
        <f>_xlfn.XLOOKUP(Sales[[#This Row],[Order ID]],ST[Order ID],ST[Units Sold])</f>
        <v>1</v>
      </c>
      <c r="L218">
        <f t="shared" si="3"/>
        <v>11010</v>
      </c>
    </row>
    <row r="219" spans="1:12" x14ac:dyDescent="0.35">
      <c r="A219" s="7">
        <v>1224</v>
      </c>
      <c r="B219" s="1">
        <v>45177</v>
      </c>
      <c r="C219" s="2" t="s">
        <v>21</v>
      </c>
      <c r="D219" t="str">
        <f>_xlfn.XLOOKUP(Merged_Sales_Data!C219,PM[Product ID],PM[Product Name])</f>
        <v>Wireless Mouse</v>
      </c>
      <c r="E219" t="str">
        <f>VLOOKUP(C219,PM[],3,FALSE)</f>
        <v>Electronics</v>
      </c>
      <c r="F219">
        <f>_xlfn.XLOOKUP(C219,PM[Product ID],PM[Unit Price (₹)])</f>
        <v>780</v>
      </c>
      <c r="G219" t="str">
        <f>_xlfn.XLOOKUP(Sales[[#This Row],[Order ID]],ST[Order ID],ST[Employee ID])</f>
        <v>E05</v>
      </c>
      <c r="H219" t="str">
        <f>_xlfn.XLOOKUP(G219,SM[Employee ID],SM[Salesperson])</f>
        <v>Karan Malhotra</v>
      </c>
      <c r="I219" t="str">
        <f>_xlfn.XLOOKUP(G219,SM[Employee ID],SM[Region])</f>
        <v>East</v>
      </c>
      <c r="J219" t="str">
        <f>_xlfn.XLOOKUP(G219,SM[Employee ID],SM[State/City])</f>
        <v>Kolkata</v>
      </c>
      <c r="K219" s="2">
        <f>_xlfn.XLOOKUP(Sales[[#This Row],[Order ID]],ST[Order ID],ST[Units Sold])</f>
        <v>1</v>
      </c>
      <c r="L219">
        <f t="shared" si="3"/>
        <v>780</v>
      </c>
    </row>
    <row r="220" spans="1:12" x14ac:dyDescent="0.35">
      <c r="A220" s="7">
        <v>1221</v>
      </c>
      <c r="B220" s="1">
        <v>45178</v>
      </c>
      <c r="C220" s="2" t="s">
        <v>20</v>
      </c>
      <c r="D220" t="str">
        <f>_xlfn.XLOOKUP(Merged_Sales_Data!C220,PM[Product ID],PM[Product Name])</f>
        <v>Standing Desk</v>
      </c>
      <c r="E220" t="str">
        <f>VLOOKUP(C220,PM[],3,FALSE)</f>
        <v>Office Supplies</v>
      </c>
      <c r="F220">
        <f>_xlfn.XLOOKUP(C220,PM[Product ID],PM[Unit Price (₹)])</f>
        <v>11010</v>
      </c>
      <c r="G220" t="str">
        <f>_xlfn.XLOOKUP(Sales[[#This Row],[Order ID]],ST[Order ID],ST[Employee ID])</f>
        <v>E08</v>
      </c>
      <c r="H220" t="str">
        <f>_xlfn.XLOOKUP(G220,SM[Employee ID],SM[Salesperson])</f>
        <v>Neha Joshi</v>
      </c>
      <c r="I220" t="str">
        <f>_xlfn.XLOOKUP(G220,SM[Employee ID],SM[Region])</f>
        <v>West</v>
      </c>
      <c r="J220" t="str">
        <f>_xlfn.XLOOKUP(G220,SM[Employee ID],SM[State/City])</f>
        <v>Ahmedabad</v>
      </c>
      <c r="K220" s="2">
        <f>_xlfn.XLOOKUP(Sales[[#This Row],[Order ID]],ST[Order ID],ST[Units Sold])</f>
        <v>4</v>
      </c>
      <c r="L220">
        <f t="shared" si="3"/>
        <v>44040</v>
      </c>
    </row>
    <row r="221" spans="1:12" x14ac:dyDescent="0.35">
      <c r="A221" s="7">
        <v>1229</v>
      </c>
      <c r="B221" s="1">
        <v>45180</v>
      </c>
      <c r="C221" s="2" t="s">
        <v>10</v>
      </c>
      <c r="D221" t="str">
        <f>_xlfn.XLOOKUP(Merged_Sales_Data!C221,PM[Product ID],PM[Product Name])</f>
        <v>Filing Cabinet</v>
      </c>
      <c r="E221" t="str">
        <f>VLOOKUP(C221,PM[],3,FALSE)</f>
        <v>Furniture</v>
      </c>
      <c r="F221">
        <f>_xlfn.XLOOKUP(C221,PM[Product ID],PM[Unit Price (₹)])</f>
        <v>4070</v>
      </c>
      <c r="G221" t="str">
        <f>_xlfn.XLOOKUP(Sales[[#This Row],[Order ID]],ST[Order ID],ST[Employee ID])</f>
        <v>E06</v>
      </c>
      <c r="H221" t="str">
        <f>_xlfn.XLOOKUP(G221,SM[Employee ID],SM[Salesperson])</f>
        <v>Sneha Roy</v>
      </c>
      <c r="I221" t="str">
        <f>_xlfn.XLOOKUP(G221,SM[Employee ID],SM[Region])</f>
        <v>East</v>
      </c>
      <c r="J221" t="str">
        <f>_xlfn.XLOOKUP(G221,SM[Employee ID],SM[State/City])</f>
        <v>Kolkata</v>
      </c>
      <c r="K221" s="2">
        <f>_xlfn.XLOOKUP(Sales[[#This Row],[Order ID]],ST[Order ID],ST[Units Sold])</f>
        <v>3</v>
      </c>
      <c r="L221">
        <f t="shared" si="3"/>
        <v>12210</v>
      </c>
    </row>
    <row r="222" spans="1:12" x14ac:dyDescent="0.35">
      <c r="A222" s="7">
        <v>1232</v>
      </c>
      <c r="B222" s="1">
        <v>45180</v>
      </c>
      <c r="C222" s="2" t="s">
        <v>14</v>
      </c>
      <c r="D222" t="str">
        <f>_xlfn.XLOOKUP(Merged_Sales_Data!C222,PM[Product ID],PM[Product Name])</f>
        <v>Laptop Backpack</v>
      </c>
      <c r="E222" t="str">
        <f>VLOOKUP(C222,PM[],3,FALSE)</f>
        <v>Accessories</v>
      </c>
      <c r="F222">
        <f>_xlfn.XLOOKUP(C222,PM[Product ID],PM[Unit Price (₹)])</f>
        <v>1110</v>
      </c>
      <c r="G222" t="str">
        <f>_xlfn.XLOOKUP(Sales[[#This Row],[Order ID]],ST[Order ID],ST[Employee ID])</f>
        <v>E01</v>
      </c>
      <c r="H222" t="str">
        <f>_xlfn.XLOOKUP(G222,SM[Employee ID],SM[Salesperson])</f>
        <v>Aarav Sharma</v>
      </c>
      <c r="I222" t="str">
        <f>_xlfn.XLOOKUP(G222,SM[Employee ID],SM[Region])</f>
        <v>North</v>
      </c>
      <c r="J222" t="str">
        <f>_xlfn.XLOOKUP(G222,SM[Employee ID],SM[State/City])</f>
        <v>Lucknow</v>
      </c>
      <c r="K222" s="2">
        <f>_xlfn.XLOOKUP(Sales[[#This Row],[Order ID]],ST[Order ID],ST[Units Sold])</f>
        <v>1</v>
      </c>
      <c r="L222">
        <f t="shared" si="3"/>
        <v>1110</v>
      </c>
    </row>
    <row r="223" spans="1:12" x14ac:dyDescent="0.35">
      <c r="A223" s="7">
        <v>1231</v>
      </c>
      <c r="B223" s="1">
        <v>45182</v>
      </c>
      <c r="C223" s="2" t="s">
        <v>20</v>
      </c>
      <c r="D223" t="str">
        <f>_xlfn.XLOOKUP(Merged_Sales_Data!C223,PM[Product ID],PM[Product Name])</f>
        <v>Standing Desk</v>
      </c>
      <c r="E223" t="str">
        <f>VLOOKUP(C223,PM[],3,FALSE)</f>
        <v>Office Supplies</v>
      </c>
      <c r="F223">
        <f>_xlfn.XLOOKUP(C223,PM[Product ID],PM[Unit Price (₹)])</f>
        <v>11010</v>
      </c>
      <c r="G223" t="str">
        <f>_xlfn.XLOOKUP(Sales[[#This Row],[Order ID]],ST[Order ID],ST[Employee ID])</f>
        <v>E08</v>
      </c>
      <c r="H223" t="str">
        <f>_xlfn.XLOOKUP(G223,SM[Employee ID],SM[Salesperson])</f>
        <v>Neha Joshi</v>
      </c>
      <c r="I223" t="str">
        <f>_xlfn.XLOOKUP(G223,SM[Employee ID],SM[Region])</f>
        <v>West</v>
      </c>
      <c r="J223" t="str">
        <f>_xlfn.XLOOKUP(G223,SM[Employee ID],SM[State/City])</f>
        <v>Ahmedabad</v>
      </c>
      <c r="K223" s="2">
        <f>_xlfn.XLOOKUP(Sales[[#This Row],[Order ID]],ST[Order ID],ST[Units Sold])</f>
        <v>10</v>
      </c>
      <c r="L223">
        <f t="shared" si="3"/>
        <v>110100</v>
      </c>
    </row>
    <row r="224" spans="1:12" x14ac:dyDescent="0.35">
      <c r="A224" s="7">
        <v>1230</v>
      </c>
      <c r="B224" s="1">
        <v>45183</v>
      </c>
      <c r="C224" s="2" t="s">
        <v>18</v>
      </c>
      <c r="D224" t="str">
        <f>_xlfn.XLOOKUP(Merged_Sales_Data!C224,PM[Product ID],PM[Product Name])</f>
        <v>LED Monitor 24"</v>
      </c>
      <c r="E224" t="str">
        <f>VLOOKUP(C224,PM[],3,FALSE)</f>
        <v>Electronics</v>
      </c>
      <c r="F224">
        <f>_xlfn.XLOOKUP(C224,PM[Product ID],PM[Unit Price (₹)])</f>
        <v>7700</v>
      </c>
      <c r="G224" t="str">
        <f>_xlfn.XLOOKUP(Sales[[#This Row],[Order ID]],ST[Order ID],ST[Employee ID])</f>
        <v>E02</v>
      </c>
      <c r="H224" t="str">
        <f>_xlfn.XLOOKUP(G224,SM[Employee ID],SM[Salesperson])</f>
        <v>Ishita Verma</v>
      </c>
      <c r="I224" t="str">
        <f>_xlfn.XLOOKUP(G224,SM[Employee ID],SM[Region])</f>
        <v>North</v>
      </c>
      <c r="J224" t="str">
        <f>_xlfn.XLOOKUP(G224,SM[Employee ID],SM[State/City])</f>
        <v>Chandigarh</v>
      </c>
      <c r="K224" s="2">
        <f>_xlfn.XLOOKUP(Sales[[#This Row],[Order ID]],ST[Order ID],ST[Units Sold])</f>
        <v>3</v>
      </c>
      <c r="L224">
        <f t="shared" si="3"/>
        <v>23100</v>
      </c>
    </row>
    <row r="225" spans="1:12" x14ac:dyDescent="0.35">
      <c r="A225" s="7">
        <v>1228</v>
      </c>
      <c r="B225" s="1">
        <v>45185</v>
      </c>
      <c r="C225" s="2" t="s">
        <v>14</v>
      </c>
      <c r="D225" t="str">
        <f>_xlfn.XLOOKUP(Merged_Sales_Data!C225,PM[Product ID],PM[Product Name])</f>
        <v>Laptop Backpack</v>
      </c>
      <c r="E225" t="str">
        <f>VLOOKUP(C225,PM[],3,FALSE)</f>
        <v>Accessories</v>
      </c>
      <c r="F225">
        <f>_xlfn.XLOOKUP(C225,PM[Product ID],PM[Unit Price (₹)])</f>
        <v>1110</v>
      </c>
      <c r="G225" t="str">
        <f>_xlfn.XLOOKUP(Sales[[#This Row],[Order ID]],ST[Order ID],ST[Employee ID])</f>
        <v>E07</v>
      </c>
      <c r="H225" t="str">
        <f>_xlfn.XLOOKUP(G225,SM[Employee ID],SM[Salesperson])</f>
        <v>Aditya Kapoor</v>
      </c>
      <c r="I225" t="str">
        <f>_xlfn.XLOOKUP(G225,SM[Employee ID],SM[Region])</f>
        <v>West</v>
      </c>
      <c r="J225" t="str">
        <f>_xlfn.XLOOKUP(G225,SM[Employee ID],SM[State/City])</f>
        <v>Mumbai</v>
      </c>
      <c r="K225" s="2">
        <f>_xlfn.XLOOKUP(Sales[[#This Row],[Order ID]],ST[Order ID],ST[Units Sold])</f>
        <v>1</v>
      </c>
      <c r="L225">
        <f t="shared" si="3"/>
        <v>1110</v>
      </c>
    </row>
    <row r="226" spans="1:12" x14ac:dyDescent="0.35">
      <c r="A226" s="7">
        <v>1217</v>
      </c>
      <c r="B226" s="1">
        <v>45187</v>
      </c>
      <c r="C226" s="2" t="s">
        <v>10</v>
      </c>
      <c r="D226" t="str">
        <f>_xlfn.XLOOKUP(Merged_Sales_Data!C226,PM[Product ID],PM[Product Name])</f>
        <v>Filing Cabinet</v>
      </c>
      <c r="E226" t="str">
        <f>VLOOKUP(C226,PM[],3,FALSE)</f>
        <v>Furniture</v>
      </c>
      <c r="F226">
        <f>_xlfn.XLOOKUP(C226,PM[Product ID],PM[Unit Price (₹)])</f>
        <v>4070</v>
      </c>
      <c r="G226" t="str">
        <f>_xlfn.XLOOKUP(Sales[[#This Row],[Order ID]],ST[Order ID],ST[Employee ID])</f>
        <v>E04</v>
      </c>
      <c r="H226" t="str">
        <f>_xlfn.XLOOKUP(G226,SM[Employee ID],SM[Salesperson])</f>
        <v>Priya Nair</v>
      </c>
      <c r="I226" t="str">
        <f>_xlfn.XLOOKUP(G226,SM[Employee ID],SM[Region])</f>
        <v>South</v>
      </c>
      <c r="J226" t="str">
        <f>_xlfn.XLOOKUP(G226,SM[Employee ID],SM[State/City])</f>
        <v>Bengaluru</v>
      </c>
      <c r="K226" s="2">
        <f>_xlfn.XLOOKUP(Sales[[#This Row],[Order ID]],ST[Order ID],ST[Units Sold])</f>
        <v>1</v>
      </c>
      <c r="L226">
        <f t="shared" si="3"/>
        <v>4070</v>
      </c>
    </row>
    <row r="227" spans="1:12" x14ac:dyDescent="0.35">
      <c r="A227" s="7">
        <v>1216</v>
      </c>
      <c r="B227" s="1">
        <v>45188</v>
      </c>
      <c r="C227" s="2" t="s">
        <v>20</v>
      </c>
      <c r="D227" t="str">
        <f>_xlfn.XLOOKUP(Merged_Sales_Data!C227,PM[Product ID],PM[Product Name])</f>
        <v>Standing Desk</v>
      </c>
      <c r="E227" t="str">
        <f>VLOOKUP(C227,PM[],3,FALSE)</f>
        <v>Office Supplies</v>
      </c>
      <c r="F227">
        <f>_xlfn.XLOOKUP(C227,PM[Product ID],PM[Unit Price (₹)])</f>
        <v>11010</v>
      </c>
      <c r="G227" t="str">
        <f>_xlfn.XLOOKUP(Sales[[#This Row],[Order ID]],ST[Order ID],ST[Employee ID])</f>
        <v>E04</v>
      </c>
      <c r="H227" t="str">
        <f>_xlfn.XLOOKUP(G227,SM[Employee ID],SM[Salesperson])</f>
        <v>Priya Nair</v>
      </c>
      <c r="I227" t="str">
        <f>_xlfn.XLOOKUP(G227,SM[Employee ID],SM[Region])</f>
        <v>South</v>
      </c>
      <c r="J227" t="str">
        <f>_xlfn.XLOOKUP(G227,SM[Employee ID],SM[State/City])</f>
        <v>Bengaluru</v>
      </c>
      <c r="K227" s="2">
        <f>_xlfn.XLOOKUP(Sales[[#This Row],[Order ID]],ST[Order ID],ST[Units Sold])</f>
        <v>10</v>
      </c>
      <c r="L227">
        <f t="shared" si="3"/>
        <v>110100</v>
      </c>
    </row>
    <row r="228" spans="1:12" x14ac:dyDescent="0.35">
      <c r="A228" s="7">
        <v>1227</v>
      </c>
      <c r="B228" s="1">
        <v>45188</v>
      </c>
      <c r="C228" s="2" t="s">
        <v>20</v>
      </c>
      <c r="D228" t="str">
        <f>_xlfn.XLOOKUP(Merged_Sales_Data!C228,PM[Product ID],PM[Product Name])</f>
        <v>Standing Desk</v>
      </c>
      <c r="E228" t="str">
        <f>VLOOKUP(C228,PM[],3,FALSE)</f>
        <v>Office Supplies</v>
      </c>
      <c r="F228">
        <f>_xlfn.XLOOKUP(C228,PM[Product ID],PM[Unit Price (₹)])</f>
        <v>11010</v>
      </c>
      <c r="G228" t="str">
        <f>_xlfn.XLOOKUP(Sales[[#This Row],[Order ID]],ST[Order ID],ST[Employee ID])</f>
        <v>E08</v>
      </c>
      <c r="H228" t="str">
        <f>_xlfn.XLOOKUP(G228,SM[Employee ID],SM[Salesperson])</f>
        <v>Neha Joshi</v>
      </c>
      <c r="I228" t="str">
        <f>_xlfn.XLOOKUP(G228,SM[Employee ID],SM[Region])</f>
        <v>West</v>
      </c>
      <c r="J228" t="str">
        <f>_xlfn.XLOOKUP(G228,SM[Employee ID],SM[State/City])</f>
        <v>Ahmedabad</v>
      </c>
      <c r="K228" s="2">
        <f>_xlfn.XLOOKUP(Sales[[#This Row],[Order ID]],ST[Order ID],ST[Units Sold])</f>
        <v>1</v>
      </c>
      <c r="L228">
        <f t="shared" si="3"/>
        <v>11010</v>
      </c>
    </row>
    <row r="229" spans="1:12" x14ac:dyDescent="0.35">
      <c r="A229" s="7">
        <v>1222</v>
      </c>
      <c r="B229" s="1">
        <v>45189</v>
      </c>
      <c r="C229" s="2" t="s">
        <v>14</v>
      </c>
      <c r="D229" t="str">
        <f>_xlfn.XLOOKUP(Merged_Sales_Data!C229,PM[Product ID],PM[Product Name])</f>
        <v>Laptop Backpack</v>
      </c>
      <c r="E229" t="str">
        <f>VLOOKUP(C229,PM[],3,FALSE)</f>
        <v>Accessories</v>
      </c>
      <c r="F229">
        <f>_xlfn.XLOOKUP(C229,PM[Product ID],PM[Unit Price (₹)])</f>
        <v>1110</v>
      </c>
      <c r="G229" t="str">
        <f>_xlfn.XLOOKUP(Sales[[#This Row],[Order ID]],ST[Order ID],ST[Employee ID])</f>
        <v>E08</v>
      </c>
      <c r="H229" t="str">
        <f>_xlfn.XLOOKUP(G229,SM[Employee ID],SM[Salesperson])</f>
        <v>Neha Joshi</v>
      </c>
      <c r="I229" t="str">
        <f>_xlfn.XLOOKUP(G229,SM[Employee ID],SM[Region])</f>
        <v>West</v>
      </c>
      <c r="J229" t="str">
        <f>_xlfn.XLOOKUP(G229,SM[Employee ID],SM[State/City])</f>
        <v>Ahmedabad</v>
      </c>
      <c r="K229" s="2">
        <f>_xlfn.XLOOKUP(Sales[[#This Row],[Order ID]],ST[Order ID],ST[Units Sold])</f>
        <v>1</v>
      </c>
      <c r="L229">
        <f t="shared" si="3"/>
        <v>1110</v>
      </c>
    </row>
    <row r="230" spans="1:12" x14ac:dyDescent="0.35">
      <c r="A230" s="7">
        <v>1223</v>
      </c>
      <c r="B230" s="1">
        <v>45189</v>
      </c>
      <c r="C230" s="2" t="s">
        <v>10</v>
      </c>
      <c r="D230" t="str">
        <f>_xlfn.XLOOKUP(Merged_Sales_Data!C230,PM[Product ID],PM[Product Name])</f>
        <v>Filing Cabinet</v>
      </c>
      <c r="E230" t="str">
        <f>VLOOKUP(C230,PM[],3,FALSE)</f>
        <v>Furniture</v>
      </c>
      <c r="F230">
        <f>_xlfn.XLOOKUP(C230,PM[Product ID],PM[Unit Price (₹)])</f>
        <v>4070</v>
      </c>
      <c r="G230" t="str">
        <f>_xlfn.XLOOKUP(Sales[[#This Row],[Order ID]],ST[Order ID],ST[Employee ID])</f>
        <v>E01</v>
      </c>
      <c r="H230" t="str">
        <f>_xlfn.XLOOKUP(G230,SM[Employee ID],SM[Salesperson])</f>
        <v>Aarav Sharma</v>
      </c>
      <c r="I230" t="str">
        <f>_xlfn.XLOOKUP(G230,SM[Employee ID],SM[Region])</f>
        <v>North</v>
      </c>
      <c r="J230" t="str">
        <f>_xlfn.XLOOKUP(G230,SM[Employee ID],SM[State/City])</f>
        <v>Lucknow</v>
      </c>
      <c r="K230" s="2">
        <f>_xlfn.XLOOKUP(Sales[[#This Row],[Order ID]],ST[Order ID],ST[Units Sold])</f>
        <v>3</v>
      </c>
      <c r="L230">
        <f t="shared" si="3"/>
        <v>12210</v>
      </c>
    </row>
    <row r="231" spans="1:12" x14ac:dyDescent="0.35">
      <c r="A231" s="7">
        <v>1226</v>
      </c>
      <c r="B231" s="1">
        <v>45190</v>
      </c>
      <c r="C231" s="2" t="s">
        <v>14</v>
      </c>
      <c r="D231" t="str">
        <f>_xlfn.XLOOKUP(Merged_Sales_Data!C231,PM[Product ID],PM[Product Name])</f>
        <v>Laptop Backpack</v>
      </c>
      <c r="E231" t="str">
        <f>VLOOKUP(C231,PM[],3,FALSE)</f>
        <v>Accessories</v>
      </c>
      <c r="F231">
        <f>_xlfn.XLOOKUP(C231,PM[Product ID],PM[Unit Price (₹)])</f>
        <v>1110</v>
      </c>
      <c r="G231" t="str">
        <f>_xlfn.XLOOKUP(Sales[[#This Row],[Order ID]],ST[Order ID],ST[Employee ID])</f>
        <v>E03</v>
      </c>
      <c r="H231" t="str">
        <f>_xlfn.XLOOKUP(G231,SM[Employee ID],SM[Salesperson])</f>
        <v>Rohan Mehta</v>
      </c>
      <c r="I231" t="str">
        <f>_xlfn.XLOOKUP(G231,SM[Employee ID],SM[Region])</f>
        <v>South</v>
      </c>
      <c r="J231" t="str">
        <f>_xlfn.XLOOKUP(G231,SM[Employee ID],SM[State/City])</f>
        <v>Bengaluru</v>
      </c>
      <c r="K231" s="2">
        <f>_xlfn.XLOOKUP(Sales[[#This Row],[Order ID]],ST[Order ID],ST[Units Sold])</f>
        <v>6</v>
      </c>
      <c r="L231">
        <f t="shared" si="3"/>
        <v>6660</v>
      </c>
    </row>
    <row r="232" spans="1:12" x14ac:dyDescent="0.35">
      <c r="A232" s="7">
        <v>1213</v>
      </c>
      <c r="B232" s="1">
        <v>45192</v>
      </c>
      <c r="C232" s="2" t="s">
        <v>10</v>
      </c>
      <c r="D232" t="str">
        <f>_xlfn.XLOOKUP(Merged_Sales_Data!C232,PM[Product ID],PM[Product Name])</f>
        <v>Filing Cabinet</v>
      </c>
      <c r="E232" t="str">
        <f>VLOOKUP(C232,PM[],3,FALSE)</f>
        <v>Furniture</v>
      </c>
      <c r="F232">
        <f>_xlfn.XLOOKUP(C232,PM[Product ID],PM[Unit Price (₹)])</f>
        <v>4070</v>
      </c>
      <c r="G232" t="str">
        <f>_xlfn.XLOOKUP(Sales[[#This Row],[Order ID]],ST[Order ID],ST[Employee ID])</f>
        <v>E01</v>
      </c>
      <c r="H232" t="str">
        <f>_xlfn.XLOOKUP(G232,SM[Employee ID],SM[Salesperson])</f>
        <v>Aarav Sharma</v>
      </c>
      <c r="I232" t="str">
        <f>_xlfn.XLOOKUP(G232,SM[Employee ID],SM[Region])</f>
        <v>North</v>
      </c>
      <c r="J232" t="str">
        <f>_xlfn.XLOOKUP(G232,SM[Employee ID],SM[State/City])</f>
        <v>Lucknow</v>
      </c>
      <c r="K232" s="2">
        <f>_xlfn.XLOOKUP(Sales[[#This Row],[Order ID]],ST[Order ID],ST[Units Sold])</f>
        <v>5</v>
      </c>
      <c r="L232">
        <f t="shared" si="3"/>
        <v>20350</v>
      </c>
    </row>
    <row r="233" spans="1:12" x14ac:dyDescent="0.35">
      <c r="A233" s="7">
        <v>1233</v>
      </c>
      <c r="B233" s="1">
        <v>45194</v>
      </c>
      <c r="C233" s="2" t="s">
        <v>12</v>
      </c>
      <c r="D233" t="str">
        <f>_xlfn.XLOOKUP(Merged_Sales_Data!C233,PM[Product ID],PM[Product Name])</f>
        <v>Bookshelf Unit</v>
      </c>
      <c r="E233" t="str">
        <f>VLOOKUP(C233,PM[],3,FALSE)</f>
        <v>Furniture</v>
      </c>
      <c r="F233">
        <f>_xlfn.XLOOKUP(C233,PM[Product ID],PM[Unit Price (₹)])</f>
        <v>3910</v>
      </c>
      <c r="G233" t="str">
        <f>_xlfn.XLOOKUP(Sales[[#This Row],[Order ID]],ST[Order ID],ST[Employee ID])</f>
        <v>E05</v>
      </c>
      <c r="H233" t="str">
        <f>_xlfn.XLOOKUP(G233,SM[Employee ID],SM[Salesperson])</f>
        <v>Karan Malhotra</v>
      </c>
      <c r="I233" t="str">
        <f>_xlfn.XLOOKUP(G233,SM[Employee ID],SM[Region])</f>
        <v>East</v>
      </c>
      <c r="J233" t="str">
        <f>_xlfn.XLOOKUP(G233,SM[Employee ID],SM[State/City])</f>
        <v>Kolkata</v>
      </c>
      <c r="K233" s="2">
        <f>_xlfn.XLOOKUP(Sales[[#This Row],[Order ID]],ST[Order ID],ST[Units Sold])</f>
        <v>1</v>
      </c>
      <c r="L233">
        <f t="shared" si="3"/>
        <v>3910</v>
      </c>
    </row>
    <row r="234" spans="1:12" x14ac:dyDescent="0.35">
      <c r="A234" s="7">
        <v>1218</v>
      </c>
      <c r="B234" s="1">
        <v>45196</v>
      </c>
      <c r="C234" s="2" t="s">
        <v>18</v>
      </c>
      <c r="D234" t="str">
        <f>_xlfn.XLOOKUP(Merged_Sales_Data!C234,PM[Product ID],PM[Product Name])</f>
        <v>LED Monitor 24"</v>
      </c>
      <c r="E234" t="str">
        <f>VLOOKUP(C234,PM[],3,FALSE)</f>
        <v>Electronics</v>
      </c>
      <c r="F234">
        <f>_xlfn.XLOOKUP(C234,PM[Product ID],PM[Unit Price (₹)])</f>
        <v>7700</v>
      </c>
      <c r="G234" t="str">
        <f>_xlfn.XLOOKUP(Sales[[#This Row],[Order ID]],ST[Order ID],ST[Employee ID])</f>
        <v>E04</v>
      </c>
      <c r="H234" t="str">
        <f>_xlfn.XLOOKUP(G234,SM[Employee ID],SM[Salesperson])</f>
        <v>Priya Nair</v>
      </c>
      <c r="I234" t="str">
        <f>_xlfn.XLOOKUP(G234,SM[Employee ID],SM[Region])</f>
        <v>South</v>
      </c>
      <c r="J234" t="str">
        <f>_xlfn.XLOOKUP(G234,SM[Employee ID],SM[State/City])</f>
        <v>Bengaluru</v>
      </c>
      <c r="K234" s="2">
        <f>_xlfn.XLOOKUP(Sales[[#This Row],[Order ID]],ST[Order ID],ST[Units Sold])</f>
        <v>2</v>
      </c>
      <c r="L234">
        <f t="shared" si="3"/>
        <v>15400</v>
      </c>
    </row>
    <row r="235" spans="1:12" x14ac:dyDescent="0.35">
      <c r="A235" s="7">
        <v>1273</v>
      </c>
      <c r="B235" s="1">
        <v>45200</v>
      </c>
      <c r="C235" s="2" t="s">
        <v>20</v>
      </c>
      <c r="D235" t="str">
        <f>_xlfn.XLOOKUP(Merged_Sales_Data!C235,PM[Product ID],PM[Product Name])</f>
        <v>Standing Desk</v>
      </c>
      <c r="E235" t="str">
        <f>VLOOKUP(C235,PM[],3,FALSE)</f>
        <v>Office Supplies</v>
      </c>
      <c r="F235">
        <f>_xlfn.XLOOKUP(C235,PM[Product ID],PM[Unit Price (₹)])</f>
        <v>11010</v>
      </c>
      <c r="G235" t="str">
        <f>_xlfn.XLOOKUP(Sales[[#This Row],[Order ID]],ST[Order ID],ST[Employee ID])</f>
        <v>E08</v>
      </c>
      <c r="H235" t="str">
        <f>_xlfn.XLOOKUP(G235,SM[Employee ID],SM[Salesperson])</f>
        <v>Neha Joshi</v>
      </c>
      <c r="I235" t="str">
        <f>_xlfn.XLOOKUP(G235,SM[Employee ID],SM[Region])</f>
        <v>West</v>
      </c>
      <c r="J235" t="str">
        <f>_xlfn.XLOOKUP(G235,SM[Employee ID],SM[State/City])</f>
        <v>Ahmedabad</v>
      </c>
      <c r="K235" s="2">
        <f>_xlfn.XLOOKUP(Sales[[#This Row],[Order ID]],ST[Order ID],ST[Units Sold])</f>
        <v>10</v>
      </c>
      <c r="L235">
        <f t="shared" si="3"/>
        <v>110100</v>
      </c>
    </row>
    <row r="236" spans="1:12" x14ac:dyDescent="0.35">
      <c r="A236" s="7">
        <v>1240</v>
      </c>
      <c r="B236" s="1">
        <v>45202</v>
      </c>
      <c r="C236" s="2" t="s">
        <v>8</v>
      </c>
      <c r="D236" t="str">
        <f>_xlfn.XLOOKUP(Merged_Sales_Data!C236,PM[Product ID],PM[Product Name])</f>
        <v>USB-C Hub</v>
      </c>
      <c r="E236" t="str">
        <f>VLOOKUP(C236,PM[],3,FALSE)</f>
        <v>Accessories</v>
      </c>
      <c r="F236">
        <f>_xlfn.XLOOKUP(C236,PM[Product ID],PM[Unit Price (₹)])</f>
        <v>880</v>
      </c>
      <c r="G236" t="str">
        <f>_xlfn.XLOOKUP(Sales[[#This Row],[Order ID]],ST[Order ID],ST[Employee ID])</f>
        <v>E01</v>
      </c>
      <c r="H236" t="str">
        <f>_xlfn.XLOOKUP(G236,SM[Employee ID],SM[Salesperson])</f>
        <v>Aarav Sharma</v>
      </c>
      <c r="I236" t="str">
        <f>_xlfn.XLOOKUP(G236,SM[Employee ID],SM[Region])</f>
        <v>North</v>
      </c>
      <c r="J236" t="str">
        <f>_xlfn.XLOOKUP(G236,SM[Employee ID],SM[State/City])</f>
        <v>Lucknow</v>
      </c>
      <c r="K236" s="2">
        <f>_xlfn.XLOOKUP(Sales[[#This Row],[Order ID]],ST[Order ID],ST[Units Sold])</f>
        <v>4</v>
      </c>
      <c r="L236">
        <f t="shared" si="3"/>
        <v>3520</v>
      </c>
    </row>
    <row r="237" spans="1:12" x14ac:dyDescent="0.35">
      <c r="A237" s="7">
        <v>1238</v>
      </c>
      <c r="B237" s="1">
        <v>45203</v>
      </c>
      <c r="C237" s="2" t="s">
        <v>14</v>
      </c>
      <c r="D237" t="str">
        <f>_xlfn.XLOOKUP(Merged_Sales_Data!C237,PM[Product ID],PM[Product Name])</f>
        <v>Laptop Backpack</v>
      </c>
      <c r="E237" t="str">
        <f>VLOOKUP(C237,PM[],3,FALSE)</f>
        <v>Accessories</v>
      </c>
      <c r="F237">
        <f>_xlfn.XLOOKUP(C237,PM[Product ID],PM[Unit Price (₹)])</f>
        <v>1110</v>
      </c>
      <c r="G237" t="str">
        <f>_xlfn.XLOOKUP(Sales[[#This Row],[Order ID]],ST[Order ID],ST[Employee ID])</f>
        <v>E05</v>
      </c>
      <c r="H237" t="str">
        <f>_xlfn.XLOOKUP(G237,SM[Employee ID],SM[Salesperson])</f>
        <v>Karan Malhotra</v>
      </c>
      <c r="I237" t="str">
        <f>_xlfn.XLOOKUP(G237,SM[Employee ID],SM[Region])</f>
        <v>East</v>
      </c>
      <c r="J237" t="str">
        <f>_xlfn.XLOOKUP(G237,SM[Employee ID],SM[State/City])</f>
        <v>Kolkata</v>
      </c>
      <c r="K237" s="2">
        <f>_xlfn.XLOOKUP(Sales[[#This Row],[Order ID]],ST[Order ID],ST[Units Sold])</f>
        <v>5</v>
      </c>
      <c r="L237">
        <f t="shared" si="3"/>
        <v>5550</v>
      </c>
    </row>
    <row r="238" spans="1:12" x14ac:dyDescent="0.35">
      <c r="A238" s="7">
        <v>1256</v>
      </c>
      <c r="B238" s="1">
        <v>45203</v>
      </c>
      <c r="C238" s="2" t="s">
        <v>11</v>
      </c>
      <c r="D238" t="str">
        <f>_xlfn.XLOOKUP(Merged_Sales_Data!C238,PM[Product ID],PM[Product Name])</f>
        <v>Bluetooth Speaker</v>
      </c>
      <c r="E238" t="str">
        <f>VLOOKUP(C238,PM[],3,FALSE)</f>
        <v>Electronics</v>
      </c>
      <c r="F238">
        <f>_xlfn.XLOOKUP(C238,PM[Product ID],PM[Unit Price (₹)])</f>
        <v>1430</v>
      </c>
      <c r="G238" t="str">
        <f>_xlfn.XLOOKUP(Sales[[#This Row],[Order ID]],ST[Order ID],ST[Employee ID])</f>
        <v>E06</v>
      </c>
      <c r="H238" t="str">
        <f>_xlfn.XLOOKUP(G238,SM[Employee ID],SM[Salesperson])</f>
        <v>Sneha Roy</v>
      </c>
      <c r="I238" t="str">
        <f>_xlfn.XLOOKUP(G238,SM[Employee ID],SM[Region])</f>
        <v>East</v>
      </c>
      <c r="J238" t="str">
        <f>_xlfn.XLOOKUP(G238,SM[Employee ID],SM[State/City])</f>
        <v>Kolkata</v>
      </c>
      <c r="K238" s="2">
        <f>_xlfn.XLOOKUP(Sales[[#This Row],[Order ID]],ST[Order ID],ST[Units Sold])</f>
        <v>5</v>
      </c>
      <c r="L238">
        <f t="shared" si="3"/>
        <v>7150</v>
      </c>
    </row>
    <row r="239" spans="1:12" x14ac:dyDescent="0.35">
      <c r="A239" s="7">
        <v>1255</v>
      </c>
      <c r="B239" s="1">
        <v>45204</v>
      </c>
      <c r="C239" s="2" t="s">
        <v>14</v>
      </c>
      <c r="D239" t="str">
        <f>_xlfn.XLOOKUP(Merged_Sales_Data!C239,PM[Product ID],PM[Product Name])</f>
        <v>Laptop Backpack</v>
      </c>
      <c r="E239" t="str">
        <f>VLOOKUP(C239,PM[],3,FALSE)</f>
        <v>Accessories</v>
      </c>
      <c r="F239">
        <f>_xlfn.XLOOKUP(C239,PM[Product ID],PM[Unit Price (₹)])</f>
        <v>1110</v>
      </c>
      <c r="G239" t="str">
        <f>_xlfn.XLOOKUP(Sales[[#This Row],[Order ID]],ST[Order ID],ST[Employee ID])</f>
        <v>E03</v>
      </c>
      <c r="H239" t="str">
        <f>_xlfn.XLOOKUP(G239,SM[Employee ID],SM[Salesperson])</f>
        <v>Rohan Mehta</v>
      </c>
      <c r="I239" t="str">
        <f>_xlfn.XLOOKUP(G239,SM[Employee ID],SM[Region])</f>
        <v>South</v>
      </c>
      <c r="J239" t="str">
        <f>_xlfn.XLOOKUP(G239,SM[Employee ID],SM[State/City])</f>
        <v>Bengaluru</v>
      </c>
      <c r="K239" s="2">
        <f>_xlfn.XLOOKUP(Sales[[#This Row],[Order ID]],ST[Order ID],ST[Units Sold])</f>
        <v>1</v>
      </c>
      <c r="L239">
        <f t="shared" si="3"/>
        <v>1110</v>
      </c>
    </row>
    <row r="240" spans="1:12" x14ac:dyDescent="0.35">
      <c r="A240" s="7">
        <v>1271</v>
      </c>
      <c r="B240" s="1">
        <v>45204</v>
      </c>
      <c r="C240" s="2" t="s">
        <v>14</v>
      </c>
      <c r="D240" t="str">
        <f>_xlfn.XLOOKUP(Merged_Sales_Data!C240,PM[Product ID],PM[Product Name])</f>
        <v>Laptop Backpack</v>
      </c>
      <c r="E240" t="str">
        <f>VLOOKUP(C240,PM[],3,FALSE)</f>
        <v>Accessories</v>
      </c>
      <c r="F240">
        <f>_xlfn.XLOOKUP(C240,PM[Product ID],PM[Unit Price (₹)])</f>
        <v>1110</v>
      </c>
      <c r="G240" t="str">
        <f>_xlfn.XLOOKUP(Sales[[#This Row],[Order ID]],ST[Order ID],ST[Employee ID])</f>
        <v>E04</v>
      </c>
      <c r="H240" t="str">
        <f>_xlfn.XLOOKUP(G240,SM[Employee ID],SM[Salesperson])</f>
        <v>Priya Nair</v>
      </c>
      <c r="I240" t="str">
        <f>_xlfn.XLOOKUP(G240,SM[Employee ID],SM[Region])</f>
        <v>South</v>
      </c>
      <c r="J240" t="str">
        <f>_xlfn.XLOOKUP(G240,SM[Employee ID],SM[State/City])</f>
        <v>Bengaluru</v>
      </c>
      <c r="K240" s="2">
        <f>_xlfn.XLOOKUP(Sales[[#This Row],[Order ID]],ST[Order ID],ST[Units Sold])</f>
        <v>8</v>
      </c>
      <c r="L240">
        <f t="shared" si="3"/>
        <v>8880</v>
      </c>
    </row>
    <row r="241" spans="1:12" x14ac:dyDescent="0.35">
      <c r="A241" s="7">
        <v>1265</v>
      </c>
      <c r="B241" s="1">
        <v>45205</v>
      </c>
      <c r="C241" s="2" t="s">
        <v>11</v>
      </c>
      <c r="D241" t="str">
        <f>_xlfn.XLOOKUP(Merged_Sales_Data!C241,PM[Product ID],PM[Product Name])</f>
        <v>Bluetooth Speaker</v>
      </c>
      <c r="E241" t="str">
        <f>VLOOKUP(C241,PM[],3,FALSE)</f>
        <v>Electronics</v>
      </c>
      <c r="F241">
        <f>_xlfn.XLOOKUP(C241,PM[Product ID],PM[Unit Price (₹)])</f>
        <v>1430</v>
      </c>
      <c r="G241" t="str">
        <f>_xlfn.XLOOKUP(Sales[[#This Row],[Order ID]],ST[Order ID],ST[Employee ID])</f>
        <v>E02</v>
      </c>
      <c r="H241" t="str">
        <f>_xlfn.XLOOKUP(G241,SM[Employee ID],SM[Salesperson])</f>
        <v>Ishita Verma</v>
      </c>
      <c r="I241" t="str">
        <f>_xlfn.XLOOKUP(G241,SM[Employee ID],SM[Region])</f>
        <v>North</v>
      </c>
      <c r="J241" t="str">
        <f>_xlfn.XLOOKUP(G241,SM[Employee ID],SM[State/City])</f>
        <v>Chandigarh</v>
      </c>
      <c r="K241" s="2">
        <f>_xlfn.XLOOKUP(Sales[[#This Row],[Order ID]],ST[Order ID],ST[Units Sold])</f>
        <v>5</v>
      </c>
      <c r="L241">
        <f t="shared" si="3"/>
        <v>7150</v>
      </c>
    </row>
    <row r="242" spans="1:12" x14ac:dyDescent="0.35">
      <c r="A242" s="7">
        <v>1269</v>
      </c>
      <c r="B242" s="1">
        <v>45205</v>
      </c>
      <c r="C242" s="2" t="s">
        <v>18</v>
      </c>
      <c r="D242" t="str">
        <f>_xlfn.XLOOKUP(Merged_Sales_Data!C242,PM[Product ID],PM[Product Name])</f>
        <v>LED Monitor 24"</v>
      </c>
      <c r="E242" t="str">
        <f>VLOOKUP(C242,PM[],3,FALSE)</f>
        <v>Electronics</v>
      </c>
      <c r="F242">
        <f>_xlfn.XLOOKUP(C242,PM[Product ID],PM[Unit Price (₹)])</f>
        <v>7700</v>
      </c>
      <c r="G242" t="str">
        <f>_xlfn.XLOOKUP(Sales[[#This Row],[Order ID]],ST[Order ID],ST[Employee ID])</f>
        <v>E07</v>
      </c>
      <c r="H242" t="str">
        <f>_xlfn.XLOOKUP(G242,SM[Employee ID],SM[Salesperson])</f>
        <v>Aditya Kapoor</v>
      </c>
      <c r="I242" t="str">
        <f>_xlfn.XLOOKUP(G242,SM[Employee ID],SM[Region])</f>
        <v>West</v>
      </c>
      <c r="J242" t="str">
        <f>_xlfn.XLOOKUP(G242,SM[Employee ID],SM[State/City])</f>
        <v>Mumbai</v>
      </c>
      <c r="K242" s="2">
        <f>_xlfn.XLOOKUP(Sales[[#This Row],[Order ID]],ST[Order ID],ST[Units Sold])</f>
        <v>1</v>
      </c>
      <c r="L242">
        <f t="shared" si="3"/>
        <v>7700</v>
      </c>
    </row>
    <row r="243" spans="1:12" x14ac:dyDescent="0.35">
      <c r="A243" s="7">
        <v>1236</v>
      </c>
      <c r="B243" s="1">
        <v>45206</v>
      </c>
      <c r="C243" s="2" t="s">
        <v>14</v>
      </c>
      <c r="D243" t="str">
        <f>_xlfn.XLOOKUP(Merged_Sales_Data!C243,PM[Product ID],PM[Product Name])</f>
        <v>Laptop Backpack</v>
      </c>
      <c r="E243" t="str">
        <f>VLOOKUP(C243,PM[],3,FALSE)</f>
        <v>Accessories</v>
      </c>
      <c r="F243">
        <f>_xlfn.XLOOKUP(C243,PM[Product ID],PM[Unit Price (₹)])</f>
        <v>1110</v>
      </c>
      <c r="G243" t="str">
        <f>_xlfn.XLOOKUP(Sales[[#This Row],[Order ID]],ST[Order ID],ST[Employee ID])</f>
        <v>E08</v>
      </c>
      <c r="H243" t="str">
        <f>_xlfn.XLOOKUP(G243,SM[Employee ID],SM[Salesperson])</f>
        <v>Neha Joshi</v>
      </c>
      <c r="I243" t="str">
        <f>_xlfn.XLOOKUP(G243,SM[Employee ID],SM[Region])</f>
        <v>West</v>
      </c>
      <c r="J243" t="str">
        <f>_xlfn.XLOOKUP(G243,SM[Employee ID],SM[State/City])</f>
        <v>Ahmedabad</v>
      </c>
      <c r="K243" s="2">
        <f>_xlfn.XLOOKUP(Sales[[#This Row],[Order ID]],ST[Order ID],ST[Units Sold])</f>
        <v>1</v>
      </c>
      <c r="L243">
        <f t="shared" si="3"/>
        <v>1110</v>
      </c>
    </row>
    <row r="244" spans="1:12" x14ac:dyDescent="0.35">
      <c r="A244" s="7">
        <v>1247</v>
      </c>
      <c r="B244" s="1">
        <v>45208</v>
      </c>
      <c r="C244" s="2" t="s">
        <v>12</v>
      </c>
      <c r="D244" t="str">
        <f>_xlfn.XLOOKUP(Merged_Sales_Data!C244,PM[Product ID],PM[Product Name])</f>
        <v>Bookshelf Unit</v>
      </c>
      <c r="E244" t="str">
        <f>VLOOKUP(C244,PM[],3,FALSE)</f>
        <v>Furniture</v>
      </c>
      <c r="F244">
        <f>_xlfn.XLOOKUP(C244,PM[Product ID],PM[Unit Price (₹)])</f>
        <v>3910</v>
      </c>
      <c r="G244" t="str">
        <f>_xlfn.XLOOKUP(Sales[[#This Row],[Order ID]],ST[Order ID],ST[Employee ID])</f>
        <v>E07</v>
      </c>
      <c r="H244" t="str">
        <f>_xlfn.XLOOKUP(G244,SM[Employee ID],SM[Salesperson])</f>
        <v>Aditya Kapoor</v>
      </c>
      <c r="I244" t="str">
        <f>_xlfn.XLOOKUP(G244,SM[Employee ID],SM[Region])</f>
        <v>West</v>
      </c>
      <c r="J244" t="str">
        <f>_xlfn.XLOOKUP(G244,SM[Employee ID],SM[State/City])</f>
        <v>Mumbai</v>
      </c>
      <c r="K244" s="2">
        <f>_xlfn.XLOOKUP(Sales[[#This Row],[Order ID]],ST[Order ID],ST[Units Sold])</f>
        <v>6</v>
      </c>
      <c r="L244">
        <f t="shared" si="3"/>
        <v>23460</v>
      </c>
    </row>
    <row r="245" spans="1:12" x14ac:dyDescent="0.35">
      <c r="A245" s="7">
        <v>1272</v>
      </c>
      <c r="B245" s="1">
        <v>45208</v>
      </c>
      <c r="C245" s="2" t="s">
        <v>14</v>
      </c>
      <c r="D245" t="str">
        <f>_xlfn.XLOOKUP(Merged_Sales_Data!C245,PM[Product ID],PM[Product Name])</f>
        <v>Laptop Backpack</v>
      </c>
      <c r="E245" t="str">
        <f>VLOOKUP(C245,PM[],3,FALSE)</f>
        <v>Accessories</v>
      </c>
      <c r="F245">
        <f>_xlfn.XLOOKUP(C245,PM[Product ID],PM[Unit Price (₹)])</f>
        <v>1110</v>
      </c>
      <c r="G245" t="str">
        <f>_xlfn.XLOOKUP(Sales[[#This Row],[Order ID]],ST[Order ID],ST[Employee ID])</f>
        <v>E04</v>
      </c>
      <c r="H245" t="str">
        <f>_xlfn.XLOOKUP(G245,SM[Employee ID],SM[Salesperson])</f>
        <v>Priya Nair</v>
      </c>
      <c r="I245" t="str">
        <f>_xlfn.XLOOKUP(G245,SM[Employee ID],SM[Region])</f>
        <v>South</v>
      </c>
      <c r="J245" t="str">
        <f>_xlfn.XLOOKUP(G245,SM[Employee ID],SM[State/City])</f>
        <v>Bengaluru</v>
      </c>
      <c r="K245" s="2">
        <f>_xlfn.XLOOKUP(Sales[[#This Row],[Order ID]],ST[Order ID],ST[Units Sold])</f>
        <v>10</v>
      </c>
      <c r="L245">
        <f t="shared" si="3"/>
        <v>11100</v>
      </c>
    </row>
    <row r="246" spans="1:12" x14ac:dyDescent="0.35">
      <c r="A246" s="7">
        <v>1239</v>
      </c>
      <c r="B246" s="1">
        <v>45209</v>
      </c>
      <c r="C246" s="2" t="s">
        <v>5</v>
      </c>
      <c r="D246" t="str">
        <f>_xlfn.XLOOKUP(Merged_Sales_Data!C246,PM[Product ID],PM[Product Name])</f>
        <v>Ergo Office Chair</v>
      </c>
      <c r="E246" t="str">
        <f>VLOOKUP(C246,PM[],3,FALSE)</f>
        <v>Office Supplies</v>
      </c>
      <c r="F246">
        <f>_xlfn.XLOOKUP(C246,PM[Product ID],PM[Unit Price (₹)])</f>
        <v>6750</v>
      </c>
      <c r="G246" t="str">
        <f>_xlfn.XLOOKUP(Sales[[#This Row],[Order ID]],ST[Order ID],ST[Employee ID])</f>
        <v>E01</v>
      </c>
      <c r="H246" t="str">
        <f>_xlfn.XLOOKUP(G246,SM[Employee ID],SM[Salesperson])</f>
        <v>Aarav Sharma</v>
      </c>
      <c r="I246" t="str">
        <f>_xlfn.XLOOKUP(G246,SM[Employee ID],SM[Region])</f>
        <v>North</v>
      </c>
      <c r="J246" t="str">
        <f>_xlfn.XLOOKUP(G246,SM[Employee ID],SM[State/City])</f>
        <v>Lucknow</v>
      </c>
      <c r="K246" s="2">
        <f>_xlfn.XLOOKUP(Sales[[#This Row],[Order ID]],ST[Order ID],ST[Units Sold])</f>
        <v>1</v>
      </c>
      <c r="L246">
        <f t="shared" si="3"/>
        <v>6750</v>
      </c>
    </row>
    <row r="247" spans="1:12" x14ac:dyDescent="0.35">
      <c r="A247" s="7">
        <v>1253</v>
      </c>
      <c r="B247" s="1">
        <v>45210</v>
      </c>
      <c r="C247" s="2" t="s">
        <v>10</v>
      </c>
      <c r="D247" t="str">
        <f>_xlfn.XLOOKUP(Merged_Sales_Data!C247,PM[Product ID],PM[Product Name])</f>
        <v>Filing Cabinet</v>
      </c>
      <c r="E247" t="str">
        <f>VLOOKUP(C247,PM[],3,FALSE)</f>
        <v>Furniture</v>
      </c>
      <c r="F247">
        <f>_xlfn.XLOOKUP(C247,PM[Product ID],PM[Unit Price (₹)])</f>
        <v>4070</v>
      </c>
      <c r="G247" t="str">
        <f>_xlfn.XLOOKUP(Sales[[#This Row],[Order ID]],ST[Order ID],ST[Employee ID])</f>
        <v>E04</v>
      </c>
      <c r="H247" t="str">
        <f>_xlfn.XLOOKUP(G247,SM[Employee ID],SM[Salesperson])</f>
        <v>Priya Nair</v>
      </c>
      <c r="I247" t="str">
        <f>_xlfn.XLOOKUP(G247,SM[Employee ID],SM[Region])</f>
        <v>South</v>
      </c>
      <c r="J247" t="str">
        <f>_xlfn.XLOOKUP(G247,SM[Employee ID],SM[State/City])</f>
        <v>Bengaluru</v>
      </c>
      <c r="K247" s="2">
        <f>_xlfn.XLOOKUP(Sales[[#This Row],[Order ID]],ST[Order ID],ST[Units Sold])</f>
        <v>1</v>
      </c>
      <c r="L247">
        <f t="shared" si="3"/>
        <v>4070</v>
      </c>
    </row>
    <row r="248" spans="1:12" x14ac:dyDescent="0.35">
      <c r="A248" s="7">
        <v>1266</v>
      </c>
      <c r="B248" s="1">
        <v>45210</v>
      </c>
      <c r="C248" s="2" t="s">
        <v>21</v>
      </c>
      <c r="D248" t="str">
        <f>_xlfn.XLOOKUP(Merged_Sales_Data!C248,PM[Product ID],PM[Product Name])</f>
        <v>Wireless Mouse</v>
      </c>
      <c r="E248" t="str">
        <f>VLOOKUP(C248,PM[],3,FALSE)</f>
        <v>Electronics</v>
      </c>
      <c r="F248">
        <f>_xlfn.XLOOKUP(C248,PM[Product ID],PM[Unit Price (₹)])</f>
        <v>780</v>
      </c>
      <c r="G248" t="str">
        <f>_xlfn.XLOOKUP(Sales[[#This Row],[Order ID]],ST[Order ID],ST[Employee ID])</f>
        <v>E05</v>
      </c>
      <c r="H248" t="str">
        <f>_xlfn.XLOOKUP(G248,SM[Employee ID],SM[Salesperson])</f>
        <v>Karan Malhotra</v>
      </c>
      <c r="I248" t="str">
        <f>_xlfn.XLOOKUP(G248,SM[Employee ID],SM[Region])</f>
        <v>East</v>
      </c>
      <c r="J248" t="str">
        <f>_xlfn.XLOOKUP(G248,SM[Employee ID],SM[State/City])</f>
        <v>Kolkata</v>
      </c>
      <c r="K248" s="2">
        <f>_xlfn.XLOOKUP(Sales[[#This Row],[Order ID]],ST[Order ID],ST[Units Sold])</f>
        <v>1</v>
      </c>
      <c r="L248">
        <f t="shared" si="3"/>
        <v>780</v>
      </c>
    </row>
    <row r="249" spans="1:12" x14ac:dyDescent="0.35">
      <c r="A249" s="7">
        <v>1235</v>
      </c>
      <c r="B249" s="1">
        <v>45211</v>
      </c>
      <c r="C249" s="2" t="s">
        <v>5</v>
      </c>
      <c r="D249" t="str">
        <f>_xlfn.XLOOKUP(Merged_Sales_Data!C249,PM[Product ID],PM[Product Name])</f>
        <v>Ergo Office Chair</v>
      </c>
      <c r="E249" t="str">
        <f>VLOOKUP(C249,PM[],3,FALSE)</f>
        <v>Office Supplies</v>
      </c>
      <c r="F249">
        <f>_xlfn.XLOOKUP(C249,PM[Product ID],PM[Unit Price (₹)])</f>
        <v>6750</v>
      </c>
      <c r="G249" t="str">
        <f>_xlfn.XLOOKUP(Sales[[#This Row],[Order ID]],ST[Order ID],ST[Employee ID])</f>
        <v>E01</v>
      </c>
      <c r="H249" t="str">
        <f>_xlfn.XLOOKUP(G249,SM[Employee ID],SM[Salesperson])</f>
        <v>Aarav Sharma</v>
      </c>
      <c r="I249" t="str">
        <f>_xlfn.XLOOKUP(G249,SM[Employee ID],SM[Region])</f>
        <v>North</v>
      </c>
      <c r="J249" t="str">
        <f>_xlfn.XLOOKUP(G249,SM[Employee ID],SM[State/City])</f>
        <v>Lucknow</v>
      </c>
      <c r="K249" s="2">
        <f>_xlfn.XLOOKUP(Sales[[#This Row],[Order ID]],ST[Order ID],ST[Units Sold])</f>
        <v>6</v>
      </c>
      <c r="L249">
        <f t="shared" si="3"/>
        <v>40500</v>
      </c>
    </row>
    <row r="250" spans="1:12" x14ac:dyDescent="0.35">
      <c r="A250" s="7">
        <v>1267</v>
      </c>
      <c r="B250" s="1">
        <v>45211</v>
      </c>
      <c r="C250" s="2" t="s">
        <v>20</v>
      </c>
      <c r="D250" t="str">
        <f>_xlfn.XLOOKUP(Merged_Sales_Data!C250,PM[Product ID],PM[Product Name])</f>
        <v>Standing Desk</v>
      </c>
      <c r="E250" t="str">
        <f>VLOOKUP(C250,PM[],3,FALSE)</f>
        <v>Office Supplies</v>
      </c>
      <c r="F250">
        <f>_xlfn.XLOOKUP(C250,PM[Product ID],PM[Unit Price (₹)])</f>
        <v>11010</v>
      </c>
      <c r="G250" t="str">
        <f>_xlfn.XLOOKUP(Sales[[#This Row],[Order ID]],ST[Order ID],ST[Employee ID])</f>
        <v>E01</v>
      </c>
      <c r="H250" t="str">
        <f>_xlfn.XLOOKUP(G250,SM[Employee ID],SM[Salesperson])</f>
        <v>Aarav Sharma</v>
      </c>
      <c r="I250" t="str">
        <f>_xlfn.XLOOKUP(G250,SM[Employee ID],SM[Region])</f>
        <v>North</v>
      </c>
      <c r="J250" t="str">
        <f>_xlfn.XLOOKUP(G250,SM[Employee ID],SM[State/City])</f>
        <v>Lucknow</v>
      </c>
      <c r="K250" s="2">
        <f>_xlfn.XLOOKUP(Sales[[#This Row],[Order ID]],ST[Order ID],ST[Units Sold])</f>
        <v>3</v>
      </c>
      <c r="L250">
        <f t="shared" si="3"/>
        <v>33030</v>
      </c>
    </row>
    <row r="251" spans="1:12" x14ac:dyDescent="0.35">
      <c r="A251" s="7">
        <v>1252</v>
      </c>
      <c r="B251" s="1">
        <v>45212</v>
      </c>
      <c r="C251" s="2" t="s">
        <v>5</v>
      </c>
      <c r="D251" t="str">
        <f>_xlfn.XLOOKUP(Merged_Sales_Data!C251,PM[Product ID],PM[Product Name])</f>
        <v>Ergo Office Chair</v>
      </c>
      <c r="E251" t="str">
        <f>VLOOKUP(C251,PM[],3,FALSE)</f>
        <v>Office Supplies</v>
      </c>
      <c r="F251">
        <f>_xlfn.XLOOKUP(C251,PM[Product ID],PM[Unit Price (₹)])</f>
        <v>6750</v>
      </c>
      <c r="G251" t="str">
        <f>_xlfn.XLOOKUP(Sales[[#This Row],[Order ID]],ST[Order ID],ST[Employee ID])</f>
        <v>E04</v>
      </c>
      <c r="H251" t="str">
        <f>_xlfn.XLOOKUP(G251,SM[Employee ID],SM[Salesperson])</f>
        <v>Priya Nair</v>
      </c>
      <c r="I251" t="str">
        <f>_xlfn.XLOOKUP(G251,SM[Employee ID],SM[Region])</f>
        <v>South</v>
      </c>
      <c r="J251" t="str">
        <f>_xlfn.XLOOKUP(G251,SM[Employee ID],SM[State/City])</f>
        <v>Bengaluru</v>
      </c>
      <c r="K251" s="2">
        <f>_xlfn.XLOOKUP(Sales[[#This Row],[Order ID]],ST[Order ID],ST[Units Sold])</f>
        <v>8</v>
      </c>
      <c r="L251">
        <f t="shared" si="3"/>
        <v>54000</v>
      </c>
    </row>
    <row r="252" spans="1:12" x14ac:dyDescent="0.35">
      <c r="A252" s="7">
        <v>1234</v>
      </c>
      <c r="B252" s="1">
        <v>45213</v>
      </c>
      <c r="C252" s="2" t="s">
        <v>8</v>
      </c>
      <c r="D252" t="str">
        <f>_xlfn.XLOOKUP(Merged_Sales_Data!C252,PM[Product ID],PM[Product Name])</f>
        <v>USB-C Hub</v>
      </c>
      <c r="E252" t="str">
        <f>VLOOKUP(C252,PM[],3,FALSE)</f>
        <v>Accessories</v>
      </c>
      <c r="F252">
        <f>_xlfn.XLOOKUP(C252,PM[Product ID],PM[Unit Price (₹)])</f>
        <v>880</v>
      </c>
      <c r="G252" t="str">
        <f>_xlfn.XLOOKUP(Sales[[#This Row],[Order ID]],ST[Order ID],ST[Employee ID])</f>
        <v>E01</v>
      </c>
      <c r="H252" t="str">
        <f>_xlfn.XLOOKUP(G252,SM[Employee ID],SM[Salesperson])</f>
        <v>Aarav Sharma</v>
      </c>
      <c r="I252" t="str">
        <f>_xlfn.XLOOKUP(G252,SM[Employee ID],SM[Region])</f>
        <v>North</v>
      </c>
      <c r="J252" t="str">
        <f>_xlfn.XLOOKUP(G252,SM[Employee ID],SM[State/City])</f>
        <v>Lucknow</v>
      </c>
      <c r="K252" s="2">
        <f>_xlfn.XLOOKUP(Sales[[#This Row],[Order ID]],ST[Order ID],ST[Units Sold])</f>
        <v>5</v>
      </c>
      <c r="L252">
        <f t="shared" si="3"/>
        <v>4400</v>
      </c>
    </row>
    <row r="253" spans="1:12" x14ac:dyDescent="0.35">
      <c r="A253" s="7">
        <v>1243</v>
      </c>
      <c r="B253" s="1">
        <v>45213</v>
      </c>
      <c r="C253" s="2" t="s">
        <v>8</v>
      </c>
      <c r="D253" t="str">
        <f>_xlfn.XLOOKUP(Merged_Sales_Data!C253,PM[Product ID],PM[Product Name])</f>
        <v>USB-C Hub</v>
      </c>
      <c r="E253" t="str">
        <f>VLOOKUP(C253,PM[],3,FALSE)</f>
        <v>Accessories</v>
      </c>
      <c r="F253">
        <f>_xlfn.XLOOKUP(C253,PM[Product ID],PM[Unit Price (₹)])</f>
        <v>880</v>
      </c>
      <c r="G253" t="str">
        <f>_xlfn.XLOOKUP(Sales[[#This Row],[Order ID]],ST[Order ID],ST[Employee ID])</f>
        <v>E05</v>
      </c>
      <c r="H253" t="str">
        <f>_xlfn.XLOOKUP(G253,SM[Employee ID],SM[Salesperson])</f>
        <v>Karan Malhotra</v>
      </c>
      <c r="I253" t="str">
        <f>_xlfn.XLOOKUP(G253,SM[Employee ID],SM[Region])</f>
        <v>East</v>
      </c>
      <c r="J253" t="str">
        <f>_xlfn.XLOOKUP(G253,SM[Employee ID],SM[State/City])</f>
        <v>Kolkata</v>
      </c>
      <c r="K253" s="2">
        <f>_xlfn.XLOOKUP(Sales[[#This Row],[Order ID]],ST[Order ID],ST[Units Sold])</f>
        <v>2</v>
      </c>
      <c r="L253">
        <f t="shared" si="3"/>
        <v>1760</v>
      </c>
    </row>
    <row r="254" spans="1:12" x14ac:dyDescent="0.35">
      <c r="A254" s="7">
        <v>1257</v>
      </c>
      <c r="B254" s="1">
        <v>45213</v>
      </c>
      <c r="C254" s="2" t="s">
        <v>21</v>
      </c>
      <c r="D254" t="str">
        <f>_xlfn.XLOOKUP(Merged_Sales_Data!C254,PM[Product ID],PM[Product Name])</f>
        <v>Wireless Mouse</v>
      </c>
      <c r="E254" t="str">
        <f>VLOOKUP(C254,PM[],3,FALSE)</f>
        <v>Electronics</v>
      </c>
      <c r="F254">
        <f>_xlfn.XLOOKUP(C254,PM[Product ID],PM[Unit Price (₹)])</f>
        <v>780</v>
      </c>
      <c r="G254" t="str">
        <f>_xlfn.XLOOKUP(Sales[[#This Row],[Order ID]],ST[Order ID],ST[Employee ID])</f>
        <v>E08</v>
      </c>
      <c r="H254" t="str">
        <f>_xlfn.XLOOKUP(G254,SM[Employee ID],SM[Salesperson])</f>
        <v>Neha Joshi</v>
      </c>
      <c r="I254" t="str">
        <f>_xlfn.XLOOKUP(G254,SM[Employee ID],SM[Region])</f>
        <v>West</v>
      </c>
      <c r="J254" t="str">
        <f>_xlfn.XLOOKUP(G254,SM[Employee ID],SM[State/City])</f>
        <v>Ahmedabad</v>
      </c>
      <c r="K254" s="2">
        <f>_xlfn.XLOOKUP(Sales[[#This Row],[Order ID]],ST[Order ID],ST[Units Sold])</f>
        <v>1</v>
      </c>
      <c r="L254">
        <f t="shared" si="3"/>
        <v>780</v>
      </c>
    </row>
    <row r="255" spans="1:12" x14ac:dyDescent="0.35">
      <c r="A255" s="7">
        <v>1264</v>
      </c>
      <c r="B255" s="1">
        <v>45213</v>
      </c>
      <c r="C255" s="2" t="s">
        <v>5</v>
      </c>
      <c r="D255" t="str">
        <f>_xlfn.XLOOKUP(Merged_Sales_Data!C255,PM[Product ID],PM[Product Name])</f>
        <v>Ergo Office Chair</v>
      </c>
      <c r="E255" t="str">
        <f>VLOOKUP(C255,PM[],3,FALSE)</f>
        <v>Office Supplies</v>
      </c>
      <c r="F255">
        <f>_xlfn.XLOOKUP(C255,PM[Product ID],PM[Unit Price (₹)])</f>
        <v>6750</v>
      </c>
      <c r="G255" t="str">
        <f>_xlfn.XLOOKUP(Sales[[#This Row],[Order ID]],ST[Order ID],ST[Employee ID])</f>
        <v>E05</v>
      </c>
      <c r="H255" t="str">
        <f>_xlfn.XLOOKUP(G255,SM[Employee ID],SM[Salesperson])</f>
        <v>Karan Malhotra</v>
      </c>
      <c r="I255" t="str">
        <f>_xlfn.XLOOKUP(G255,SM[Employee ID],SM[Region])</f>
        <v>East</v>
      </c>
      <c r="J255" t="str">
        <f>_xlfn.XLOOKUP(G255,SM[Employee ID],SM[State/City])</f>
        <v>Kolkata</v>
      </c>
      <c r="K255" s="2">
        <f>_xlfn.XLOOKUP(Sales[[#This Row],[Order ID]],ST[Order ID],ST[Units Sold])</f>
        <v>1</v>
      </c>
      <c r="L255">
        <f t="shared" si="3"/>
        <v>6750</v>
      </c>
    </row>
    <row r="256" spans="1:12" x14ac:dyDescent="0.35">
      <c r="A256" s="7">
        <v>1244</v>
      </c>
      <c r="B256" s="1">
        <v>45214</v>
      </c>
      <c r="C256" s="2" t="s">
        <v>14</v>
      </c>
      <c r="D256" t="str">
        <f>_xlfn.XLOOKUP(Merged_Sales_Data!C256,PM[Product ID],PM[Product Name])</f>
        <v>Laptop Backpack</v>
      </c>
      <c r="E256" t="str">
        <f>VLOOKUP(C256,PM[],3,FALSE)</f>
        <v>Accessories</v>
      </c>
      <c r="F256">
        <f>_xlfn.XLOOKUP(C256,PM[Product ID],PM[Unit Price (₹)])</f>
        <v>1110</v>
      </c>
      <c r="G256" t="str">
        <f>_xlfn.XLOOKUP(Sales[[#This Row],[Order ID]],ST[Order ID],ST[Employee ID])</f>
        <v>E08</v>
      </c>
      <c r="H256" t="str">
        <f>_xlfn.XLOOKUP(G256,SM[Employee ID],SM[Salesperson])</f>
        <v>Neha Joshi</v>
      </c>
      <c r="I256" t="str">
        <f>_xlfn.XLOOKUP(G256,SM[Employee ID],SM[Region])</f>
        <v>West</v>
      </c>
      <c r="J256" t="str">
        <f>_xlfn.XLOOKUP(G256,SM[Employee ID],SM[State/City])</f>
        <v>Ahmedabad</v>
      </c>
      <c r="K256" s="2">
        <f>_xlfn.XLOOKUP(Sales[[#This Row],[Order ID]],ST[Order ID],ST[Units Sold])</f>
        <v>2</v>
      </c>
      <c r="L256">
        <f t="shared" si="3"/>
        <v>2220</v>
      </c>
    </row>
    <row r="257" spans="1:12" x14ac:dyDescent="0.35">
      <c r="A257" s="7">
        <v>1268</v>
      </c>
      <c r="B257" s="1">
        <v>45216</v>
      </c>
      <c r="C257" s="2" t="s">
        <v>18</v>
      </c>
      <c r="D257" t="str">
        <f>_xlfn.XLOOKUP(Merged_Sales_Data!C257,PM[Product ID],PM[Product Name])</f>
        <v>LED Monitor 24"</v>
      </c>
      <c r="E257" t="str">
        <f>VLOOKUP(C257,PM[],3,FALSE)</f>
        <v>Electronics</v>
      </c>
      <c r="F257">
        <f>_xlfn.XLOOKUP(C257,PM[Product ID],PM[Unit Price (₹)])</f>
        <v>7700</v>
      </c>
      <c r="G257" t="str">
        <f>_xlfn.XLOOKUP(Sales[[#This Row],[Order ID]],ST[Order ID],ST[Employee ID])</f>
        <v>E07</v>
      </c>
      <c r="H257" t="str">
        <f>_xlfn.XLOOKUP(G257,SM[Employee ID],SM[Salesperson])</f>
        <v>Aditya Kapoor</v>
      </c>
      <c r="I257" t="str">
        <f>_xlfn.XLOOKUP(G257,SM[Employee ID],SM[Region])</f>
        <v>West</v>
      </c>
      <c r="J257" t="str">
        <f>_xlfn.XLOOKUP(G257,SM[Employee ID],SM[State/City])</f>
        <v>Mumbai</v>
      </c>
      <c r="K257" s="2">
        <f>_xlfn.XLOOKUP(Sales[[#This Row],[Order ID]],ST[Order ID],ST[Units Sold])</f>
        <v>2</v>
      </c>
      <c r="L257">
        <f t="shared" si="3"/>
        <v>15400</v>
      </c>
    </row>
    <row r="258" spans="1:12" x14ac:dyDescent="0.35">
      <c r="A258" s="7">
        <v>1249</v>
      </c>
      <c r="B258" s="1">
        <v>45217</v>
      </c>
      <c r="C258" s="2" t="s">
        <v>18</v>
      </c>
      <c r="D258" t="str">
        <f>_xlfn.XLOOKUP(Merged_Sales_Data!C258,PM[Product ID],PM[Product Name])</f>
        <v>LED Monitor 24"</v>
      </c>
      <c r="E258" t="str">
        <f>VLOOKUP(C258,PM[],3,FALSE)</f>
        <v>Electronics</v>
      </c>
      <c r="F258">
        <f>_xlfn.XLOOKUP(C258,PM[Product ID],PM[Unit Price (₹)])</f>
        <v>7700</v>
      </c>
      <c r="G258" t="str">
        <f>_xlfn.XLOOKUP(Sales[[#This Row],[Order ID]],ST[Order ID],ST[Employee ID])</f>
        <v>E08</v>
      </c>
      <c r="H258" t="str">
        <f>_xlfn.XLOOKUP(G258,SM[Employee ID],SM[Salesperson])</f>
        <v>Neha Joshi</v>
      </c>
      <c r="I258" t="str">
        <f>_xlfn.XLOOKUP(G258,SM[Employee ID],SM[Region])</f>
        <v>West</v>
      </c>
      <c r="J258" t="str">
        <f>_xlfn.XLOOKUP(G258,SM[Employee ID],SM[State/City])</f>
        <v>Ahmedabad</v>
      </c>
      <c r="K258" s="2">
        <f>_xlfn.XLOOKUP(Sales[[#This Row],[Order ID]],ST[Order ID],ST[Units Sold])</f>
        <v>5</v>
      </c>
      <c r="L258">
        <f t="shared" si="3"/>
        <v>38500</v>
      </c>
    </row>
    <row r="259" spans="1:12" x14ac:dyDescent="0.35">
      <c r="A259" s="7">
        <v>1250</v>
      </c>
      <c r="B259" s="1">
        <v>45217</v>
      </c>
      <c r="C259" s="2" t="s">
        <v>12</v>
      </c>
      <c r="D259" t="str">
        <f>_xlfn.XLOOKUP(Merged_Sales_Data!C259,PM[Product ID],PM[Product Name])</f>
        <v>Bookshelf Unit</v>
      </c>
      <c r="E259" t="str">
        <f>VLOOKUP(C259,PM[],3,FALSE)</f>
        <v>Furniture</v>
      </c>
      <c r="F259">
        <f>_xlfn.XLOOKUP(C259,PM[Product ID],PM[Unit Price (₹)])</f>
        <v>3910</v>
      </c>
      <c r="G259" t="str">
        <f>_xlfn.XLOOKUP(Sales[[#This Row],[Order ID]],ST[Order ID],ST[Employee ID])</f>
        <v>E08</v>
      </c>
      <c r="H259" t="str">
        <f>_xlfn.XLOOKUP(G259,SM[Employee ID],SM[Salesperson])</f>
        <v>Neha Joshi</v>
      </c>
      <c r="I259" t="str">
        <f>_xlfn.XLOOKUP(G259,SM[Employee ID],SM[Region])</f>
        <v>West</v>
      </c>
      <c r="J259" t="str">
        <f>_xlfn.XLOOKUP(G259,SM[Employee ID],SM[State/City])</f>
        <v>Ahmedabad</v>
      </c>
      <c r="K259" s="2">
        <f>_xlfn.XLOOKUP(Sales[[#This Row],[Order ID]],ST[Order ID],ST[Units Sold])</f>
        <v>3</v>
      </c>
      <c r="L259">
        <f t="shared" ref="L259:L322" si="4">F259*K259</f>
        <v>11730</v>
      </c>
    </row>
    <row r="260" spans="1:12" x14ac:dyDescent="0.35">
      <c r="A260" s="7">
        <v>1274</v>
      </c>
      <c r="B260" s="1">
        <v>45217</v>
      </c>
      <c r="C260" s="2" t="s">
        <v>20</v>
      </c>
      <c r="D260" t="str">
        <f>_xlfn.XLOOKUP(Merged_Sales_Data!C260,PM[Product ID],PM[Product Name])</f>
        <v>Standing Desk</v>
      </c>
      <c r="E260" t="str">
        <f>VLOOKUP(C260,PM[],3,FALSE)</f>
        <v>Office Supplies</v>
      </c>
      <c r="F260">
        <f>_xlfn.XLOOKUP(C260,PM[Product ID],PM[Unit Price (₹)])</f>
        <v>11010</v>
      </c>
      <c r="G260" t="str">
        <f>_xlfn.XLOOKUP(Sales[[#This Row],[Order ID]],ST[Order ID],ST[Employee ID])</f>
        <v>E08</v>
      </c>
      <c r="H260" t="str">
        <f>_xlfn.XLOOKUP(G260,SM[Employee ID],SM[Salesperson])</f>
        <v>Neha Joshi</v>
      </c>
      <c r="I260" t="str">
        <f>_xlfn.XLOOKUP(G260,SM[Employee ID],SM[Region])</f>
        <v>West</v>
      </c>
      <c r="J260" t="str">
        <f>_xlfn.XLOOKUP(G260,SM[Employee ID],SM[State/City])</f>
        <v>Ahmedabad</v>
      </c>
      <c r="K260" s="2">
        <f>_xlfn.XLOOKUP(Sales[[#This Row],[Order ID]],ST[Order ID],ST[Units Sold])</f>
        <v>10</v>
      </c>
      <c r="L260">
        <f t="shared" si="4"/>
        <v>110100</v>
      </c>
    </row>
    <row r="261" spans="1:12" x14ac:dyDescent="0.35">
      <c r="A261" s="7">
        <v>1262</v>
      </c>
      <c r="B261" s="1">
        <v>45219</v>
      </c>
      <c r="C261" s="2" t="s">
        <v>8</v>
      </c>
      <c r="D261" t="str">
        <f>_xlfn.XLOOKUP(Merged_Sales_Data!C261,PM[Product ID],PM[Product Name])</f>
        <v>USB-C Hub</v>
      </c>
      <c r="E261" t="str">
        <f>VLOOKUP(C261,PM[],3,FALSE)</f>
        <v>Accessories</v>
      </c>
      <c r="F261">
        <f>_xlfn.XLOOKUP(C261,PM[Product ID],PM[Unit Price (₹)])</f>
        <v>880</v>
      </c>
      <c r="G261" t="str">
        <f>_xlfn.XLOOKUP(Sales[[#This Row],[Order ID]],ST[Order ID],ST[Employee ID])</f>
        <v>E08</v>
      </c>
      <c r="H261" t="str">
        <f>_xlfn.XLOOKUP(G261,SM[Employee ID],SM[Salesperson])</f>
        <v>Neha Joshi</v>
      </c>
      <c r="I261" t="str">
        <f>_xlfn.XLOOKUP(G261,SM[Employee ID],SM[Region])</f>
        <v>West</v>
      </c>
      <c r="J261" t="str">
        <f>_xlfn.XLOOKUP(G261,SM[Employee ID],SM[State/City])</f>
        <v>Ahmedabad</v>
      </c>
      <c r="K261" s="2">
        <f>_xlfn.XLOOKUP(Sales[[#This Row],[Order ID]],ST[Order ID],ST[Units Sold])</f>
        <v>1</v>
      </c>
      <c r="L261">
        <f t="shared" si="4"/>
        <v>880</v>
      </c>
    </row>
    <row r="262" spans="1:12" x14ac:dyDescent="0.35">
      <c r="A262" s="7">
        <v>1254</v>
      </c>
      <c r="B262" s="1">
        <v>45221</v>
      </c>
      <c r="C262" s="2" t="s">
        <v>10</v>
      </c>
      <c r="D262" t="str">
        <f>_xlfn.XLOOKUP(Merged_Sales_Data!C262,PM[Product ID],PM[Product Name])</f>
        <v>Filing Cabinet</v>
      </c>
      <c r="E262" t="str">
        <f>VLOOKUP(C262,PM[],3,FALSE)</f>
        <v>Furniture</v>
      </c>
      <c r="F262">
        <f>_xlfn.XLOOKUP(C262,PM[Product ID],PM[Unit Price (₹)])</f>
        <v>4070</v>
      </c>
      <c r="G262" t="str">
        <f>_xlfn.XLOOKUP(Sales[[#This Row],[Order ID]],ST[Order ID],ST[Employee ID])</f>
        <v>E08</v>
      </c>
      <c r="H262" t="str">
        <f>_xlfn.XLOOKUP(G262,SM[Employee ID],SM[Salesperson])</f>
        <v>Neha Joshi</v>
      </c>
      <c r="I262" t="str">
        <f>_xlfn.XLOOKUP(G262,SM[Employee ID],SM[Region])</f>
        <v>West</v>
      </c>
      <c r="J262" t="str">
        <f>_xlfn.XLOOKUP(G262,SM[Employee ID],SM[State/City])</f>
        <v>Ahmedabad</v>
      </c>
      <c r="K262" s="2">
        <f>_xlfn.XLOOKUP(Sales[[#This Row],[Order ID]],ST[Order ID],ST[Units Sold])</f>
        <v>4</v>
      </c>
      <c r="L262">
        <f t="shared" si="4"/>
        <v>16280</v>
      </c>
    </row>
    <row r="263" spans="1:12" x14ac:dyDescent="0.35">
      <c r="A263" s="7">
        <v>1263</v>
      </c>
      <c r="B263" s="1">
        <v>45221</v>
      </c>
      <c r="C263" s="2" t="s">
        <v>5</v>
      </c>
      <c r="D263" t="str">
        <f>_xlfn.XLOOKUP(Merged_Sales_Data!C263,PM[Product ID],PM[Product Name])</f>
        <v>Ergo Office Chair</v>
      </c>
      <c r="E263" t="str">
        <f>VLOOKUP(C263,PM[],3,FALSE)</f>
        <v>Office Supplies</v>
      </c>
      <c r="F263">
        <f>_xlfn.XLOOKUP(C263,PM[Product ID],PM[Unit Price (₹)])</f>
        <v>6750</v>
      </c>
      <c r="G263" t="str">
        <f>_xlfn.XLOOKUP(Sales[[#This Row],[Order ID]],ST[Order ID],ST[Employee ID])</f>
        <v>E02</v>
      </c>
      <c r="H263" t="str">
        <f>_xlfn.XLOOKUP(G263,SM[Employee ID],SM[Salesperson])</f>
        <v>Ishita Verma</v>
      </c>
      <c r="I263" t="str">
        <f>_xlfn.XLOOKUP(G263,SM[Employee ID],SM[Region])</f>
        <v>North</v>
      </c>
      <c r="J263" t="str">
        <f>_xlfn.XLOOKUP(G263,SM[Employee ID],SM[State/City])</f>
        <v>Chandigarh</v>
      </c>
      <c r="K263" s="2">
        <f>_xlfn.XLOOKUP(Sales[[#This Row],[Order ID]],ST[Order ID],ST[Units Sold])</f>
        <v>10</v>
      </c>
      <c r="L263">
        <f t="shared" si="4"/>
        <v>67500</v>
      </c>
    </row>
    <row r="264" spans="1:12" x14ac:dyDescent="0.35">
      <c r="A264" s="7">
        <v>1270</v>
      </c>
      <c r="B264" s="1">
        <v>45221</v>
      </c>
      <c r="C264" s="2" t="s">
        <v>10</v>
      </c>
      <c r="D264" t="str">
        <f>_xlfn.XLOOKUP(Merged_Sales_Data!C264,PM[Product ID],PM[Product Name])</f>
        <v>Filing Cabinet</v>
      </c>
      <c r="E264" t="str">
        <f>VLOOKUP(C264,PM[],3,FALSE)</f>
        <v>Furniture</v>
      </c>
      <c r="F264">
        <f>_xlfn.XLOOKUP(C264,PM[Product ID],PM[Unit Price (₹)])</f>
        <v>4070</v>
      </c>
      <c r="G264" t="str">
        <f>_xlfn.XLOOKUP(Sales[[#This Row],[Order ID]],ST[Order ID],ST[Employee ID])</f>
        <v>E02</v>
      </c>
      <c r="H264" t="str">
        <f>_xlfn.XLOOKUP(G264,SM[Employee ID],SM[Salesperson])</f>
        <v>Ishita Verma</v>
      </c>
      <c r="I264" t="str">
        <f>_xlfn.XLOOKUP(G264,SM[Employee ID],SM[Region])</f>
        <v>North</v>
      </c>
      <c r="J264" t="str">
        <f>_xlfn.XLOOKUP(G264,SM[Employee ID],SM[State/City])</f>
        <v>Chandigarh</v>
      </c>
      <c r="K264" s="2">
        <f>_xlfn.XLOOKUP(Sales[[#This Row],[Order ID]],ST[Order ID],ST[Units Sold])</f>
        <v>8</v>
      </c>
      <c r="L264">
        <f t="shared" si="4"/>
        <v>32560</v>
      </c>
    </row>
    <row r="265" spans="1:12" x14ac:dyDescent="0.35">
      <c r="A265" s="7">
        <v>1259</v>
      </c>
      <c r="B265" s="1">
        <v>45222</v>
      </c>
      <c r="C265" s="2" t="s">
        <v>12</v>
      </c>
      <c r="D265" t="str">
        <f>_xlfn.XLOOKUP(Merged_Sales_Data!C265,PM[Product ID],PM[Product Name])</f>
        <v>Bookshelf Unit</v>
      </c>
      <c r="E265" t="str">
        <f>VLOOKUP(C265,PM[],3,FALSE)</f>
        <v>Furniture</v>
      </c>
      <c r="F265">
        <f>_xlfn.XLOOKUP(C265,PM[Product ID],PM[Unit Price (₹)])</f>
        <v>3910</v>
      </c>
      <c r="G265" t="str">
        <f>_xlfn.XLOOKUP(Sales[[#This Row],[Order ID]],ST[Order ID],ST[Employee ID])</f>
        <v>E05</v>
      </c>
      <c r="H265" t="str">
        <f>_xlfn.XLOOKUP(G265,SM[Employee ID],SM[Salesperson])</f>
        <v>Karan Malhotra</v>
      </c>
      <c r="I265" t="str">
        <f>_xlfn.XLOOKUP(G265,SM[Employee ID],SM[Region])</f>
        <v>East</v>
      </c>
      <c r="J265" t="str">
        <f>_xlfn.XLOOKUP(G265,SM[Employee ID],SM[State/City])</f>
        <v>Kolkata</v>
      </c>
      <c r="K265" s="2">
        <f>_xlfn.XLOOKUP(Sales[[#This Row],[Order ID]],ST[Order ID],ST[Units Sold])</f>
        <v>8</v>
      </c>
      <c r="L265">
        <f t="shared" si="4"/>
        <v>31280</v>
      </c>
    </row>
    <row r="266" spans="1:12" x14ac:dyDescent="0.35">
      <c r="A266" s="7">
        <v>1261</v>
      </c>
      <c r="B266" s="1">
        <v>45222</v>
      </c>
      <c r="C266" s="2" t="s">
        <v>12</v>
      </c>
      <c r="D266" t="str">
        <f>_xlfn.XLOOKUP(Merged_Sales_Data!C266,PM[Product ID],PM[Product Name])</f>
        <v>Bookshelf Unit</v>
      </c>
      <c r="E266" t="str">
        <f>VLOOKUP(C266,PM[],3,FALSE)</f>
        <v>Furniture</v>
      </c>
      <c r="F266">
        <f>_xlfn.XLOOKUP(C266,PM[Product ID],PM[Unit Price (₹)])</f>
        <v>3910</v>
      </c>
      <c r="G266" t="str">
        <f>_xlfn.XLOOKUP(Sales[[#This Row],[Order ID]],ST[Order ID],ST[Employee ID])</f>
        <v>E07</v>
      </c>
      <c r="H266" t="str">
        <f>_xlfn.XLOOKUP(G266,SM[Employee ID],SM[Salesperson])</f>
        <v>Aditya Kapoor</v>
      </c>
      <c r="I266" t="str">
        <f>_xlfn.XLOOKUP(G266,SM[Employee ID],SM[Region])</f>
        <v>West</v>
      </c>
      <c r="J266" t="str">
        <f>_xlfn.XLOOKUP(G266,SM[Employee ID],SM[State/City])</f>
        <v>Mumbai</v>
      </c>
      <c r="K266" s="2">
        <f>_xlfn.XLOOKUP(Sales[[#This Row],[Order ID]],ST[Order ID],ST[Units Sold])</f>
        <v>10</v>
      </c>
      <c r="L266">
        <f t="shared" si="4"/>
        <v>39100</v>
      </c>
    </row>
    <row r="267" spans="1:12" x14ac:dyDescent="0.35">
      <c r="A267" s="7">
        <v>1246</v>
      </c>
      <c r="B267" s="1">
        <v>45224</v>
      </c>
      <c r="C267" s="2" t="s">
        <v>11</v>
      </c>
      <c r="D267" t="str">
        <f>_xlfn.XLOOKUP(Merged_Sales_Data!C267,PM[Product ID],PM[Product Name])</f>
        <v>Bluetooth Speaker</v>
      </c>
      <c r="E267" t="str">
        <f>VLOOKUP(C267,PM[],3,FALSE)</f>
        <v>Electronics</v>
      </c>
      <c r="F267">
        <f>_xlfn.XLOOKUP(C267,PM[Product ID],PM[Unit Price (₹)])</f>
        <v>1430</v>
      </c>
      <c r="G267" t="str">
        <f>_xlfn.XLOOKUP(Sales[[#This Row],[Order ID]],ST[Order ID],ST[Employee ID])</f>
        <v>E03</v>
      </c>
      <c r="H267" t="str">
        <f>_xlfn.XLOOKUP(G267,SM[Employee ID],SM[Salesperson])</f>
        <v>Rohan Mehta</v>
      </c>
      <c r="I267" t="str">
        <f>_xlfn.XLOOKUP(G267,SM[Employee ID],SM[Region])</f>
        <v>South</v>
      </c>
      <c r="J267" t="str">
        <f>_xlfn.XLOOKUP(G267,SM[Employee ID],SM[State/City])</f>
        <v>Bengaluru</v>
      </c>
      <c r="K267" s="2">
        <f>_xlfn.XLOOKUP(Sales[[#This Row],[Order ID]],ST[Order ID],ST[Units Sold])</f>
        <v>2</v>
      </c>
      <c r="L267">
        <f t="shared" si="4"/>
        <v>2860</v>
      </c>
    </row>
    <row r="268" spans="1:12" x14ac:dyDescent="0.35">
      <c r="A268" s="7">
        <v>1258</v>
      </c>
      <c r="B268" s="1">
        <v>45225</v>
      </c>
      <c r="C268" s="2" t="s">
        <v>11</v>
      </c>
      <c r="D268" t="str">
        <f>_xlfn.XLOOKUP(Merged_Sales_Data!C268,PM[Product ID],PM[Product Name])</f>
        <v>Bluetooth Speaker</v>
      </c>
      <c r="E268" t="str">
        <f>VLOOKUP(C268,PM[],3,FALSE)</f>
        <v>Electronics</v>
      </c>
      <c r="F268">
        <f>_xlfn.XLOOKUP(C268,PM[Product ID],PM[Unit Price (₹)])</f>
        <v>1430</v>
      </c>
      <c r="G268" t="str">
        <f>_xlfn.XLOOKUP(Sales[[#This Row],[Order ID]],ST[Order ID],ST[Employee ID])</f>
        <v>E03</v>
      </c>
      <c r="H268" t="str">
        <f>_xlfn.XLOOKUP(G268,SM[Employee ID],SM[Salesperson])</f>
        <v>Rohan Mehta</v>
      </c>
      <c r="I268" t="str">
        <f>_xlfn.XLOOKUP(G268,SM[Employee ID],SM[Region])</f>
        <v>South</v>
      </c>
      <c r="J268" t="str">
        <f>_xlfn.XLOOKUP(G268,SM[Employee ID],SM[State/City])</f>
        <v>Bengaluru</v>
      </c>
      <c r="K268" s="2">
        <f>_xlfn.XLOOKUP(Sales[[#This Row],[Order ID]],ST[Order ID],ST[Units Sold])</f>
        <v>5</v>
      </c>
      <c r="L268">
        <f t="shared" si="4"/>
        <v>7150</v>
      </c>
    </row>
    <row r="269" spans="1:12" x14ac:dyDescent="0.35">
      <c r="A269" s="7">
        <v>1248</v>
      </c>
      <c r="B269" s="1">
        <v>45226</v>
      </c>
      <c r="C269" s="2" t="s">
        <v>20</v>
      </c>
      <c r="D269" t="str">
        <f>_xlfn.XLOOKUP(Merged_Sales_Data!C269,PM[Product ID],PM[Product Name])</f>
        <v>Standing Desk</v>
      </c>
      <c r="E269" t="str">
        <f>VLOOKUP(C269,PM[],3,FALSE)</f>
        <v>Office Supplies</v>
      </c>
      <c r="F269">
        <f>_xlfn.XLOOKUP(C269,PM[Product ID],PM[Unit Price (₹)])</f>
        <v>11010</v>
      </c>
      <c r="G269" t="str">
        <f>_xlfn.XLOOKUP(Sales[[#This Row],[Order ID]],ST[Order ID],ST[Employee ID])</f>
        <v>E01</v>
      </c>
      <c r="H269" t="str">
        <f>_xlfn.XLOOKUP(G269,SM[Employee ID],SM[Salesperson])</f>
        <v>Aarav Sharma</v>
      </c>
      <c r="I269" t="str">
        <f>_xlfn.XLOOKUP(G269,SM[Employee ID],SM[Region])</f>
        <v>North</v>
      </c>
      <c r="J269" t="str">
        <f>_xlfn.XLOOKUP(G269,SM[Employee ID],SM[State/City])</f>
        <v>Lucknow</v>
      </c>
      <c r="K269" s="2">
        <f>_xlfn.XLOOKUP(Sales[[#This Row],[Order ID]],ST[Order ID],ST[Units Sold])</f>
        <v>2</v>
      </c>
      <c r="L269">
        <f t="shared" si="4"/>
        <v>22020</v>
      </c>
    </row>
    <row r="270" spans="1:12" x14ac:dyDescent="0.35">
      <c r="A270" s="7">
        <v>1251</v>
      </c>
      <c r="B270" s="1">
        <v>45227</v>
      </c>
      <c r="C270" s="2" t="s">
        <v>14</v>
      </c>
      <c r="D270" t="str">
        <f>_xlfn.XLOOKUP(Merged_Sales_Data!C270,PM[Product ID],PM[Product Name])</f>
        <v>Laptop Backpack</v>
      </c>
      <c r="E270" t="str">
        <f>VLOOKUP(C270,PM[],3,FALSE)</f>
        <v>Accessories</v>
      </c>
      <c r="F270">
        <f>_xlfn.XLOOKUP(C270,PM[Product ID],PM[Unit Price (₹)])</f>
        <v>1110</v>
      </c>
      <c r="G270" t="str">
        <f>_xlfn.XLOOKUP(Sales[[#This Row],[Order ID]],ST[Order ID],ST[Employee ID])</f>
        <v>E07</v>
      </c>
      <c r="H270" t="str">
        <f>_xlfn.XLOOKUP(G270,SM[Employee ID],SM[Salesperson])</f>
        <v>Aditya Kapoor</v>
      </c>
      <c r="I270" t="str">
        <f>_xlfn.XLOOKUP(G270,SM[Employee ID],SM[Region])</f>
        <v>West</v>
      </c>
      <c r="J270" t="str">
        <f>_xlfn.XLOOKUP(G270,SM[Employee ID],SM[State/City])</f>
        <v>Mumbai</v>
      </c>
      <c r="K270" s="2">
        <f>_xlfn.XLOOKUP(Sales[[#This Row],[Order ID]],ST[Order ID],ST[Units Sold])</f>
        <v>3</v>
      </c>
      <c r="L270">
        <f t="shared" si="4"/>
        <v>3330</v>
      </c>
    </row>
    <row r="271" spans="1:12" x14ac:dyDescent="0.35">
      <c r="A271" s="7">
        <v>1260</v>
      </c>
      <c r="B271" s="1">
        <v>45227</v>
      </c>
      <c r="C271" s="2" t="s">
        <v>11</v>
      </c>
      <c r="D271" t="str">
        <f>_xlfn.XLOOKUP(Merged_Sales_Data!C271,PM[Product ID],PM[Product Name])</f>
        <v>Bluetooth Speaker</v>
      </c>
      <c r="E271" t="str">
        <f>VLOOKUP(C271,PM[],3,FALSE)</f>
        <v>Electronics</v>
      </c>
      <c r="F271">
        <f>_xlfn.XLOOKUP(C271,PM[Product ID],PM[Unit Price (₹)])</f>
        <v>1430</v>
      </c>
      <c r="G271" t="str">
        <f>_xlfn.XLOOKUP(Sales[[#This Row],[Order ID]],ST[Order ID],ST[Employee ID])</f>
        <v>E07</v>
      </c>
      <c r="H271" t="str">
        <f>_xlfn.XLOOKUP(G271,SM[Employee ID],SM[Salesperson])</f>
        <v>Aditya Kapoor</v>
      </c>
      <c r="I271" t="str">
        <f>_xlfn.XLOOKUP(G271,SM[Employee ID],SM[Region])</f>
        <v>West</v>
      </c>
      <c r="J271" t="str">
        <f>_xlfn.XLOOKUP(G271,SM[Employee ID],SM[State/City])</f>
        <v>Mumbai</v>
      </c>
      <c r="K271" s="2">
        <f>_xlfn.XLOOKUP(Sales[[#This Row],[Order ID]],ST[Order ID],ST[Units Sold])</f>
        <v>3</v>
      </c>
      <c r="L271">
        <f t="shared" si="4"/>
        <v>4290</v>
      </c>
    </row>
    <row r="272" spans="1:12" x14ac:dyDescent="0.35">
      <c r="A272" s="7">
        <v>1237</v>
      </c>
      <c r="B272" s="1">
        <v>45229</v>
      </c>
      <c r="C272" s="2" t="s">
        <v>8</v>
      </c>
      <c r="D272" t="str">
        <f>_xlfn.XLOOKUP(Merged_Sales_Data!C272,PM[Product ID],PM[Product Name])</f>
        <v>USB-C Hub</v>
      </c>
      <c r="E272" t="str">
        <f>VLOOKUP(C272,PM[],3,FALSE)</f>
        <v>Accessories</v>
      </c>
      <c r="F272">
        <f>_xlfn.XLOOKUP(C272,PM[Product ID],PM[Unit Price (₹)])</f>
        <v>880</v>
      </c>
      <c r="G272" t="str">
        <f>_xlfn.XLOOKUP(Sales[[#This Row],[Order ID]],ST[Order ID],ST[Employee ID])</f>
        <v>E05</v>
      </c>
      <c r="H272" t="str">
        <f>_xlfn.XLOOKUP(G272,SM[Employee ID],SM[Salesperson])</f>
        <v>Karan Malhotra</v>
      </c>
      <c r="I272" t="str">
        <f>_xlfn.XLOOKUP(G272,SM[Employee ID],SM[Region])</f>
        <v>East</v>
      </c>
      <c r="J272" t="str">
        <f>_xlfn.XLOOKUP(G272,SM[Employee ID],SM[State/City])</f>
        <v>Kolkata</v>
      </c>
      <c r="K272" s="2">
        <f>_xlfn.XLOOKUP(Sales[[#This Row],[Order ID]],ST[Order ID],ST[Units Sold])</f>
        <v>1</v>
      </c>
      <c r="L272">
        <f t="shared" si="4"/>
        <v>880</v>
      </c>
    </row>
    <row r="273" spans="1:12" x14ac:dyDescent="0.35">
      <c r="A273" s="7">
        <v>1242</v>
      </c>
      <c r="B273" s="1">
        <v>45229</v>
      </c>
      <c r="C273" s="2" t="s">
        <v>18</v>
      </c>
      <c r="D273" t="str">
        <f>_xlfn.XLOOKUP(Merged_Sales_Data!C273,PM[Product ID],PM[Product Name])</f>
        <v>LED Monitor 24"</v>
      </c>
      <c r="E273" t="str">
        <f>VLOOKUP(C273,PM[],3,FALSE)</f>
        <v>Electronics</v>
      </c>
      <c r="F273">
        <f>_xlfn.XLOOKUP(C273,PM[Product ID],PM[Unit Price (₹)])</f>
        <v>7700</v>
      </c>
      <c r="G273" t="str">
        <f>_xlfn.XLOOKUP(Sales[[#This Row],[Order ID]],ST[Order ID],ST[Employee ID])</f>
        <v>E02</v>
      </c>
      <c r="H273" t="str">
        <f>_xlfn.XLOOKUP(G273,SM[Employee ID],SM[Salesperson])</f>
        <v>Ishita Verma</v>
      </c>
      <c r="I273" t="str">
        <f>_xlfn.XLOOKUP(G273,SM[Employee ID],SM[Region])</f>
        <v>North</v>
      </c>
      <c r="J273" t="str">
        <f>_xlfn.XLOOKUP(G273,SM[Employee ID],SM[State/City])</f>
        <v>Chandigarh</v>
      </c>
      <c r="K273" s="2">
        <f>_xlfn.XLOOKUP(Sales[[#This Row],[Order ID]],ST[Order ID],ST[Units Sold])</f>
        <v>5</v>
      </c>
      <c r="L273">
        <f t="shared" si="4"/>
        <v>38500</v>
      </c>
    </row>
    <row r="274" spans="1:12" x14ac:dyDescent="0.35">
      <c r="A274" s="7">
        <v>1245</v>
      </c>
      <c r="B274" s="1">
        <v>45229</v>
      </c>
      <c r="C274" s="2" t="s">
        <v>10</v>
      </c>
      <c r="D274" t="str">
        <f>_xlfn.XLOOKUP(Merged_Sales_Data!C274,PM[Product ID],PM[Product Name])</f>
        <v>Filing Cabinet</v>
      </c>
      <c r="E274" t="str">
        <f>VLOOKUP(C274,PM[],3,FALSE)</f>
        <v>Furniture</v>
      </c>
      <c r="F274">
        <f>_xlfn.XLOOKUP(C274,PM[Product ID],PM[Unit Price (₹)])</f>
        <v>4070</v>
      </c>
      <c r="G274" t="str">
        <f>_xlfn.XLOOKUP(Sales[[#This Row],[Order ID]],ST[Order ID],ST[Employee ID])</f>
        <v>E03</v>
      </c>
      <c r="H274" t="str">
        <f>_xlfn.XLOOKUP(G274,SM[Employee ID],SM[Salesperson])</f>
        <v>Rohan Mehta</v>
      </c>
      <c r="I274" t="str">
        <f>_xlfn.XLOOKUP(G274,SM[Employee ID],SM[Region])</f>
        <v>South</v>
      </c>
      <c r="J274" t="str">
        <f>_xlfn.XLOOKUP(G274,SM[Employee ID],SM[State/City])</f>
        <v>Bengaluru</v>
      </c>
      <c r="K274" s="2">
        <f>_xlfn.XLOOKUP(Sales[[#This Row],[Order ID]],ST[Order ID],ST[Units Sold])</f>
        <v>2</v>
      </c>
      <c r="L274">
        <f t="shared" si="4"/>
        <v>8140</v>
      </c>
    </row>
    <row r="275" spans="1:12" x14ac:dyDescent="0.35">
      <c r="A275" s="7">
        <v>1241</v>
      </c>
      <c r="B275" s="1">
        <v>45230</v>
      </c>
      <c r="C275" s="2" t="s">
        <v>11</v>
      </c>
      <c r="D275" t="str">
        <f>_xlfn.XLOOKUP(Merged_Sales_Data!C275,PM[Product ID],PM[Product Name])</f>
        <v>Bluetooth Speaker</v>
      </c>
      <c r="E275" t="str">
        <f>VLOOKUP(C275,PM[],3,FALSE)</f>
        <v>Electronics</v>
      </c>
      <c r="F275">
        <f>_xlfn.XLOOKUP(C275,PM[Product ID],PM[Unit Price (₹)])</f>
        <v>1430</v>
      </c>
      <c r="G275" t="str">
        <f>_xlfn.XLOOKUP(Sales[[#This Row],[Order ID]],ST[Order ID],ST[Employee ID])</f>
        <v>E04</v>
      </c>
      <c r="H275" t="str">
        <f>_xlfn.XLOOKUP(G275,SM[Employee ID],SM[Salesperson])</f>
        <v>Priya Nair</v>
      </c>
      <c r="I275" t="str">
        <f>_xlfn.XLOOKUP(G275,SM[Employee ID],SM[Region])</f>
        <v>South</v>
      </c>
      <c r="J275" t="str">
        <f>_xlfn.XLOOKUP(G275,SM[Employee ID],SM[State/City])</f>
        <v>Bengaluru</v>
      </c>
      <c r="K275" s="2">
        <f>_xlfn.XLOOKUP(Sales[[#This Row],[Order ID]],ST[Order ID],ST[Units Sold])</f>
        <v>5</v>
      </c>
      <c r="L275">
        <f t="shared" si="4"/>
        <v>7150</v>
      </c>
    </row>
    <row r="276" spans="1:12" x14ac:dyDescent="0.35">
      <c r="A276" s="7">
        <v>1279</v>
      </c>
      <c r="B276" s="1">
        <v>45231</v>
      </c>
      <c r="C276" s="2" t="s">
        <v>20</v>
      </c>
      <c r="D276" t="str">
        <f>_xlfn.XLOOKUP(Merged_Sales_Data!C276,PM[Product ID],PM[Product Name])</f>
        <v>Standing Desk</v>
      </c>
      <c r="E276" t="str">
        <f>VLOOKUP(C276,PM[],3,FALSE)</f>
        <v>Office Supplies</v>
      </c>
      <c r="F276">
        <f>_xlfn.XLOOKUP(C276,PM[Product ID],PM[Unit Price (₹)])</f>
        <v>11010</v>
      </c>
      <c r="G276" t="str">
        <f>_xlfn.XLOOKUP(Sales[[#This Row],[Order ID]],ST[Order ID],ST[Employee ID])</f>
        <v>E06</v>
      </c>
      <c r="H276" t="str">
        <f>_xlfn.XLOOKUP(G276,SM[Employee ID],SM[Salesperson])</f>
        <v>Sneha Roy</v>
      </c>
      <c r="I276" t="str">
        <f>_xlfn.XLOOKUP(G276,SM[Employee ID],SM[Region])</f>
        <v>East</v>
      </c>
      <c r="J276" t="str">
        <f>_xlfn.XLOOKUP(G276,SM[Employee ID],SM[State/City])</f>
        <v>Kolkata</v>
      </c>
      <c r="K276" s="2">
        <f>_xlfn.XLOOKUP(Sales[[#This Row],[Order ID]],ST[Order ID],ST[Units Sold])</f>
        <v>2</v>
      </c>
      <c r="L276">
        <f t="shared" si="4"/>
        <v>22020</v>
      </c>
    </row>
    <row r="277" spans="1:12" x14ac:dyDescent="0.35">
      <c r="A277" s="7">
        <v>1297</v>
      </c>
      <c r="B277" s="1">
        <v>45231</v>
      </c>
      <c r="C277" s="2" t="s">
        <v>5</v>
      </c>
      <c r="D277" t="str">
        <f>_xlfn.XLOOKUP(Merged_Sales_Data!C277,PM[Product ID],PM[Product Name])</f>
        <v>Ergo Office Chair</v>
      </c>
      <c r="E277" t="str">
        <f>VLOOKUP(C277,PM[],3,FALSE)</f>
        <v>Office Supplies</v>
      </c>
      <c r="F277">
        <f>_xlfn.XLOOKUP(C277,PM[Product ID],PM[Unit Price (₹)])</f>
        <v>6750</v>
      </c>
      <c r="G277" t="str">
        <f>_xlfn.XLOOKUP(Sales[[#This Row],[Order ID]],ST[Order ID],ST[Employee ID])</f>
        <v>E02</v>
      </c>
      <c r="H277" t="str">
        <f>_xlfn.XLOOKUP(G277,SM[Employee ID],SM[Salesperson])</f>
        <v>Ishita Verma</v>
      </c>
      <c r="I277" t="str">
        <f>_xlfn.XLOOKUP(G277,SM[Employee ID],SM[Region])</f>
        <v>North</v>
      </c>
      <c r="J277" t="str">
        <f>_xlfn.XLOOKUP(G277,SM[Employee ID],SM[State/City])</f>
        <v>Chandigarh</v>
      </c>
      <c r="K277" s="2">
        <f>_xlfn.XLOOKUP(Sales[[#This Row],[Order ID]],ST[Order ID],ST[Units Sold])</f>
        <v>5</v>
      </c>
      <c r="L277">
        <f t="shared" si="4"/>
        <v>33750</v>
      </c>
    </row>
    <row r="278" spans="1:12" x14ac:dyDescent="0.35">
      <c r="A278" s="7">
        <v>1285</v>
      </c>
      <c r="B278" s="1">
        <v>45232</v>
      </c>
      <c r="C278" s="2" t="s">
        <v>20</v>
      </c>
      <c r="D278" t="str">
        <f>_xlfn.XLOOKUP(Merged_Sales_Data!C278,PM[Product ID],PM[Product Name])</f>
        <v>Standing Desk</v>
      </c>
      <c r="E278" t="str">
        <f>VLOOKUP(C278,PM[],3,FALSE)</f>
        <v>Office Supplies</v>
      </c>
      <c r="F278">
        <f>_xlfn.XLOOKUP(C278,PM[Product ID],PM[Unit Price (₹)])</f>
        <v>11010</v>
      </c>
      <c r="G278" t="str">
        <f>_xlfn.XLOOKUP(Sales[[#This Row],[Order ID]],ST[Order ID],ST[Employee ID])</f>
        <v>E01</v>
      </c>
      <c r="H278" t="str">
        <f>_xlfn.XLOOKUP(G278,SM[Employee ID],SM[Salesperson])</f>
        <v>Aarav Sharma</v>
      </c>
      <c r="I278" t="str">
        <f>_xlfn.XLOOKUP(G278,SM[Employee ID],SM[Region])</f>
        <v>North</v>
      </c>
      <c r="J278" t="str">
        <f>_xlfn.XLOOKUP(G278,SM[Employee ID],SM[State/City])</f>
        <v>Lucknow</v>
      </c>
      <c r="K278" s="2">
        <f>_xlfn.XLOOKUP(Sales[[#This Row],[Order ID]],ST[Order ID],ST[Units Sold])</f>
        <v>5</v>
      </c>
      <c r="L278">
        <f t="shared" si="4"/>
        <v>55050</v>
      </c>
    </row>
    <row r="279" spans="1:12" x14ac:dyDescent="0.35">
      <c r="A279" s="7">
        <v>1300</v>
      </c>
      <c r="B279" s="1">
        <v>45232</v>
      </c>
      <c r="C279" s="2" t="s">
        <v>18</v>
      </c>
      <c r="D279" t="str">
        <f>_xlfn.XLOOKUP(Merged_Sales_Data!C279,PM[Product ID],PM[Product Name])</f>
        <v>LED Monitor 24"</v>
      </c>
      <c r="E279" t="str">
        <f>VLOOKUP(C279,PM[],3,FALSE)</f>
        <v>Electronics</v>
      </c>
      <c r="F279">
        <f>_xlfn.XLOOKUP(C279,PM[Product ID],PM[Unit Price (₹)])</f>
        <v>7700</v>
      </c>
      <c r="G279" t="str">
        <f>_xlfn.XLOOKUP(Sales[[#This Row],[Order ID]],ST[Order ID],ST[Employee ID])</f>
        <v>E02</v>
      </c>
      <c r="H279" t="str">
        <f>_xlfn.XLOOKUP(G279,SM[Employee ID],SM[Salesperson])</f>
        <v>Ishita Verma</v>
      </c>
      <c r="I279" t="str">
        <f>_xlfn.XLOOKUP(G279,SM[Employee ID],SM[Region])</f>
        <v>North</v>
      </c>
      <c r="J279" t="str">
        <f>_xlfn.XLOOKUP(G279,SM[Employee ID],SM[State/City])</f>
        <v>Chandigarh</v>
      </c>
      <c r="K279" s="2">
        <f>_xlfn.XLOOKUP(Sales[[#This Row],[Order ID]],ST[Order ID],ST[Units Sold])</f>
        <v>1</v>
      </c>
      <c r="L279">
        <f t="shared" si="4"/>
        <v>7700</v>
      </c>
    </row>
    <row r="280" spans="1:12" x14ac:dyDescent="0.35">
      <c r="A280" s="7">
        <v>1298</v>
      </c>
      <c r="B280" s="1">
        <v>45233</v>
      </c>
      <c r="C280" s="2" t="s">
        <v>5</v>
      </c>
      <c r="D280" t="str">
        <f>_xlfn.XLOOKUP(Merged_Sales_Data!C280,PM[Product ID],PM[Product Name])</f>
        <v>Ergo Office Chair</v>
      </c>
      <c r="E280" t="str">
        <f>VLOOKUP(C280,PM[],3,FALSE)</f>
        <v>Office Supplies</v>
      </c>
      <c r="F280">
        <f>_xlfn.XLOOKUP(C280,PM[Product ID],PM[Unit Price (₹)])</f>
        <v>6750</v>
      </c>
      <c r="G280" t="str">
        <f>_xlfn.XLOOKUP(Sales[[#This Row],[Order ID]],ST[Order ID],ST[Employee ID])</f>
        <v>E06</v>
      </c>
      <c r="H280" t="str">
        <f>_xlfn.XLOOKUP(G280,SM[Employee ID],SM[Salesperson])</f>
        <v>Sneha Roy</v>
      </c>
      <c r="I280" t="str">
        <f>_xlfn.XLOOKUP(G280,SM[Employee ID],SM[Region])</f>
        <v>East</v>
      </c>
      <c r="J280" t="str">
        <f>_xlfn.XLOOKUP(G280,SM[Employee ID],SM[State/City])</f>
        <v>Kolkata</v>
      </c>
      <c r="K280" s="2">
        <f>_xlfn.XLOOKUP(Sales[[#This Row],[Order ID]],ST[Order ID],ST[Units Sold])</f>
        <v>10</v>
      </c>
      <c r="L280">
        <f t="shared" si="4"/>
        <v>67500</v>
      </c>
    </row>
    <row r="281" spans="1:12" x14ac:dyDescent="0.35">
      <c r="A281" s="7">
        <v>1310</v>
      </c>
      <c r="B281" s="1">
        <v>45233</v>
      </c>
      <c r="C281" s="2" t="s">
        <v>11</v>
      </c>
      <c r="D281" t="str">
        <f>_xlfn.XLOOKUP(Merged_Sales_Data!C281,PM[Product ID],PM[Product Name])</f>
        <v>Bluetooth Speaker</v>
      </c>
      <c r="E281" t="str">
        <f>VLOOKUP(C281,PM[],3,FALSE)</f>
        <v>Electronics</v>
      </c>
      <c r="F281">
        <f>_xlfn.XLOOKUP(C281,PM[Product ID],PM[Unit Price (₹)])</f>
        <v>1430</v>
      </c>
      <c r="G281" t="str">
        <f>_xlfn.XLOOKUP(Sales[[#This Row],[Order ID]],ST[Order ID],ST[Employee ID])</f>
        <v>E04</v>
      </c>
      <c r="H281" t="str">
        <f>_xlfn.XLOOKUP(G281,SM[Employee ID],SM[Salesperson])</f>
        <v>Priya Nair</v>
      </c>
      <c r="I281" t="str">
        <f>_xlfn.XLOOKUP(G281,SM[Employee ID],SM[Region])</f>
        <v>South</v>
      </c>
      <c r="J281" t="str">
        <f>_xlfn.XLOOKUP(G281,SM[Employee ID],SM[State/City])</f>
        <v>Bengaluru</v>
      </c>
      <c r="K281" s="2">
        <f>_xlfn.XLOOKUP(Sales[[#This Row],[Order ID]],ST[Order ID],ST[Units Sold])</f>
        <v>5</v>
      </c>
      <c r="L281">
        <f t="shared" si="4"/>
        <v>7150</v>
      </c>
    </row>
    <row r="282" spans="1:12" x14ac:dyDescent="0.35">
      <c r="A282" s="7">
        <v>1301</v>
      </c>
      <c r="B282" s="1">
        <v>45234</v>
      </c>
      <c r="C282" s="2" t="s">
        <v>14</v>
      </c>
      <c r="D282" t="str">
        <f>_xlfn.XLOOKUP(Merged_Sales_Data!C282,PM[Product ID],PM[Product Name])</f>
        <v>Laptop Backpack</v>
      </c>
      <c r="E282" t="str">
        <f>VLOOKUP(C282,PM[],3,FALSE)</f>
        <v>Accessories</v>
      </c>
      <c r="F282">
        <f>_xlfn.XLOOKUP(C282,PM[Product ID],PM[Unit Price (₹)])</f>
        <v>1110</v>
      </c>
      <c r="G282" t="str">
        <f>_xlfn.XLOOKUP(Sales[[#This Row],[Order ID]],ST[Order ID],ST[Employee ID])</f>
        <v>E05</v>
      </c>
      <c r="H282" t="str">
        <f>_xlfn.XLOOKUP(G282,SM[Employee ID],SM[Salesperson])</f>
        <v>Karan Malhotra</v>
      </c>
      <c r="I282" t="str">
        <f>_xlfn.XLOOKUP(G282,SM[Employee ID],SM[Region])</f>
        <v>East</v>
      </c>
      <c r="J282" t="str">
        <f>_xlfn.XLOOKUP(G282,SM[Employee ID],SM[State/City])</f>
        <v>Kolkata</v>
      </c>
      <c r="K282" s="2">
        <f>_xlfn.XLOOKUP(Sales[[#This Row],[Order ID]],ST[Order ID],ST[Units Sold])</f>
        <v>1</v>
      </c>
      <c r="L282">
        <f t="shared" si="4"/>
        <v>1110</v>
      </c>
    </row>
    <row r="283" spans="1:12" x14ac:dyDescent="0.35">
      <c r="A283" s="7">
        <v>1292</v>
      </c>
      <c r="B283" s="1">
        <v>45235</v>
      </c>
      <c r="C283" s="2" t="s">
        <v>14</v>
      </c>
      <c r="D283" t="str">
        <f>_xlfn.XLOOKUP(Merged_Sales_Data!C283,PM[Product ID],PM[Product Name])</f>
        <v>Laptop Backpack</v>
      </c>
      <c r="E283" t="str">
        <f>VLOOKUP(C283,PM[],3,FALSE)</f>
        <v>Accessories</v>
      </c>
      <c r="F283">
        <f>_xlfn.XLOOKUP(C283,PM[Product ID],PM[Unit Price (₹)])</f>
        <v>1110</v>
      </c>
      <c r="G283" t="str">
        <f>_xlfn.XLOOKUP(Sales[[#This Row],[Order ID]],ST[Order ID],ST[Employee ID])</f>
        <v>E02</v>
      </c>
      <c r="H283" t="str">
        <f>_xlfn.XLOOKUP(G283,SM[Employee ID],SM[Salesperson])</f>
        <v>Ishita Verma</v>
      </c>
      <c r="I283" t="str">
        <f>_xlfn.XLOOKUP(G283,SM[Employee ID],SM[Region])</f>
        <v>North</v>
      </c>
      <c r="J283" t="str">
        <f>_xlfn.XLOOKUP(G283,SM[Employee ID],SM[State/City])</f>
        <v>Chandigarh</v>
      </c>
      <c r="K283" s="2">
        <f>_xlfn.XLOOKUP(Sales[[#This Row],[Order ID]],ST[Order ID],ST[Units Sold])</f>
        <v>1</v>
      </c>
      <c r="L283">
        <f t="shared" si="4"/>
        <v>1110</v>
      </c>
    </row>
    <row r="284" spans="1:12" x14ac:dyDescent="0.35">
      <c r="A284" s="7">
        <v>1287</v>
      </c>
      <c r="B284" s="1">
        <v>45236</v>
      </c>
      <c r="C284" s="2" t="s">
        <v>12</v>
      </c>
      <c r="D284" t="str">
        <f>_xlfn.XLOOKUP(Merged_Sales_Data!C284,PM[Product ID],PM[Product Name])</f>
        <v>Bookshelf Unit</v>
      </c>
      <c r="E284" t="str">
        <f>VLOOKUP(C284,PM[],3,FALSE)</f>
        <v>Furniture</v>
      </c>
      <c r="F284">
        <f>_xlfn.XLOOKUP(C284,PM[Product ID],PM[Unit Price (₹)])</f>
        <v>3910</v>
      </c>
      <c r="G284" t="str">
        <f>_xlfn.XLOOKUP(Sales[[#This Row],[Order ID]],ST[Order ID],ST[Employee ID])</f>
        <v>E05</v>
      </c>
      <c r="H284" t="str">
        <f>_xlfn.XLOOKUP(G284,SM[Employee ID],SM[Salesperson])</f>
        <v>Karan Malhotra</v>
      </c>
      <c r="I284" t="str">
        <f>_xlfn.XLOOKUP(G284,SM[Employee ID],SM[Region])</f>
        <v>East</v>
      </c>
      <c r="J284" t="str">
        <f>_xlfn.XLOOKUP(G284,SM[Employee ID],SM[State/City])</f>
        <v>Kolkata</v>
      </c>
      <c r="K284" s="2">
        <f>_xlfn.XLOOKUP(Sales[[#This Row],[Order ID]],ST[Order ID],ST[Units Sold])</f>
        <v>4</v>
      </c>
      <c r="L284">
        <f t="shared" si="4"/>
        <v>15640</v>
      </c>
    </row>
    <row r="285" spans="1:12" x14ac:dyDescent="0.35">
      <c r="A285" s="7">
        <v>1306</v>
      </c>
      <c r="B285" s="1">
        <v>45237</v>
      </c>
      <c r="C285" s="2" t="s">
        <v>21</v>
      </c>
      <c r="D285" t="str">
        <f>_xlfn.XLOOKUP(Merged_Sales_Data!C285,PM[Product ID],PM[Product Name])</f>
        <v>Wireless Mouse</v>
      </c>
      <c r="E285" t="str">
        <f>VLOOKUP(C285,PM[],3,FALSE)</f>
        <v>Electronics</v>
      </c>
      <c r="F285">
        <f>_xlfn.XLOOKUP(C285,PM[Product ID],PM[Unit Price (₹)])</f>
        <v>780</v>
      </c>
      <c r="G285" t="str">
        <f>_xlfn.XLOOKUP(Sales[[#This Row],[Order ID]],ST[Order ID],ST[Employee ID])</f>
        <v>E05</v>
      </c>
      <c r="H285" t="str">
        <f>_xlfn.XLOOKUP(G285,SM[Employee ID],SM[Salesperson])</f>
        <v>Karan Malhotra</v>
      </c>
      <c r="I285" t="str">
        <f>_xlfn.XLOOKUP(G285,SM[Employee ID],SM[Region])</f>
        <v>East</v>
      </c>
      <c r="J285" t="str">
        <f>_xlfn.XLOOKUP(G285,SM[Employee ID],SM[State/City])</f>
        <v>Kolkata</v>
      </c>
      <c r="K285" s="2">
        <f>_xlfn.XLOOKUP(Sales[[#This Row],[Order ID]],ST[Order ID],ST[Units Sold])</f>
        <v>3</v>
      </c>
      <c r="L285">
        <f t="shared" si="4"/>
        <v>2340</v>
      </c>
    </row>
    <row r="286" spans="1:12" x14ac:dyDescent="0.35">
      <c r="A286" s="7">
        <v>1294</v>
      </c>
      <c r="B286" s="1">
        <v>45239</v>
      </c>
      <c r="C286" s="2" t="s">
        <v>10</v>
      </c>
      <c r="D286" t="str">
        <f>_xlfn.XLOOKUP(Merged_Sales_Data!C286,PM[Product ID],PM[Product Name])</f>
        <v>Filing Cabinet</v>
      </c>
      <c r="E286" t="str">
        <f>VLOOKUP(C286,PM[],3,FALSE)</f>
        <v>Furniture</v>
      </c>
      <c r="F286">
        <f>_xlfn.XLOOKUP(C286,PM[Product ID],PM[Unit Price (₹)])</f>
        <v>4070</v>
      </c>
      <c r="G286" t="str">
        <f>_xlfn.XLOOKUP(Sales[[#This Row],[Order ID]],ST[Order ID],ST[Employee ID])</f>
        <v>E02</v>
      </c>
      <c r="H286" t="str">
        <f>_xlfn.XLOOKUP(G286,SM[Employee ID],SM[Salesperson])</f>
        <v>Ishita Verma</v>
      </c>
      <c r="I286" t="str">
        <f>_xlfn.XLOOKUP(G286,SM[Employee ID],SM[Region])</f>
        <v>North</v>
      </c>
      <c r="J286" t="str">
        <f>_xlfn.XLOOKUP(G286,SM[Employee ID],SM[State/City])</f>
        <v>Chandigarh</v>
      </c>
      <c r="K286" s="2">
        <f>_xlfn.XLOOKUP(Sales[[#This Row],[Order ID]],ST[Order ID],ST[Units Sold])</f>
        <v>1</v>
      </c>
      <c r="L286">
        <f t="shared" si="4"/>
        <v>4070</v>
      </c>
    </row>
    <row r="287" spans="1:12" x14ac:dyDescent="0.35">
      <c r="A287" s="7">
        <v>1309</v>
      </c>
      <c r="B287" s="1">
        <v>45239</v>
      </c>
      <c r="C287" s="2" t="s">
        <v>21</v>
      </c>
      <c r="D287" t="str">
        <f>_xlfn.XLOOKUP(Merged_Sales_Data!C287,PM[Product ID],PM[Product Name])</f>
        <v>Wireless Mouse</v>
      </c>
      <c r="E287" t="str">
        <f>VLOOKUP(C287,PM[],3,FALSE)</f>
        <v>Electronics</v>
      </c>
      <c r="F287">
        <f>_xlfn.XLOOKUP(C287,PM[Product ID],PM[Unit Price (₹)])</f>
        <v>780</v>
      </c>
      <c r="G287" t="str">
        <f>_xlfn.XLOOKUP(Sales[[#This Row],[Order ID]],ST[Order ID],ST[Employee ID])</f>
        <v>E06</v>
      </c>
      <c r="H287" t="str">
        <f>_xlfn.XLOOKUP(G287,SM[Employee ID],SM[Salesperson])</f>
        <v>Sneha Roy</v>
      </c>
      <c r="I287" t="str">
        <f>_xlfn.XLOOKUP(G287,SM[Employee ID],SM[Region])</f>
        <v>East</v>
      </c>
      <c r="J287" t="str">
        <f>_xlfn.XLOOKUP(G287,SM[Employee ID],SM[State/City])</f>
        <v>Kolkata</v>
      </c>
      <c r="K287" s="2">
        <f>_xlfn.XLOOKUP(Sales[[#This Row],[Order ID]],ST[Order ID],ST[Units Sold])</f>
        <v>4</v>
      </c>
      <c r="L287">
        <f t="shared" si="4"/>
        <v>3120</v>
      </c>
    </row>
    <row r="288" spans="1:12" x14ac:dyDescent="0.35">
      <c r="A288" s="7">
        <v>1293</v>
      </c>
      <c r="B288" s="1">
        <v>45242</v>
      </c>
      <c r="C288" s="2" t="s">
        <v>10</v>
      </c>
      <c r="D288" t="str">
        <f>_xlfn.XLOOKUP(Merged_Sales_Data!C288,PM[Product ID],PM[Product Name])</f>
        <v>Filing Cabinet</v>
      </c>
      <c r="E288" t="str">
        <f>VLOOKUP(C288,PM[],3,FALSE)</f>
        <v>Furniture</v>
      </c>
      <c r="F288">
        <f>_xlfn.XLOOKUP(C288,PM[Product ID],PM[Unit Price (₹)])</f>
        <v>4070</v>
      </c>
      <c r="G288" t="str">
        <f>_xlfn.XLOOKUP(Sales[[#This Row],[Order ID]],ST[Order ID],ST[Employee ID])</f>
        <v>E04</v>
      </c>
      <c r="H288" t="str">
        <f>_xlfn.XLOOKUP(G288,SM[Employee ID],SM[Salesperson])</f>
        <v>Priya Nair</v>
      </c>
      <c r="I288" t="str">
        <f>_xlfn.XLOOKUP(G288,SM[Employee ID],SM[Region])</f>
        <v>South</v>
      </c>
      <c r="J288" t="str">
        <f>_xlfn.XLOOKUP(G288,SM[Employee ID],SM[State/City])</f>
        <v>Bengaluru</v>
      </c>
      <c r="K288" s="2">
        <f>_xlfn.XLOOKUP(Sales[[#This Row],[Order ID]],ST[Order ID],ST[Units Sold])</f>
        <v>6</v>
      </c>
      <c r="L288">
        <f t="shared" si="4"/>
        <v>24420</v>
      </c>
    </row>
    <row r="289" spans="1:12" x14ac:dyDescent="0.35">
      <c r="A289" s="7">
        <v>1296</v>
      </c>
      <c r="B289" s="1">
        <v>45242</v>
      </c>
      <c r="C289" s="2" t="s">
        <v>10</v>
      </c>
      <c r="D289" t="str">
        <f>_xlfn.XLOOKUP(Merged_Sales_Data!C289,PM[Product ID],PM[Product Name])</f>
        <v>Filing Cabinet</v>
      </c>
      <c r="E289" t="str">
        <f>VLOOKUP(C289,PM[],3,FALSE)</f>
        <v>Furniture</v>
      </c>
      <c r="F289">
        <f>_xlfn.XLOOKUP(C289,PM[Product ID],PM[Unit Price (₹)])</f>
        <v>4070</v>
      </c>
      <c r="G289" t="str">
        <f>_xlfn.XLOOKUP(Sales[[#This Row],[Order ID]],ST[Order ID],ST[Employee ID])</f>
        <v>E05</v>
      </c>
      <c r="H289" t="str">
        <f>_xlfn.XLOOKUP(G289,SM[Employee ID],SM[Salesperson])</f>
        <v>Karan Malhotra</v>
      </c>
      <c r="I289" t="str">
        <f>_xlfn.XLOOKUP(G289,SM[Employee ID],SM[Region])</f>
        <v>East</v>
      </c>
      <c r="J289" t="str">
        <f>_xlfn.XLOOKUP(G289,SM[Employee ID],SM[State/City])</f>
        <v>Kolkata</v>
      </c>
      <c r="K289" s="2">
        <f>_xlfn.XLOOKUP(Sales[[#This Row],[Order ID]],ST[Order ID],ST[Units Sold])</f>
        <v>10</v>
      </c>
      <c r="L289">
        <f t="shared" si="4"/>
        <v>40700</v>
      </c>
    </row>
    <row r="290" spans="1:12" x14ac:dyDescent="0.35">
      <c r="A290" s="7">
        <v>1308</v>
      </c>
      <c r="B290" s="1">
        <v>45242</v>
      </c>
      <c r="C290" s="2" t="s">
        <v>11</v>
      </c>
      <c r="D290" t="str">
        <f>_xlfn.XLOOKUP(Merged_Sales_Data!C290,PM[Product ID],PM[Product Name])</f>
        <v>Bluetooth Speaker</v>
      </c>
      <c r="E290" t="str">
        <f>VLOOKUP(C290,PM[],3,FALSE)</f>
        <v>Electronics</v>
      </c>
      <c r="F290">
        <f>_xlfn.XLOOKUP(C290,PM[Product ID],PM[Unit Price (₹)])</f>
        <v>1430</v>
      </c>
      <c r="G290" t="str">
        <f>_xlfn.XLOOKUP(Sales[[#This Row],[Order ID]],ST[Order ID],ST[Employee ID])</f>
        <v>E06</v>
      </c>
      <c r="H290" t="str">
        <f>_xlfn.XLOOKUP(G290,SM[Employee ID],SM[Salesperson])</f>
        <v>Sneha Roy</v>
      </c>
      <c r="I290" t="str">
        <f>_xlfn.XLOOKUP(G290,SM[Employee ID],SM[Region])</f>
        <v>East</v>
      </c>
      <c r="J290" t="str">
        <f>_xlfn.XLOOKUP(G290,SM[Employee ID],SM[State/City])</f>
        <v>Kolkata</v>
      </c>
      <c r="K290" s="2">
        <f>_xlfn.XLOOKUP(Sales[[#This Row],[Order ID]],ST[Order ID],ST[Units Sold])</f>
        <v>10</v>
      </c>
      <c r="L290">
        <f t="shared" si="4"/>
        <v>14300</v>
      </c>
    </row>
    <row r="291" spans="1:12" x14ac:dyDescent="0.35">
      <c r="A291" s="7">
        <v>1278</v>
      </c>
      <c r="B291" s="1">
        <v>45243</v>
      </c>
      <c r="C291" s="2" t="s">
        <v>11</v>
      </c>
      <c r="D291" t="str">
        <f>_xlfn.XLOOKUP(Merged_Sales_Data!C291,PM[Product ID],PM[Product Name])</f>
        <v>Bluetooth Speaker</v>
      </c>
      <c r="E291" t="str">
        <f>VLOOKUP(C291,PM[],3,FALSE)</f>
        <v>Electronics</v>
      </c>
      <c r="F291">
        <f>_xlfn.XLOOKUP(C291,PM[Product ID],PM[Unit Price (₹)])</f>
        <v>1430</v>
      </c>
      <c r="G291" t="str">
        <f>_xlfn.XLOOKUP(Sales[[#This Row],[Order ID]],ST[Order ID],ST[Employee ID])</f>
        <v>E08</v>
      </c>
      <c r="H291" t="str">
        <f>_xlfn.XLOOKUP(G291,SM[Employee ID],SM[Salesperson])</f>
        <v>Neha Joshi</v>
      </c>
      <c r="I291" t="str">
        <f>_xlfn.XLOOKUP(G291,SM[Employee ID],SM[Region])</f>
        <v>West</v>
      </c>
      <c r="J291" t="str">
        <f>_xlfn.XLOOKUP(G291,SM[Employee ID],SM[State/City])</f>
        <v>Ahmedabad</v>
      </c>
      <c r="K291" s="2">
        <f>_xlfn.XLOOKUP(Sales[[#This Row],[Order ID]],ST[Order ID],ST[Units Sold])</f>
        <v>2</v>
      </c>
      <c r="L291">
        <f t="shared" si="4"/>
        <v>2860</v>
      </c>
    </row>
    <row r="292" spans="1:12" x14ac:dyDescent="0.35">
      <c r="A292" s="7">
        <v>1302</v>
      </c>
      <c r="B292" s="1">
        <v>45243</v>
      </c>
      <c r="C292" s="2" t="s">
        <v>8</v>
      </c>
      <c r="D292" t="str">
        <f>_xlfn.XLOOKUP(Merged_Sales_Data!C292,PM[Product ID],PM[Product Name])</f>
        <v>USB-C Hub</v>
      </c>
      <c r="E292" t="str">
        <f>VLOOKUP(C292,PM[],3,FALSE)</f>
        <v>Accessories</v>
      </c>
      <c r="F292">
        <f>_xlfn.XLOOKUP(C292,PM[Product ID],PM[Unit Price (₹)])</f>
        <v>880</v>
      </c>
      <c r="G292" t="str">
        <f>_xlfn.XLOOKUP(Sales[[#This Row],[Order ID]],ST[Order ID],ST[Employee ID])</f>
        <v>E04</v>
      </c>
      <c r="H292" t="str">
        <f>_xlfn.XLOOKUP(G292,SM[Employee ID],SM[Salesperson])</f>
        <v>Priya Nair</v>
      </c>
      <c r="I292" t="str">
        <f>_xlfn.XLOOKUP(G292,SM[Employee ID],SM[Region])</f>
        <v>South</v>
      </c>
      <c r="J292" t="str">
        <f>_xlfn.XLOOKUP(G292,SM[Employee ID],SM[State/City])</f>
        <v>Bengaluru</v>
      </c>
      <c r="K292" s="2">
        <f>_xlfn.XLOOKUP(Sales[[#This Row],[Order ID]],ST[Order ID],ST[Units Sold])</f>
        <v>1</v>
      </c>
      <c r="L292">
        <f t="shared" si="4"/>
        <v>880</v>
      </c>
    </row>
    <row r="293" spans="1:12" x14ac:dyDescent="0.35">
      <c r="A293" s="7">
        <v>1299</v>
      </c>
      <c r="B293" s="1">
        <v>45244</v>
      </c>
      <c r="C293" s="2" t="s">
        <v>20</v>
      </c>
      <c r="D293" t="str">
        <f>_xlfn.XLOOKUP(Merged_Sales_Data!C293,PM[Product ID],PM[Product Name])</f>
        <v>Standing Desk</v>
      </c>
      <c r="E293" t="str">
        <f>VLOOKUP(C293,PM[],3,FALSE)</f>
        <v>Office Supplies</v>
      </c>
      <c r="F293">
        <f>_xlfn.XLOOKUP(C293,PM[Product ID],PM[Unit Price (₹)])</f>
        <v>11010</v>
      </c>
      <c r="G293" t="str">
        <f>_xlfn.XLOOKUP(Sales[[#This Row],[Order ID]],ST[Order ID],ST[Employee ID])</f>
        <v>E08</v>
      </c>
      <c r="H293" t="str">
        <f>_xlfn.XLOOKUP(G293,SM[Employee ID],SM[Salesperson])</f>
        <v>Neha Joshi</v>
      </c>
      <c r="I293" t="str">
        <f>_xlfn.XLOOKUP(G293,SM[Employee ID],SM[Region])</f>
        <v>West</v>
      </c>
      <c r="J293" t="str">
        <f>_xlfn.XLOOKUP(G293,SM[Employee ID],SM[State/City])</f>
        <v>Ahmedabad</v>
      </c>
      <c r="K293" s="2">
        <f>_xlfn.XLOOKUP(Sales[[#This Row],[Order ID]],ST[Order ID],ST[Units Sold])</f>
        <v>10</v>
      </c>
      <c r="L293">
        <f t="shared" si="4"/>
        <v>110100</v>
      </c>
    </row>
    <row r="294" spans="1:12" x14ac:dyDescent="0.35">
      <c r="A294" s="7">
        <v>1305</v>
      </c>
      <c r="B294" s="1">
        <v>45244</v>
      </c>
      <c r="C294" s="2" t="s">
        <v>14</v>
      </c>
      <c r="D294" t="str">
        <f>_xlfn.XLOOKUP(Merged_Sales_Data!C294,PM[Product ID],PM[Product Name])</f>
        <v>Laptop Backpack</v>
      </c>
      <c r="E294" t="str">
        <f>VLOOKUP(C294,PM[],3,FALSE)</f>
        <v>Accessories</v>
      </c>
      <c r="F294">
        <f>_xlfn.XLOOKUP(C294,PM[Product ID],PM[Unit Price (₹)])</f>
        <v>1110</v>
      </c>
      <c r="G294" t="str">
        <f>_xlfn.XLOOKUP(Sales[[#This Row],[Order ID]],ST[Order ID],ST[Employee ID])</f>
        <v>E02</v>
      </c>
      <c r="H294" t="str">
        <f>_xlfn.XLOOKUP(G294,SM[Employee ID],SM[Salesperson])</f>
        <v>Ishita Verma</v>
      </c>
      <c r="I294" t="str">
        <f>_xlfn.XLOOKUP(G294,SM[Employee ID],SM[Region])</f>
        <v>North</v>
      </c>
      <c r="J294" t="str">
        <f>_xlfn.XLOOKUP(G294,SM[Employee ID],SM[State/City])</f>
        <v>Chandigarh</v>
      </c>
      <c r="K294" s="2">
        <f>_xlfn.XLOOKUP(Sales[[#This Row],[Order ID]],ST[Order ID],ST[Units Sold])</f>
        <v>8</v>
      </c>
      <c r="L294">
        <f t="shared" si="4"/>
        <v>8880</v>
      </c>
    </row>
    <row r="295" spans="1:12" x14ac:dyDescent="0.35">
      <c r="A295" s="7">
        <v>1276</v>
      </c>
      <c r="B295" s="1">
        <v>45245</v>
      </c>
      <c r="C295" s="2" t="s">
        <v>10</v>
      </c>
      <c r="D295" t="str">
        <f>_xlfn.XLOOKUP(Merged_Sales_Data!C295,PM[Product ID],PM[Product Name])</f>
        <v>Filing Cabinet</v>
      </c>
      <c r="E295" t="str">
        <f>VLOOKUP(C295,PM[],3,FALSE)</f>
        <v>Furniture</v>
      </c>
      <c r="F295">
        <f>_xlfn.XLOOKUP(C295,PM[Product ID],PM[Unit Price (₹)])</f>
        <v>4070</v>
      </c>
      <c r="G295" t="str">
        <f>_xlfn.XLOOKUP(Sales[[#This Row],[Order ID]],ST[Order ID],ST[Employee ID])</f>
        <v>E05</v>
      </c>
      <c r="H295" t="str">
        <f>_xlfn.XLOOKUP(G295,SM[Employee ID],SM[Salesperson])</f>
        <v>Karan Malhotra</v>
      </c>
      <c r="I295" t="str">
        <f>_xlfn.XLOOKUP(G295,SM[Employee ID],SM[Region])</f>
        <v>East</v>
      </c>
      <c r="J295" t="str">
        <f>_xlfn.XLOOKUP(G295,SM[Employee ID],SM[State/City])</f>
        <v>Kolkata</v>
      </c>
      <c r="K295" s="2">
        <f>_xlfn.XLOOKUP(Sales[[#This Row],[Order ID]],ST[Order ID],ST[Units Sold])</f>
        <v>2</v>
      </c>
      <c r="L295">
        <f t="shared" si="4"/>
        <v>8140</v>
      </c>
    </row>
    <row r="296" spans="1:12" x14ac:dyDescent="0.35">
      <c r="A296" s="7">
        <v>1275</v>
      </c>
      <c r="B296" s="1">
        <v>45249</v>
      </c>
      <c r="C296" s="2" t="s">
        <v>14</v>
      </c>
      <c r="D296" t="str">
        <f>_xlfn.XLOOKUP(Merged_Sales_Data!C296,PM[Product ID],PM[Product Name])</f>
        <v>Laptop Backpack</v>
      </c>
      <c r="E296" t="str">
        <f>VLOOKUP(C296,PM[],3,FALSE)</f>
        <v>Accessories</v>
      </c>
      <c r="F296">
        <f>_xlfn.XLOOKUP(C296,PM[Product ID],PM[Unit Price (₹)])</f>
        <v>1110</v>
      </c>
      <c r="G296" t="str">
        <f>_xlfn.XLOOKUP(Sales[[#This Row],[Order ID]],ST[Order ID],ST[Employee ID])</f>
        <v>E02</v>
      </c>
      <c r="H296" t="str">
        <f>_xlfn.XLOOKUP(G296,SM[Employee ID],SM[Salesperson])</f>
        <v>Ishita Verma</v>
      </c>
      <c r="I296" t="str">
        <f>_xlfn.XLOOKUP(G296,SM[Employee ID],SM[Region])</f>
        <v>North</v>
      </c>
      <c r="J296" t="str">
        <f>_xlfn.XLOOKUP(G296,SM[Employee ID],SM[State/City])</f>
        <v>Chandigarh</v>
      </c>
      <c r="K296" s="2">
        <f>_xlfn.XLOOKUP(Sales[[#This Row],[Order ID]],ST[Order ID],ST[Units Sold])</f>
        <v>3</v>
      </c>
      <c r="L296">
        <f t="shared" si="4"/>
        <v>3330</v>
      </c>
    </row>
    <row r="297" spans="1:12" x14ac:dyDescent="0.35">
      <c r="A297" s="7">
        <v>1280</v>
      </c>
      <c r="B297" s="1">
        <v>45249</v>
      </c>
      <c r="C297" s="2" t="s">
        <v>20</v>
      </c>
      <c r="D297" t="str">
        <f>_xlfn.XLOOKUP(Merged_Sales_Data!C297,PM[Product ID],PM[Product Name])</f>
        <v>Standing Desk</v>
      </c>
      <c r="E297" t="str">
        <f>VLOOKUP(C297,PM[],3,FALSE)</f>
        <v>Office Supplies</v>
      </c>
      <c r="F297">
        <f>_xlfn.XLOOKUP(C297,PM[Product ID],PM[Unit Price (₹)])</f>
        <v>11010</v>
      </c>
      <c r="G297" t="str">
        <f>_xlfn.XLOOKUP(Sales[[#This Row],[Order ID]],ST[Order ID],ST[Employee ID])</f>
        <v>E07</v>
      </c>
      <c r="H297" t="str">
        <f>_xlfn.XLOOKUP(G297,SM[Employee ID],SM[Salesperson])</f>
        <v>Aditya Kapoor</v>
      </c>
      <c r="I297" t="str">
        <f>_xlfn.XLOOKUP(G297,SM[Employee ID],SM[Region])</f>
        <v>West</v>
      </c>
      <c r="J297" t="str">
        <f>_xlfn.XLOOKUP(G297,SM[Employee ID],SM[State/City])</f>
        <v>Mumbai</v>
      </c>
      <c r="K297" s="2">
        <f>_xlfn.XLOOKUP(Sales[[#This Row],[Order ID]],ST[Order ID],ST[Units Sold])</f>
        <v>1</v>
      </c>
      <c r="L297">
        <f t="shared" si="4"/>
        <v>11010</v>
      </c>
    </row>
    <row r="298" spans="1:12" x14ac:dyDescent="0.35">
      <c r="A298" s="7">
        <v>1282</v>
      </c>
      <c r="B298" s="1">
        <v>45251</v>
      </c>
      <c r="C298" s="2" t="s">
        <v>12</v>
      </c>
      <c r="D298" t="str">
        <f>_xlfn.XLOOKUP(Merged_Sales_Data!C298,PM[Product ID],PM[Product Name])</f>
        <v>Bookshelf Unit</v>
      </c>
      <c r="E298" t="str">
        <f>VLOOKUP(C298,PM[],3,FALSE)</f>
        <v>Furniture</v>
      </c>
      <c r="F298">
        <f>_xlfn.XLOOKUP(C298,PM[Product ID],PM[Unit Price (₹)])</f>
        <v>3910</v>
      </c>
      <c r="G298" t="str">
        <f>_xlfn.XLOOKUP(Sales[[#This Row],[Order ID]],ST[Order ID],ST[Employee ID])</f>
        <v>E04</v>
      </c>
      <c r="H298" t="str">
        <f>_xlfn.XLOOKUP(G298,SM[Employee ID],SM[Salesperson])</f>
        <v>Priya Nair</v>
      </c>
      <c r="I298" t="str">
        <f>_xlfn.XLOOKUP(G298,SM[Employee ID],SM[Region])</f>
        <v>South</v>
      </c>
      <c r="J298" t="str">
        <f>_xlfn.XLOOKUP(G298,SM[Employee ID],SM[State/City])</f>
        <v>Bengaluru</v>
      </c>
      <c r="K298" s="2">
        <f>_xlfn.XLOOKUP(Sales[[#This Row],[Order ID]],ST[Order ID],ST[Units Sold])</f>
        <v>2</v>
      </c>
      <c r="L298">
        <f t="shared" si="4"/>
        <v>7820</v>
      </c>
    </row>
    <row r="299" spans="1:12" x14ac:dyDescent="0.35">
      <c r="A299" s="7">
        <v>1284</v>
      </c>
      <c r="B299" s="1">
        <v>45251</v>
      </c>
      <c r="C299" s="2" t="s">
        <v>11</v>
      </c>
      <c r="D299" t="str">
        <f>_xlfn.XLOOKUP(Merged_Sales_Data!C299,PM[Product ID],PM[Product Name])</f>
        <v>Bluetooth Speaker</v>
      </c>
      <c r="E299" t="str">
        <f>VLOOKUP(C299,PM[],3,FALSE)</f>
        <v>Electronics</v>
      </c>
      <c r="F299">
        <f>_xlfn.XLOOKUP(C299,PM[Product ID],PM[Unit Price (₹)])</f>
        <v>1430</v>
      </c>
      <c r="G299" t="str">
        <f>_xlfn.XLOOKUP(Sales[[#This Row],[Order ID]],ST[Order ID],ST[Employee ID])</f>
        <v>E03</v>
      </c>
      <c r="H299" t="str">
        <f>_xlfn.XLOOKUP(G299,SM[Employee ID],SM[Salesperson])</f>
        <v>Rohan Mehta</v>
      </c>
      <c r="I299" t="str">
        <f>_xlfn.XLOOKUP(G299,SM[Employee ID],SM[Region])</f>
        <v>South</v>
      </c>
      <c r="J299" t="str">
        <f>_xlfn.XLOOKUP(G299,SM[Employee ID],SM[State/City])</f>
        <v>Bengaluru</v>
      </c>
      <c r="K299" s="2">
        <f>_xlfn.XLOOKUP(Sales[[#This Row],[Order ID]],ST[Order ID],ST[Units Sold])</f>
        <v>10</v>
      </c>
      <c r="L299">
        <f t="shared" si="4"/>
        <v>14300</v>
      </c>
    </row>
    <row r="300" spans="1:12" x14ac:dyDescent="0.35">
      <c r="A300" s="7">
        <v>1304</v>
      </c>
      <c r="B300" s="1">
        <v>45251</v>
      </c>
      <c r="C300" s="2" t="s">
        <v>18</v>
      </c>
      <c r="D300" t="str">
        <f>_xlfn.XLOOKUP(Merged_Sales_Data!C300,PM[Product ID],PM[Product Name])</f>
        <v>LED Monitor 24"</v>
      </c>
      <c r="E300" t="str">
        <f>VLOOKUP(C300,PM[],3,FALSE)</f>
        <v>Electronics</v>
      </c>
      <c r="F300">
        <f>_xlfn.XLOOKUP(C300,PM[Product ID],PM[Unit Price (₹)])</f>
        <v>7700</v>
      </c>
      <c r="G300" t="str">
        <f>_xlfn.XLOOKUP(Sales[[#This Row],[Order ID]],ST[Order ID],ST[Employee ID])</f>
        <v>E07</v>
      </c>
      <c r="H300" t="str">
        <f>_xlfn.XLOOKUP(G300,SM[Employee ID],SM[Salesperson])</f>
        <v>Aditya Kapoor</v>
      </c>
      <c r="I300" t="str">
        <f>_xlfn.XLOOKUP(G300,SM[Employee ID],SM[Region])</f>
        <v>West</v>
      </c>
      <c r="J300" t="str">
        <f>_xlfn.XLOOKUP(G300,SM[Employee ID],SM[State/City])</f>
        <v>Mumbai</v>
      </c>
      <c r="K300" s="2">
        <f>_xlfn.XLOOKUP(Sales[[#This Row],[Order ID]],ST[Order ID],ST[Units Sold])</f>
        <v>4</v>
      </c>
      <c r="L300">
        <f t="shared" si="4"/>
        <v>30800</v>
      </c>
    </row>
    <row r="301" spans="1:12" x14ac:dyDescent="0.35">
      <c r="A301" s="7">
        <v>1295</v>
      </c>
      <c r="B301" s="1">
        <v>45252</v>
      </c>
      <c r="C301" s="2" t="s">
        <v>14</v>
      </c>
      <c r="D301" t="str">
        <f>_xlfn.XLOOKUP(Merged_Sales_Data!C301,PM[Product ID],PM[Product Name])</f>
        <v>Laptop Backpack</v>
      </c>
      <c r="E301" t="str">
        <f>VLOOKUP(C301,PM[],3,FALSE)</f>
        <v>Accessories</v>
      </c>
      <c r="F301">
        <f>_xlfn.XLOOKUP(C301,PM[Product ID],PM[Unit Price (₹)])</f>
        <v>1110</v>
      </c>
      <c r="G301" t="str">
        <f>_xlfn.XLOOKUP(Sales[[#This Row],[Order ID]],ST[Order ID],ST[Employee ID])</f>
        <v>E02</v>
      </c>
      <c r="H301" t="str">
        <f>_xlfn.XLOOKUP(G301,SM[Employee ID],SM[Salesperson])</f>
        <v>Ishita Verma</v>
      </c>
      <c r="I301" t="str">
        <f>_xlfn.XLOOKUP(G301,SM[Employee ID],SM[Region])</f>
        <v>North</v>
      </c>
      <c r="J301" t="str">
        <f>_xlfn.XLOOKUP(G301,SM[Employee ID],SM[State/City])</f>
        <v>Chandigarh</v>
      </c>
      <c r="K301" s="2">
        <f>_xlfn.XLOOKUP(Sales[[#This Row],[Order ID]],ST[Order ID],ST[Units Sold])</f>
        <v>3</v>
      </c>
      <c r="L301">
        <f t="shared" si="4"/>
        <v>3330</v>
      </c>
    </row>
    <row r="302" spans="1:12" x14ac:dyDescent="0.35">
      <c r="A302" s="7">
        <v>1303</v>
      </c>
      <c r="B302" s="1">
        <v>45254</v>
      </c>
      <c r="C302" s="2" t="s">
        <v>12</v>
      </c>
      <c r="D302" t="str">
        <f>_xlfn.XLOOKUP(Merged_Sales_Data!C302,PM[Product ID],PM[Product Name])</f>
        <v>Bookshelf Unit</v>
      </c>
      <c r="E302" t="str">
        <f>VLOOKUP(C302,PM[],3,FALSE)</f>
        <v>Furniture</v>
      </c>
      <c r="F302">
        <f>_xlfn.XLOOKUP(C302,PM[Product ID],PM[Unit Price (₹)])</f>
        <v>3910</v>
      </c>
      <c r="G302" t="str">
        <f>_xlfn.XLOOKUP(Sales[[#This Row],[Order ID]],ST[Order ID],ST[Employee ID])</f>
        <v>E08</v>
      </c>
      <c r="H302" t="str">
        <f>_xlfn.XLOOKUP(G302,SM[Employee ID],SM[Salesperson])</f>
        <v>Neha Joshi</v>
      </c>
      <c r="I302" t="str">
        <f>_xlfn.XLOOKUP(G302,SM[Employee ID],SM[Region])</f>
        <v>West</v>
      </c>
      <c r="J302" t="str">
        <f>_xlfn.XLOOKUP(G302,SM[Employee ID],SM[State/City])</f>
        <v>Ahmedabad</v>
      </c>
      <c r="K302" s="2">
        <f>_xlfn.XLOOKUP(Sales[[#This Row],[Order ID]],ST[Order ID],ST[Units Sold])</f>
        <v>10</v>
      </c>
      <c r="L302">
        <f t="shared" si="4"/>
        <v>39100</v>
      </c>
    </row>
    <row r="303" spans="1:12" x14ac:dyDescent="0.35">
      <c r="A303" s="7">
        <v>1281</v>
      </c>
      <c r="B303" s="1">
        <v>45255</v>
      </c>
      <c r="C303" s="2" t="s">
        <v>14</v>
      </c>
      <c r="D303" t="str">
        <f>_xlfn.XLOOKUP(Merged_Sales_Data!C303,PM[Product ID],PM[Product Name])</f>
        <v>Laptop Backpack</v>
      </c>
      <c r="E303" t="str">
        <f>VLOOKUP(C303,PM[],3,FALSE)</f>
        <v>Accessories</v>
      </c>
      <c r="F303">
        <f>_xlfn.XLOOKUP(C303,PM[Product ID],PM[Unit Price (₹)])</f>
        <v>1110</v>
      </c>
      <c r="G303" t="str">
        <f>_xlfn.XLOOKUP(Sales[[#This Row],[Order ID]],ST[Order ID],ST[Employee ID])</f>
        <v>E01</v>
      </c>
      <c r="H303" t="str">
        <f>_xlfn.XLOOKUP(G303,SM[Employee ID],SM[Salesperson])</f>
        <v>Aarav Sharma</v>
      </c>
      <c r="I303" t="str">
        <f>_xlfn.XLOOKUP(G303,SM[Employee ID],SM[Region])</f>
        <v>North</v>
      </c>
      <c r="J303" t="str">
        <f>_xlfn.XLOOKUP(G303,SM[Employee ID],SM[State/City])</f>
        <v>Lucknow</v>
      </c>
      <c r="K303" s="2">
        <f>_xlfn.XLOOKUP(Sales[[#This Row],[Order ID]],ST[Order ID],ST[Units Sold])</f>
        <v>2</v>
      </c>
      <c r="L303">
        <f t="shared" si="4"/>
        <v>2220</v>
      </c>
    </row>
    <row r="304" spans="1:12" x14ac:dyDescent="0.35">
      <c r="A304" s="7">
        <v>1283</v>
      </c>
      <c r="B304" s="1">
        <v>45255</v>
      </c>
      <c r="C304" s="2" t="s">
        <v>20</v>
      </c>
      <c r="D304" t="str">
        <f>_xlfn.XLOOKUP(Merged_Sales_Data!C304,PM[Product ID],PM[Product Name])</f>
        <v>Standing Desk</v>
      </c>
      <c r="E304" t="str">
        <f>VLOOKUP(C304,PM[],3,FALSE)</f>
        <v>Office Supplies</v>
      </c>
      <c r="F304">
        <f>_xlfn.XLOOKUP(C304,PM[Product ID],PM[Unit Price (₹)])</f>
        <v>11010</v>
      </c>
      <c r="G304" t="str">
        <f>_xlfn.XLOOKUP(Sales[[#This Row],[Order ID]],ST[Order ID],ST[Employee ID])</f>
        <v>E04</v>
      </c>
      <c r="H304" t="str">
        <f>_xlfn.XLOOKUP(G304,SM[Employee ID],SM[Salesperson])</f>
        <v>Priya Nair</v>
      </c>
      <c r="I304" t="str">
        <f>_xlfn.XLOOKUP(G304,SM[Employee ID],SM[Region])</f>
        <v>South</v>
      </c>
      <c r="J304" t="str">
        <f>_xlfn.XLOOKUP(G304,SM[Employee ID],SM[State/City])</f>
        <v>Bengaluru</v>
      </c>
      <c r="K304" s="2">
        <f>_xlfn.XLOOKUP(Sales[[#This Row],[Order ID]],ST[Order ID],ST[Units Sold])</f>
        <v>10</v>
      </c>
      <c r="L304">
        <f t="shared" si="4"/>
        <v>110100</v>
      </c>
    </row>
    <row r="305" spans="1:12" x14ac:dyDescent="0.35">
      <c r="A305" s="7">
        <v>1291</v>
      </c>
      <c r="B305" s="1">
        <v>45256</v>
      </c>
      <c r="C305" s="2" t="s">
        <v>20</v>
      </c>
      <c r="D305" t="str">
        <f>_xlfn.XLOOKUP(Merged_Sales_Data!C305,PM[Product ID],PM[Product Name])</f>
        <v>Standing Desk</v>
      </c>
      <c r="E305" t="str">
        <f>VLOOKUP(C305,PM[],3,FALSE)</f>
        <v>Office Supplies</v>
      </c>
      <c r="F305">
        <f>_xlfn.XLOOKUP(C305,PM[Product ID],PM[Unit Price (₹)])</f>
        <v>11010</v>
      </c>
      <c r="G305" t="str">
        <f>_xlfn.XLOOKUP(Sales[[#This Row],[Order ID]],ST[Order ID],ST[Employee ID])</f>
        <v>E08</v>
      </c>
      <c r="H305" t="str">
        <f>_xlfn.XLOOKUP(G305,SM[Employee ID],SM[Salesperson])</f>
        <v>Neha Joshi</v>
      </c>
      <c r="I305" t="str">
        <f>_xlfn.XLOOKUP(G305,SM[Employee ID],SM[Region])</f>
        <v>West</v>
      </c>
      <c r="J305" t="str">
        <f>_xlfn.XLOOKUP(G305,SM[Employee ID],SM[State/City])</f>
        <v>Ahmedabad</v>
      </c>
      <c r="K305" s="2">
        <f>_xlfn.XLOOKUP(Sales[[#This Row],[Order ID]],ST[Order ID],ST[Units Sold])</f>
        <v>3</v>
      </c>
      <c r="L305">
        <f t="shared" si="4"/>
        <v>33030</v>
      </c>
    </row>
    <row r="306" spans="1:12" x14ac:dyDescent="0.35">
      <c r="A306" s="7">
        <v>1277</v>
      </c>
      <c r="B306" s="1">
        <v>45258</v>
      </c>
      <c r="C306" s="2" t="s">
        <v>5</v>
      </c>
      <c r="D306" t="str">
        <f>_xlfn.XLOOKUP(Merged_Sales_Data!C306,PM[Product ID],PM[Product Name])</f>
        <v>Ergo Office Chair</v>
      </c>
      <c r="E306" t="str">
        <f>VLOOKUP(C306,PM[],3,FALSE)</f>
        <v>Office Supplies</v>
      </c>
      <c r="F306">
        <f>_xlfn.XLOOKUP(C306,PM[Product ID],PM[Unit Price (₹)])</f>
        <v>6750</v>
      </c>
      <c r="G306" t="str">
        <f>_xlfn.XLOOKUP(Sales[[#This Row],[Order ID]],ST[Order ID],ST[Employee ID])</f>
        <v>E05</v>
      </c>
      <c r="H306" t="str">
        <f>_xlfn.XLOOKUP(G306,SM[Employee ID],SM[Salesperson])</f>
        <v>Karan Malhotra</v>
      </c>
      <c r="I306" t="str">
        <f>_xlfn.XLOOKUP(G306,SM[Employee ID],SM[Region])</f>
        <v>East</v>
      </c>
      <c r="J306" t="str">
        <f>_xlfn.XLOOKUP(G306,SM[Employee ID],SM[State/City])</f>
        <v>Kolkata</v>
      </c>
      <c r="K306" s="2">
        <f>_xlfn.XLOOKUP(Sales[[#This Row],[Order ID]],ST[Order ID],ST[Units Sold])</f>
        <v>4</v>
      </c>
      <c r="L306">
        <f t="shared" si="4"/>
        <v>27000</v>
      </c>
    </row>
    <row r="307" spans="1:12" x14ac:dyDescent="0.35">
      <c r="A307" s="7">
        <v>1307</v>
      </c>
      <c r="B307" s="1">
        <v>45258</v>
      </c>
      <c r="C307" s="2" t="s">
        <v>14</v>
      </c>
      <c r="D307" t="str">
        <f>_xlfn.XLOOKUP(Merged_Sales_Data!C307,PM[Product ID],PM[Product Name])</f>
        <v>Laptop Backpack</v>
      </c>
      <c r="E307" t="str">
        <f>VLOOKUP(C307,PM[],3,FALSE)</f>
        <v>Accessories</v>
      </c>
      <c r="F307">
        <f>_xlfn.XLOOKUP(C307,PM[Product ID],PM[Unit Price (₹)])</f>
        <v>1110</v>
      </c>
      <c r="G307" t="str">
        <f>_xlfn.XLOOKUP(Sales[[#This Row],[Order ID]],ST[Order ID],ST[Employee ID])</f>
        <v>E08</v>
      </c>
      <c r="H307" t="str">
        <f>_xlfn.XLOOKUP(G307,SM[Employee ID],SM[Salesperson])</f>
        <v>Neha Joshi</v>
      </c>
      <c r="I307" t="str">
        <f>_xlfn.XLOOKUP(G307,SM[Employee ID],SM[Region])</f>
        <v>West</v>
      </c>
      <c r="J307" t="str">
        <f>_xlfn.XLOOKUP(G307,SM[Employee ID],SM[State/City])</f>
        <v>Ahmedabad</v>
      </c>
      <c r="K307" s="2">
        <f>_xlfn.XLOOKUP(Sales[[#This Row],[Order ID]],ST[Order ID],ST[Units Sold])</f>
        <v>2</v>
      </c>
      <c r="L307">
        <f t="shared" si="4"/>
        <v>2220</v>
      </c>
    </row>
    <row r="308" spans="1:12" x14ac:dyDescent="0.35">
      <c r="A308" s="7">
        <v>1288</v>
      </c>
      <c r="B308" s="1">
        <v>45259</v>
      </c>
      <c r="C308" s="2" t="s">
        <v>18</v>
      </c>
      <c r="D308" t="str">
        <f>_xlfn.XLOOKUP(Merged_Sales_Data!C308,PM[Product ID],PM[Product Name])</f>
        <v>LED Monitor 24"</v>
      </c>
      <c r="E308" t="str">
        <f>VLOOKUP(C308,PM[],3,FALSE)</f>
        <v>Electronics</v>
      </c>
      <c r="F308">
        <f>_xlfn.XLOOKUP(C308,PM[Product ID],PM[Unit Price (₹)])</f>
        <v>7700</v>
      </c>
      <c r="G308" t="str">
        <f>_xlfn.XLOOKUP(Sales[[#This Row],[Order ID]],ST[Order ID],ST[Employee ID])</f>
        <v>E04</v>
      </c>
      <c r="H308" t="str">
        <f>_xlfn.XLOOKUP(G308,SM[Employee ID],SM[Salesperson])</f>
        <v>Priya Nair</v>
      </c>
      <c r="I308" t="str">
        <f>_xlfn.XLOOKUP(G308,SM[Employee ID],SM[Region])</f>
        <v>South</v>
      </c>
      <c r="J308" t="str">
        <f>_xlfn.XLOOKUP(G308,SM[Employee ID],SM[State/City])</f>
        <v>Bengaluru</v>
      </c>
      <c r="K308" s="2">
        <f>_xlfn.XLOOKUP(Sales[[#This Row],[Order ID]],ST[Order ID],ST[Units Sold])</f>
        <v>6</v>
      </c>
      <c r="L308">
        <f t="shared" si="4"/>
        <v>46200</v>
      </c>
    </row>
    <row r="309" spans="1:12" x14ac:dyDescent="0.35">
      <c r="A309" s="7">
        <v>1286</v>
      </c>
      <c r="B309" s="1">
        <v>45260</v>
      </c>
      <c r="C309" s="2" t="s">
        <v>18</v>
      </c>
      <c r="D309" t="str">
        <f>_xlfn.XLOOKUP(Merged_Sales_Data!C309,PM[Product ID],PM[Product Name])</f>
        <v>LED Monitor 24"</v>
      </c>
      <c r="E309" t="str">
        <f>VLOOKUP(C309,PM[],3,FALSE)</f>
        <v>Electronics</v>
      </c>
      <c r="F309">
        <f>_xlfn.XLOOKUP(C309,PM[Product ID],PM[Unit Price (₹)])</f>
        <v>7700</v>
      </c>
      <c r="G309" t="str">
        <f>_xlfn.XLOOKUP(Sales[[#This Row],[Order ID]],ST[Order ID],ST[Employee ID])</f>
        <v>E06</v>
      </c>
      <c r="H309" t="str">
        <f>_xlfn.XLOOKUP(G309,SM[Employee ID],SM[Salesperson])</f>
        <v>Sneha Roy</v>
      </c>
      <c r="I309" t="str">
        <f>_xlfn.XLOOKUP(G309,SM[Employee ID],SM[Region])</f>
        <v>East</v>
      </c>
      <c r="J309" t="str">
        <f>_xlfn.XLOOKUP(G309,SM[Employee ID],SM[State/City])</f>
        <v>Kolkata</v>
      </c>
      <c r="K309" s="2">
        <f>_xlfn.XLOOKUP(Sales[[#This Row],[Order ID]],ST[Order ID],ST[Units Sold])</f>
        <v>1</v>
      </c>
      <c r="L309">
        <f t="shared" si="4"/>
        <v>7700</v>
      </c>
    </row>
    <row r="310" spans="1:12" x14ac:dyDescent="0.35">
      <c r="A310" s="7">
        <v>1289</v>
      </c>
      <c r="B310" s="1">
        <v>45260</v>
      </c>
      <c r="C310" s="2" t="s">
        <v>8</v>
      </c>
      <c r="D310" t="str">
        <f>_xlfn.XLOOKUP(Merged_Sales_Data!C310,PM[Product ID],PM[Product Name])</f>
        <v>USB-C Hub</v>
      </c>
      <c r="E310" t="str">
        <f>VLOOKUP(C310,PM[],3,FALSE)</f>
        <v>Accessories</v>
      </c>
      <c r="F310">
        <f>_xlfn.XLOOKUP(C310,PM[Product ID],PM[Unit Price (₹)])</f>
        <v>880</v>
      </c>
      <c r="G310" t="str">
        <f>_xlfn.XLOOKUP(Sales[[#This Row],[Order ID]],ST[Order ID],ST[Employee ID])</f>
        <v>E06</v>
      </c>
      <c r="H310" t="str">
        <f>_xlfn.XLOOKUP(G310,SM[Employee ID],SM[Salesperson])</f>
        <v>Sneha Roy</v>
      </c>
      <c r="I310" t="str">
        <f>_xlfn.XLOOKUP(G310,SM[Employee ID],SM[Region])</f>
        <v>East</v>
      </c>
      <c r="J310" t="str">
        <f>_xlfn.XLOOKUP(G310,SM[Employee ID],SM[State/City])</f>
        <v>Kolkata</v>
      </c>
      <c r="K310" s="2">
        <f>_xlfn.XLOOKUP(Sales[[#This Row],[Order ID]],ST[Order ID],ST[Units Sold])</f>
        <v>6</v>
      </c>
      <c r="L310">
        <f t="shared" si="4"/>
        <v>5280</v>
      </c>
    </row>
    <row r="311" spans="1:12" x14ac:dyDescent="0.35">
      <c r="A311" s="7">
        <v>1290</v>
      </c>
      <c r="B311" s="1">
        <v>45260</v>
      </c>
      <c r="C311" s="2" t="s">
        <v>18</v>
      </c>
      <c r="D311" t="str">
        <f>_xlfn.XLOOKUP(Merged_Sales_Data!C311,PM[Product ID],PM[Product Name])</f>
        <v>LED Monitor 24"</v>
      </c>
      <c r="E311" t="str">
        <f>VLOOKUP(C311,PM[],3,FALSE)</f>
        <v>Electronics</v>
      </c>
      <c r="F311">
        <f>_xlfn.XLOOKUP(C311,PM[Product ID],PM[Unit Price (₹)])</f>
        <v>7700</v>
      </c>
      <c r="G311" t="str">
        <f>_xlfn.XLOOKUP(Sales[[#This Row],[Order ID]],ST[Order ID],ST[Employee ID])</f>
        <v>E05</v>
      </c>
      <c r="H311" t="str">
        <f>_xlfn.XLOOKUP(G311,SM[Employee ID],SM[Salesperson])</f>
        <v>Karan Malhotra</v>
      </c>
      <c r="I311" t="str">
        <f>_xlfn.XLOOKUP(G311,SM[Employee ID],SM[Region])</f>
        <v>East</v>
      </c>
      <c r="J311" t="str">
        <f>_xlfn.XLOOKUP(G311,SM[Employee ID],SM[State/City])</f>
        <v>Kolkata</v>
      </c>
      <c r="K311" s="2">
        <f>_xlfn.XLOOKUP(Sales[[#This Row],[Order ID]],ST[Order ID],ST[Units Sold])</f>
        <v>2</v>
      </c>
      <c r="L311">
        <f t="shared" si="4"/>
        <v>15400</v>
      </c>
    </row>
    <row r="312" spans="1:12" x14ac:dyDescent="0.35">
      <c r="A312" s="7">
        <v>1322</v>
      </c>
      <c r="B312" s="1">
        <v>45264</v>
      </c>
      <c r="C312" s="2" t="s">
        <v>8</v>
      </c>
      <c r="D312" t="str">
        <f>_xlfn.XLOOKUP(Merged_Sales_Data!C312,PM[Product ID],PM[Product Name])</f>
        <v>USB-C Hub</v>
      </c>
      <c r="E312" t="str">
        <f>VLOOKUP(C312,PM[],3,FALSE)</f>
        <v>Accessories</v>
      </c>
      <c r="F312">
        <f>_xlfn.XLOOKUP(C312,PM[Product ID],PM[Unit Price (₹)])</f>
        <v>880</v>
      </c>
      <c r="G312" t="str">
        <f>_xlfn.XLOOKUP(Sales[[#This Row],[Order ID]],ST[Order ID],ST[Employee ID])</f>
        <v>E06</v>
      </c>
      <c r="H312" t="str">
        <f>_xlfn.XLOOKUP(G312,SM[Employee ID],SM[Salesperson])</f>
        <v>Sneha Roy</v>
      </c>
      <c r="I312" t="str">
        <f>_xlfn.XLOOKUP(G312,SM[Employee ID],SM[Region])</f>
        <v>East</v>
      </c>
      <c r="J312" t="str">
        <f>_xlfn.XLOOKUP(G312,SM[Employee ID],SM[State/City])</f>
        <v>Kolkata</v>
      </c>
      <c r="K312" s="2">
        <f>_xlfn.XLOOKUP(Sales[[#This Row],[Order ID]],ST[Order ID],ST[Units Sold])</f>
        <v>8</v>
      </c>
      <c r="L312">
        <f t="shared" si="4"/>
        <v>7040</v>
      </c>
    </row>
    <row r="313" spans="1:12" x14ac:dyDescent="0.35">
      <c r="A313" s="7">
        <v>1326</v>
      </c>
      <c r="B313" s="1">
        <v>45264</v>
      </c>
      <c r="C313" s="2" t="s">
        <v>10</v>
      </c>
      <c r="D313" t="str">
        <f>_xlfn.XLOOKUP(Merged_Sales_Data!C313,PM[Product ID],PM[Product Name])</f>
        <v>Filing Cabinet</v>
      </c>
      <c r="E313" t="str">
        <f>VLOOKUP(C313,PM[],3,FALSE)</f>
        <v>Furniture</v>
      </c>
      <c r="F313">
        <f>_xlfn.XLOOKUP(C313,PM[Product ID],PM[Unit Price (₹)])</f>
        <v>4070</v>
      </c>
      <c r="G313" t="str">
        <f>_xlfn.XLOOKUP(Sales[[#This Row],[Order ID]],ST[Order ID],ST[Employee ID])</f>
        <v>E07</v>
      </c>
      <c r="H313" t="str">
        <f>_xlfn.XLOOKUP(G313,SM[Employee ID],SM[Salesperson])</f>
        <v>Aditya Kapoor</v>
      </c>
      <c r="I313" t="str">
        <f>_xlfn.XLOOKUP(G313,SM[Employee ID],SM[Region])</f>
        <v>West</v>
      </c>
      <c r="J313" t="str">
        <f>_xlfn.XLOOKUP(G313,SM[Employee ID],SM[State/City])</f>
        <v>Mumbai</v>
      </c>
      <c r="K313" s="2">
        <f>_xlfn.XLOOKUP(Sales[[#This Row],[Order ID]],ST[Order ID],ST[Units Sold])</f>
        <v>10</v>
      </c>
      <c r="L313">
        <f t="shared" si="4"/>
        <v>40700</v>
      </c>
    </row>
    <row r="314" spans="1:12" x14ac:dyDescent="0.35">
      <c r="A314" s="7">
        <v>1328</v>
      </c>
      <c r="B314" s="1">
        <v>45265</v>
      </c>
      <c r="C314" s="2" t="s">
        <v>12</v>
      </c>
      <c r="D314" t="str">
        <f>_xlfn.XLOOKUP(Merged_Sales_Data!C314,PM[Product ID],PM[Product Name])</f>
        <v>Bookshelf Unit</v>
      </c>
      <c r="E314" t="str">
        <f>VLOOKUP(C314,PM[],3,FALSE)</f>
        <v>Furniture</v>
      </c>
      <c r="F314">
        <f>_xlfn.XLOOKUP(C314,PM[Product ID],PM[Unit Price (₹)])</f>
        <v>3910</v>
      </c>
      <c r="G314" t="str">
        <f>_xlfn.XLOOKUP(Sales[[#This Row],[Order ID]],ST[Order ID],ST[Employee ID])</f>
        <v>E02</v>
      </c>
      <c r="H314" t="str">
        <f>_xlfn.XLOOKUP(G314,SM[Employee ID],SM[Salesperson])</f>
        <v>Ishita Verma</v>
      </c>
      <c r="I314" t="str">
        <f>_xlfn.XLOOKUP(G314,SM[Employee ID],SM[Region])</f>
        <v>North</v>
      </c>
      <c r="J314" t="str">
        <f>_xlfn.XLOOKUP(G314,SM[Employee ID],SM[State/City])</f>
        <v>Chandigarh</v>
      </c>
      <c r="K314" s="2">
        <f>_xlfn.XLOOKUP(Sales[[#This Row],[Order ID]],ST[Order ID],ST[Units Sold])</f>
        <v>8</v>
      </c>
      <c r="L314">
        <f t="shared" si="4"/>
        <v>31280</v>
      </c>
    </row>
    <row r="315" spans="1:12" x14ac:dyDescent="0.35">
      <c r="A315" s="7">
        <v>1318</v>
      </c>
      <c r="B315" s="1">
        <v>45266</v>
      </c>
      <c r="C315" s="2" t="s">
        <v>12</v>
      </c>
      <c r="D315" t="str">
        <f>_xlfn.XLOOKUP(Merged_Sales_Data!C315,PM[Product ID],PM[Product Name])</f>
        <v>Bookshelf Unit</v>
      </c>
      <c r="E315" t="str">
        <f>VLOOKUP(C315,PM[],3,FALSE)</f>
        <v>Furniture</v>
      </c>
      <c r="F315">
        <f>_xlfn.XLOOKUP(C315,PM[Product ID],PM[Unit Price (₹)])</f>
        <v>3910</v>
      </c>
      <c r="G315" t="str">
        <f>_xlfn.XLOOKUP(Sales[[#This Row],[Order ID]],ST[Order ID],ST[Employee ID])</f>
        <v>E04</v>
      </c>
      <c r="H315" t="str">
        <f>_xlfn.XLOOKUP(G315,SM[Employee ID],SM[Salesperson])</f>
        <v>Priya Nair</v>
      </c>
      <c r="I315" t="str">
        <f>_xlfn.XLOOKUP(G315,SM[Employee ID],SM[Region])</f>
        <v>South</v>
      </c>
      <c r="J315" t="str">
        <f>_xlfn.XLOOKUP(G315,SM[Employee ID],SM[State/City])</f>
        <v>Bengaluru</v>
      </c>
      <c r="K315" s="2">
        <f>_xlfn.XLOOKUP(Sales[[#This Row],[Order ID]],ST[Order ID],ST[Units Sold])</f>
        <v>1</v>
      </c>
      <c r="L315">
        <f t="shared" si="4"/>
        <v>3910</v>
      </c>
    </row>
    <row r="316" spans="1:12" x14ac:dyDescent="0.35">
      <c r="A316" s="7">
        <v>1311</v>
      </c>
      <c r="B316" s="1">
        <v>45268</v>
      </c>
      <c r="C316" s="2" t="s">
        <v>21</v>
      </c>
      <c r="D316" t="str">
        <f>_xlfn.XLOOKUP(Merged_Sales_Data!C316,PM[Product ID],PM[Product Name])</f>
        <v>Wireless Mouse</v>
      </c>
      <c r="E316" t="str">
        <f>VLOOKUP(C316,PM[],3,FALSE)</f>
        <v>Electronics</v>
      </c>
      <c r="F316">
        <f>_xlfn.XLOOKUP(C316,PM[Product ID],PM[Unit Price (₹)])</f>
        <v>780</v>
      </c>
      <c r="G316" t="str">
        <f>_xlfn.XLOOKUP(Sales[[#This Row],[Order ID]],ST[Order ID],ST[Employee ID])</f>
        <v>E01</v>
      </c>
      <c r="H316" t="str">
        <f>_xlfn.XLOOKUP(G316,SM[Employee ID],SM[Salesperson])</f>
        <v>Aarav Sharma</v>
      </c>
      <c r="I316" t="str">
        <f>_xlfn.XLOOKUP(G316,SM[Employee ID],SM[Region])</f>
        <v>North</v>
      </c>
      <c r="J316" t="str">
        <f>_xlfn.XLOOKUP(G316,SM[Employee ID],SM[State/City])</f>
        <v>Lucknow</v>
      </c>
      <c r="K316" s="2">
        <f>_xlfn.XLOOKUP(Sales[[#This Row],[Order ID]],ST[Order ID],ST[Units Sold])</f>
        <v>3</v>
      </c>
      <c r="L316">
        <f t="shared" si="4"/>
        <v>2340</v>
      </c>
    </row>
    <row r="317" spans="1:12" x14ac:dyDescent="0.35">
      <c r="A317" s="7">
        <v>1315</v>
      </c>
      <c r="B317" s="1">
        <v>45269</v>
      </c>
      <c r="C317" s="2" t="s">
        <v>18</v>
      </c>
      <c r="D317" t="str">
        <f>_xlfn.XLOOKUP(Merged_Sales_Data!C317,PM[Product ID],PM[Product Name])</f>
        <v>LED Monitor 24"</v>
      </c>
      <c r="E317" t="str">
        <f>VLOOKUP(C317,PM[],3,FALSE)</f>
        <v>Electronics</v>
      </c>
      <c r="F317">
        <f>_xlfn.XLOOKUP(C317,PM[Product ID],PM[Unit Price (₹)])</f>
        <v>7700</v>
      </c>
      <c r="G317" t="str">
        <f>_xlfn.XLOOKUP(Sales[[#This Row],[Order ID]],ST[Order ID],ST[Employee ID])</f>
        <v>E03</v>
      </c>
      <c r="H317" t="str">
        <f>_xlfn.XLOOKUP(G317,SM[Employee ID],SM[Salesperson])</f>
        <v>Rohan Mehta</v>
      </c>
      <c r="I317" t="str">
        <f>_xlfn.XLOOKUP(G317,SM[Employee ID],SM[Region])</f>
        <v>South</v>
      </c>
      <c r="J317" t="str">
        <f>_xlfn.XLOOKUP(G317,SM[Employee ID],SM[State/City])</f>
        <v>Bengaluru</v>
      </c>
      <c r="K317" s="2">
        <f>_xlfn.XLOOKUP(Sales[[#This Row],[Order ID]],ST[Order ID],ST[Units Sold])</f>
        <v>6</v>
      </c>
      <c r="L317">
        <f t="shared" si="4"/>
        <v>46200</v>
      </c>
    </row>
    <row r="318" spans="1:12" x14ac:dyDescent="0.35">
      <c r="A318" s="7">
        <v>1313</v>
      </c>
      <c r="B318" s="1">
        <v>45271</v>
      </c>
      <c r="C318" s="2" t="s">
        <v>5</v>
      </c>
      <c r="D318" t="str">
        <f>_xlfn.XLOOKUP(Merged_Sales_Data!C318,PM[Product ID],PM[Product Name])</f>
        <v>Ergo Office Chair</v>
      </c>
      <c r="E318" t="str">
        <f>VLOOKUP(C318,PM[],3,FALSE)</f>
        <v>Office Supplies</v>
      </c>
      <c r="F318">
        <f>_xlfn.XLOOKUP(C318,PM[Product ID],PM[Unit Price (₹)])</f>
        <v>6750</v>
      </c>
      <c r="G318" t="str">
        <f>_xlfn.XLOOKUP(Sales[[#This Row],[Order ID]],ST[Order ID],ST[Employee ID])</f>
        <v>E04</v>
      </c>
      <c r="H318" t="str">
        <f>_xlfn.XLOOKUP(G318,SM[Employee ID],SM[Salesperson])</f>
        <v>Priya Nair</v>
      </c>
      <c r="I318" t="str">
        <f>_xlfn.XLOOKUP(G318,SM[Employee ID],SM[Region])</f>
        <v>South</v>
      </c>
      <c r="J318" t="str">
        <f>_xlfn.XLOOKUP(G318,SM[Employee ID],SM[State/City])</f>
        <v>Bengaluru</v>
      </c>
      <c r="K318" s="2">
        <f>_xlfn.XLOOKUP(Sales[[#This Row],[Order ID]],ST[Order ID],ST[Units Sold])</f>
        <v>2</v>
      </c>
      <c r="L318">
        <f t="shared" si="4"/>
        <v>13500</v>
      </c>
    </row>
    <row r="319" spans="1:12" x14ac:dyDescent="0.35">
      <c r="A319" s="7">
        <v>1336</v>
      </c>
      <c r="B319" s="1">
        <v>45271</v>
      </c>
      <c r="C319" s="2" t="s">
        <v>12</v>
      </c>
      <c r="D319" t="str">
        <f>_xlfn.XLOOKUP(Merged_Sales_Data!C319,PM[Product ID],PM[Product Name])</f>
        <v>Bookshelf Unit</v>
      </c>
      <c r="E319" t="str">
        <f>VLOOKUP(C319,PM[],3,FALSE)</f>
        <v>Furniture</v>
      </c>
      <c r="F319">
        <f>_xlfn.XLOOKUP(C319,PM[Product ID],PM[Unit Price (₹)])</f>
        <v>3910</v>
      </c>
      <c r="G319" t="str">
        <f>_xlfn.XLOOKUP(Sales[[#This Row],[Order ID]],ST[Order ID],ST[Employee ID])</f>
        <v>E02</v>
      </c>
      <c r="H319" t="str">
        <f>_xlfn.XLOOKUP(G319,SM[Employee ID],SM[Salesperson])</f>
        <v>Ishita Verma</v>
      </c>
      <c r="I319" t="str">
        <f>_xlfn.XLOOKUP(G319,SM[Employee ID],SM[Region])</f>
        <v>North</v>
      </c>
      <c r="J319" t="str">
        <f>_xlfn.XLOOKUP(G319,SM[Employee ID],SM[State/City])</f>
        <v>Chandigarh</v>
      </c>
      <c r="K319" s="2">
        <f>_xlfn.XLOOKUP(Sales[[#This Row],[Order ID]],ST[Order ID],ST[Units Sold])</f>
        <v>4</v>
      </c>
      <c r="L319">
        <f t="shared" si="4"/>
        <v>15640</v>
      </c>
    </row>
    <row r="320" spans="1:12" x14ac:dyDescent="0.35">
      <c r="A320" s="7">
        <v>1317</v>
      </c>
      <c r="B320" s="1">
        <v>45272</v>
      </c>
      <c r="C320" s="2" t="s">
        <v>18</v>
      </c>
      <c r="D320" t="str">
        <f>_xlfn.XLOOKUP(Merged_Sales_Data!C320,PM[Product ID],PM[Product Name])</f>
        <v>LED Monitor 24"</v>
      </c>
      <c r="E320" t="str">
        <f>VLOOKUP(C320,PM[],3,FALSE)</f>
        <v>Electronics</v>
      </c>
      <c r="F320">
        <f>_xlfn.XLOOKUP(C320,PM[Product ID],PM[Unit Price (₹)])</f>
        <v>7700</v>
      </c>
      <c r="G320" t="str">
        <f>_xlfn.XLOOKUP(Sales[[#This Row],[Order ID]],ST[Order ID],ST[Employee ID])</f>
        <v>E01</v>
      </c>
      <c r="H320" t="str">
        <f>_xlfn.XLOOKUP(G320,SM[Employee ID],SM[Salesperson])</f>
        <v>Aarav Sharma</v>
      </c>
      <c r="I320" t="str">
        <f>_xlfn.XLOOKUP(G320,SM[Employee ID],SM[Region])</f>
        <v>North</v>
      </c>
      <c r="J320" t="str">
        <f>_xlfn.XLOOKUP(G320,SM[Employee ID],SM[State/City])</f>
        <v>Lucknow</v>
      </c>
      <c r="K320" s="2">
        <f>_xlfn.XLOOKUP(Sales[[#This Row],[Order ID]],ST[Order ID],ST[Units Sold])</f>
        <v>1</v>
      </c>
      <c r="L320">
        <f t="shared" si="4"/>
        <v>7700</v>
      </c>
    </row>
    <row r="321" spans="1:12" x14ac:dyDescent="0.35">
      <c r="A321" s="7">
        <v>1324</v>
      </c>
      <c r="B321" s="1">
        <v>45275</v>
      </c>
      <c r="C321" s="2" t="s">
        <v>8</v>
      </c>
      <c r="D321" t="str">
        <f>_xlfn.XLOOKUP(Merged_Sales_Data!C321,PM[Product ID],PM[Product Name])</f>
        <v>USB-C Hub</v>
      </c>
      <c r="E321" t="str">
        <f>VLOOKUP(C321,PM[],3,FALSE)</f>
        <v>Accessories</v>
      </c>
      <c r="F321">
        <f>_xlfn.XLOOKUP(C321,PM[Product ID],PM[Unit Price (₹)])</f>
        <v>880</v>
      </c>
      <c r="G321" t="str">
        <f>_xlfn.XLOOKUP(Sales[[#This Row],[Order ID]],ST[Order ID],ST[Employee ID])</f>
        <v>E01</v>
      </c>
      <c r="H321" t="str">
        <f>_xlfn.XLOOKUP(G321,SM[Employee ID],SM[Salesperson])</f>
        <v>Aarav Sharma</v>
      </c>
      <c r="I321" t="str">
        <f>_xlfn.XLOOKUP(G321,SM[Employee ID],SM[Region])</f>
        <v>North</v>
      </c>
      <c r="J321" t="str">
        <f>_xlfn.XLOOKUP(G321,SM[Employee ID],SM[State/City])</f>
        <v>Lucknow</v>
      </c>
      <c r="K321" s="2">
        <f>_xlfn.XLOOKUP(Sales[[#This Row],[Order ID]],ST[Order ID],ST[Units Sold])</f>
        <v>2</v>
      </c>
      <c r="L321">
        <f t="shared" si="4"/>
        <v>1760</v>
      </c>
    </row>
    <row r="322" spans="1:12" x14ac:dyDescent="0.35">
      <c r="A322" s="7">
        <v>1330</v>
      </c>
      <c r="B322" s="1">
        <v>45277</v>
      </c>
      <c r="C322" s="2" t="s">
        <v>10</v>
      </c>
      <c r="D322" t="str">
        <f>_xlfn.XLOOKUP(Merged_Sales_Data!C322,PM[Product ID],PM[Product Name])</f>
        <v>Filing Cabinet</v>
      </c>
      <c r="E322" t="str">
        <f>VLOOKUP(C322,PM[],3,FALSE)</f>
        <v>Furniture</v>
      </c>
      <c r="F322">
        <f>_xlfn.XLOOKUP(C322,PM[Product ID],PM[Unit Price (₹)])</f>
        <v>4070</v>
      </c>
      <c r="G322" t="str">
        <f>_xlfn.XLOOKUP(Sales[[#This Row],[Order ID]],ST[Order ID],ST[Employee ID])</f>
        <v>E06</v>
      </c>
      <c r="H322" t="str">
        <f>_xlfn.XLOOKUP(G322,SM[Employee ID],SM[Salesperson])</f>
        <v>Sneha Roy</v>
      </c>
      <c r="I322" t="str">
        <f>_xlfn.XLOOKUP(G322,SM[Employee ID],SM[Region])</f>
        <v>East</v>
      </c>
      <c r="J322" t="str">
        <f>_xlfn.XLOOKUP(G322,SM[Employee ID],SM[State/City])</f>
        <v>Kolkata</v>
      </c>
      <c r="K322" s="2">
        <f>_xlfn.XLOOKUP(Sales[[#This Row],[Order ID]],ST[Order ID],ST[Units Sold])</f>
        <v>8</v>
      </c>
      <c r="L322">
        <f t="shared" si="4"/>
        <v>32560</v>
      </c>
    </row>
    <row r="323" spans="1:12" x14ac:dyDescent="0.35">
      <c r="A323" s="7">
        <v>1329</v>
      </c>
      <c r="B323" s="1">
        <v>45280</v>
      </c>
      <c r="C323" s="2" t="s">
        <v>18</v>
      </c>
      <c r="D323" t="str">
        <f>_xlfn.XLOOKUP(Merged_Sales_Data!C323,PM[Product ID],PM[Product Name])</f>
        <v>LED Monitor 24"</v>
      </c>
      <c r="E323" t="str">
        <f>VLOOKUP(C323,PM[],3,FALSE)</f>
        <v>Electronics</v>
      </c>
      <c r="F323">
        <f>_xlfn.XLOOKUP(C323,PM[Product ID],PM[Unit Price (₹)])</f>
        <v>7700</v>
      </c>
      <c r="G323" t="str">
        <f>_xlfn.XLOOKUP(Sales[[#This Row],[Order ID]],ST[Order ID],ST[Employee ID])</f>
        <v>E02</v>
      </c>
      <c r="H323" t="str">
        <f>_xlfn.XLOOKUP(G323,SM[Employee ID],SM[Salesperson])</f>
        <v>Ishita Verma</v>
      </c>
      <c r="I323" t="str">
        <f>_xlfn.XLOOKUP(G323,SM[Employee ID],SM[Region])</f>
        <v>North</v>
      </c>
      <c r="J323" t="str">
        <f>_xlfn.XLOOKUP(G323,SM[Employee ID],SM[State/City])</f>
        <v>Chandigarh</v>
      </c>
      <c r="K323" s="2">
        <f>_xlfn.XLOOKUP(Sales[[#This Row],[Order ID]],ST[Order ID],ST[Units Sold])</f>
        <v>2</v>
      </c>
      <c r="L323">
        <f t="shared" ref="L323:L386" si="5">F323*K323</f>
        <v>15400</v>
      </c>
    </row>
    <row r="324" spans="1:12" x14ac:dyDescent="0.35">
      <c r="A324" s="7">
        <v>1331</v>
      </c>
      <c r="B324" s="1">
        <v>45280</v>
      </c>
      <c r="C324" s="2" t="s">
        <v>14</v>
      </c>
      <c r="D324" t="str">
        <f>_xlfn.XLOOKUP(Merged_Sales_Data!C324,PM[Product ID],PM[Product Name])</f>
        <v>Laptop Backpack</v>
      </c>
      <c r="E324" t="str">
        <f>VLOOKUP(C324,PM[],3,FALSE)</f>
        <v>Accessories</v>
      </c>
      <c r="F324">
        <f>_xlfn.XLOOKUP(C324,PM[Product ID],PM[Unit Price (₹)])</f>
        <v>1110</v>
      </c>
      <c r="G324" t="str">
        <f>_xlfn.XLOOKUP(Sales[[#This Row],[Order ID]],ST[Order ID],ST[Employee ID])</f>
        <v>E05</v>
      </c>
      <c r="H324" t="str">
        <f>_xlfn.XLOOKUP(G324,SM[Employee ID],SM[Salesperson])</f>
        <v>Karan Malhotra</v>
      </c>
      <c r="I324" t="str">
        <f>_xlfn.XLOOKUP(G324,SM[Employee ID],SM[Region])</f>
        <v>East</v>
      </c>
      <c r="J324" t="str">
        <f>_xlfn.XLOOKUP(G324,SM[Employee ID],SM[State/City])</f>
        <v>Kolkata</v>
      </c>
      <c r="K324" s="2">
        <f>_xlfn.XLOOKUP(Sales[[#This Row],[Order ID]],ST[Order ID],ST[Units Sold])</f>
        <v>6</v>
      </c>
      <c r="L324">
        <f t="shared" si="5"/>
        <v>6660</v>
      </c>
    </row>
    <row r="325" spans="1:12" x14ac:dyDescent="0.35">
      <c r="A325" s="7">
        <v>1337</v>
      </c>
      <c r="B325" s="1">
        <v>45282</v>
      </c>
      <c r="C325" s="2" t="s">
        <v>12</v>
      </c>
      <c r="D325" t="str">
        <f>_xlfn.XLOOKUP(Merged_Sales_Data!C325,PM[Product ID],PM[Product Name])</f>
        <v>Bookshelf Unit</v>
      </c>
      <c r="E325" t="str">
        <f>VLOOKUP(C325,PM[],3,FALSE)</f>
        <v>Furniture</v>
      </c>
      <c r="F325">
        <f>_xlfn.XLOOKUP(C325,PM[Product ID],PM[Unit Price (₹)])</f>
        <v>3910</v>
      </c>
      <c r="G325" t="str">
        <f>_xlfn.XLOOKUP(Sales[[#This Row],[Order ID]],ST[Order ID],ST[Employee ID])</f>
        <v>E05</v>
      </c>
      <c r="H325" t="str">
        <f>_xlfn.XLOOKUP(G325,SM[Employee ID],SM[Salesperson])</f>
        <v>Karan Malhotra</v>
      </c>
      <c r="I325" t="str">
        <f>_xlfn.XLOOKUP(G325,SM[Employee ID],SM[Region])</f>
        <v>East</v>
      </c>
      <c r="J325" t="str">
        <f>_xlfn.XLOOKUP(G325,SM[Employee ID],SM[State/City])</f>
        <v>Kolkata</v>
      </c>
      <c r="K325" s="2">
        <f>_xlfn.XLOOKUP(Sales[[#This Row],[Order ID]],ST[Order ID],ST[Units Sold])</f>
        <v>1</v>
      </c>
      <c r="L325">
        <f t="shared" si="5"/>
        <v>3910</v>
      </c>
    </row>
    <row r="326" spans="1:12" x14ac:dyDescent="0.35">
      <c r="A326" s="7">
        <v>1319</v>
      </c>
      <c r="B326" s="1">
        <v>45284</v>
      </c>
      <c r="C326" s="2" t="s">
        <v>21</v>
      </c>
      <c r="D326" t="str">
        <f>_xlfn.XLOOKUP(Merged_Sales_Data!C326,PM[Product ID],PM[Product Name])</f>
        <v>Wireless Mouse</v>
      </c>
      <c r="E326" t="str">
        <f>VLOOKUP(C326,PM[],3,FALSE)</f>
        <v>Electronics</v>
      </c>
      <c r="F326">
        <f>_xlfn.XLOOKUP(C326,PM[Product ID],PM[Unit Price (₹)])</f>
        <v>780</v>
      </c>
      <c r="G326" t="str">
        <f>_xlfn.XLOOKUP(Sales[[#This Row],[Order ID]],ST[Order ID],ST[Employee ID])</f>
        <v>E05</v>
      </c>
      <c r="H326" t="str">
        <f>_xlfn.XLOOKUP(G326,SM[Employee ID],SM[Salesperson])</f>
        <v>Karan Malhotra</v>
      </c>
      <c r="I326" t="str">
        <f>_xlfn.XLOOKUP(G326,SM[Employee ID],SM[Region])</f>
        <v>East</v>
      </c>
      <c r="J326" t="str">
        <f>_xlfn.XLOOKUP(G326,SM[Employee ID],SM[State/City])</f>
        <v>Kolkata</v>
      </c>
      <c r="K326" s="2">
        <f>_xlfn.XLOOKUP(Sales[[#This Row],[Order ID]],ST[Order ID],ST[Units Sold])</f>
        <v>1</v>
      </c>
      <c r="L326">
        <f t="shared" si="5"/>
        <v>780</v>
      </c>
    </row>
    <row r="327" spans="1:12" x14ac:dyDescent="0.35">
      <c r="A327" s="7">
        <v>1320</v>
      </c>
      <c r="B327" s="1">
        <v>45284</v>
      </c>
      <c r="C327" s="2" t="s">
        <v>8</v>
      </c>
      <c r="D327" t="str">
        <f>_xlfn.XLOOKUP(Merged_Sales_Data!C327,PM[Product ID],PM[Product Name])</f>
        <v>USB-C Hub</v>
      </c>
      <c r="E327" t="str">
        <f>VLOOKUP(C327,PM[],3,FALSE)</f>
        <v>Accessories</v>
      </c>
      <c r="F327">
        <f>_xlfn.XLOOKUP(C327,PM[Product ID],PM[Unit Price (₹)])</f>
        <v>880</v>
      </c>
      <c r="G327" t="str">
        <f>_xlfn.XLOOKUP(Sales[[#This Row],[Order ID]],ST[Order ID],ST[Employee ID])</f>
        <v>E07</v>
      </c>
      <c r="H327" t="str">
        <f>_xlfn.XLOOKUP(G327,SM[Employee ID],SM[Salesperson])</f>
        <v>Aditya Kapoor</v>
      </c>
      <c r="I327" t="str">
        <f>_xlfn.XLOOKUP(G327,SM[Employee ID],SM[Region])</f>
        <v>West</v>
      </c>
      <c r="J327" t="str">
        <f>_xlfn.XLOOKUP(G327,SM[Employee ID],SM[State/City])</f>
        <v>Mumbai</v>
      </c>
      <c r="K327" s="2">
        <f>_xlfn.XLOOKUP(Sales[[#This Row],[Order ID]],ST[Order ID],ST[Units Sold])</f>
        <v>1</v>
      </c>
      <c r="L327">
        <f t="shared" si="5"/>
        <v>880</v>
      </c>
    </row>
    <row r="328" spans="1:12" x14ac:dyDescent="0.35">
      <c r="A328" s="7">
        <v>1335</v>
      </c>
      <c r="B328" s="1">
        <v>45284</v>
      </c>
      <c r="C328" s="2" t="s">
        <v>10</v>
      </c>
      <c r="D328" t="str">
        <f>_xlfn.XLOOKUP(Merged_Sales_Data!C328,PM[Product ID],PM[Product Name])</f>
        <v>Filing Cabinet</v>
      </c>
      <c r="E328" t="str">
        <f>VLOOKUP(C328,PM[],3,FALSE)</f>
        <v>Furniture</v>
      </c>
      <c r="F328">
        <f>_xlfn.XLOOKUP(C328,PM[Product ID],PM[Unit Price (₹)])</f>
        <v>4070</v>
      </c>
      <c r="G328" t="str">
        <f>_xlfn.XLOOKUP(Sales[[#This Row],[Order ID]],ST[Order ID],ST[Employee ID])</f>
        <v>E08</v>
      </c>
      <c r="H328" t="str">
        <f>_xlfn.XLOOKUP(G328,SM[Employee ID],SM[Salesperson])</f>
        <v>Neha Joshi</v>
      </c>
      <c r="I328" t="str">
        <f>_xlfn.XLOOKUP(G328,SM[Employee ID],SM[Region])</f>
        <v>West</v>
      </c>
      <c r="J328" t="str">
        <f>_xlfn.XLOOKUP(G328,SM[Employee ID],SM[State/City])</f>
        <v>Ahmedabad</v>
      </c>
      <c r="K328" s="2">
        <f>_xlfn.XLOOKUP(Sales[[#This Row],[Order ID]],ST[Order ID],ST[Units Sold])</f>
        <v>4</v>
      </c>
      <c r="L328">
        <f t="shared" si="5"/>
        <v>16280</v>
      </c>
    </row>
    <row r="329" spans="1:12" x14ac:dyDescent="0.35">
      <c r="A329" s="7">
        <v>1321</v>
      </c>
      <c r="B329" s="1">
        <v>45285</v>
      </c>
      <c r="C329" s="2" t="s">
        <v>14</v>
      </c>
      <c r="D329" t="str">
        <f>_xlfn.XLOOKUP(Merged_Sales_Data!C329,PM[Product ID],PM[Product Name])</f>
        <v>Laptop Backpack</v>
      </c>
      <c r="E329" t="str">
        <f>VLOOKUP(C329,PM[],3,FALSE)</f>
        <v>Accessories</v>
      </c>
      <c r="F329">
        <f>_xlfn.XLOOKUP(C329,PM[Product ID],PM[Unit Price (₹)])</f>
        <v>1110</v>
      </c>
      <c r="G329" t="str">
        <f>_xlfn.XLOOKUP(Sales[[#This Row],[Order ID]],ST[Order ID],ST[Employee ID])</f>
        <v>E02</v>
      </c>
      <c r="H329" t="str">
        <f>_xlfn.XLOOKUP(G329,SM[Employee ID],SM[Salesperson])</f>
        <v>Ishita Verma</v>
      </c>
      <c r="I329" t="str">
        <f>_xlfn.XLOOKUP(G329,SM[Employee ID],SM[Region])</f>
        <v>North</v>
      </c>
      <c r="J329" t="str">
        <f>_xlfn.XLOOKUP(G329,SM[Employee ID],SM[State/City])</f>
        <v>Chandigarh</v>
      </c>
      <c r="K329" s="2">
        <f>_xlfn.XLOOKUP(Sales[[#This Row],[Order ID]],ST[Order ID],ST[Units Sold])</f>
        <v>5</v>
      </c>
      <c r="L329">
        <f t="shared" si="5"/>
        <v>5550</v>
      </c>
    </row>
    <row r="330" spans="1:12" x14ac:dyDescent="0.35">
      <c r="A330" s="7">
        <v>1312</v>
      </c>
      <c r="B330" s="1">
        <v>45287</v>
      </c>
      <c r="C330" s="2" t="s">
        <v>5</v>
      </c>
      <c r="D330" t="str">
        <f>_xlfn.XLOOKUP(Merged_Sales_Data!C330,PM[Product ID],PM[Product Name])</f>
        <v>Ergo Office Chair</v>
      </c>
      <c r="E330" t="str">
        <f>VLOOKUP(C330,PM[],3,FALSE)</f>
        <v>Office Supplies</v>
      </c>
      <c r="F330">
        <f>_xlfn.XLOOKUP(C330,PM[Product ID],PM[Unit Price (₹)])</f>
        <v>6750</v>
      </c>
      <c r="G330" t="str">
        <f>_xlfn.XLOOKUP(Sales[[#This Row],[Order ID]],ST[Order ID],ST[Employee ID])</f>
        <v>E03</v>
      </c>
      <c r="H330" t="str">
        <f>_xlfn.XLOOKUP(G330,SM[Employee ID],SM[Salesperson])</f>
        <v>Rohan Mehta</v>
      </c>
      <c r="I330" t="str">
        <f>_xlfn.XLOOKUP(G330,SM[Employee ID],SM[Region])</f>
        <v>South</v>
      </c>
      <c r="J330" t="str">
        <f>_xlfn.XLOOKUP(G330,SM[Employee ID],SM[State/City])</f>
        <v>Bengaluru</v>
      </c>
      <c r="K330" s="2">
        <f>_xlfn.XLOOKUP(Sales[[#This Row],[Order ID]],ST[Order ID],ST[Units Sold])</f>
        <v>1</v>
      </c>
      <c r="L330">
        <f t="shared" si="5"/>
        <v>6750</v>
      </c>
    </row>
    <row r="331" spans="1:12" x14ac:dyDescent="0.35">
      <c r="A331" s="7">
        <v>1334</v>
      </c>
      <c r="B331" s="1">
        <v>45287</v>
      </c>
      <c r="C331" s="2" t="s">
        <v>10</v>
      </c>
      <c r="D331" t="str">
        <f>_xlfn.XLOOKUP(Merged_Sales_Data!C331,PM[Product ID],PM[Product Name])</f>
        <v>Filing Cabinet</v>
      </c>
      <c r="E331" t="str">
        <f>VLOOKUP(C331,PM[],3,FALSE)</f>
        <v>Furniture</v>
      </c>
      <c r="F331">
        <f>_xlfn.XLOOKUP(C331,PM[Product ID],PM[Unit Price (₹)])</f>
        <v>4070</v>
      </c>
      <c r="G331" t="str">
        <f>_xlfn.XLOOKUP(Sales[[#This Row],[Order ID]],ST[Order ID],ST[Employee ID])</f>
        <v>E04</v>
      </c>
      <c r="H331" t="str">
        <f>_xlfn.XLOOKUP(G331,SM[Employee ID],SM[Salesperson])</f>
        <v>Priya Nair</v>
      </c>
      <c r="I331" t="str">
        <f>_xlfn.XLOOKUP(G331,SM[Employee ID],SM[Region])</f>
        <v>South</v>
      </c>
      <c r="J331" t="str">
        <f>_xlfn.XLOOKUP(G331,SM[Employee ID],SM[State/City])</f>
        <v>Bengaluru</v>
      </c>
      <c r="K331" s="2">
        <f>_xlfn.XLOOKUP(Sales[[#This Row],[Order ID]],ST[Order ID],ST[Units Sold])</f>
        <v>3</v>
      </c>
      <c r="L331">
        <f t="shared" si="5"/>
        <v>12210</v>
      </c>
    </row>
    <row r="332" spans="1:12" x14ac:dyDescent="0.35">
      <c r="A332" s="7">
        <v>1338</v>
      </c>
      <c r="B332" s="1">
        <v>45287</v>
      </c>
      <c r="C332" s="2" t="s">
        <v>11</v>
      </c>
      <c r="D332" t="str">
        <f>_xlfn.XLOOKUP(Merged_Sales_Data!C332,PM[Product ID],PM[Product Name])</f>
        <v>Bluetooth Speaker</v>
      </c>
      <c r="E332" t="str">
        <f>VLOOKUP(C332,PM[],3,FALSE)</f>
        <v>Electronics</v>
      </c>
      <c r="F332">
        <f>_xlfn.XLOOKUP(C332,PM[Product ID],PM[Unit Price (₹)])</f>
        <v>1430</v>
      </c>
      <c r="G332" t="str">
        <f>_xlfn.XLOOKUP(Sales[[#This Row],[Order ID]],ST[Order ID],ST[Employee ID])</f>
        <v>E08</v>
      </c>
      <c r="H332" t="str">
        <f>_xlfn.XLOOKUP(G332,SM[Employee ID],SM[Salesperson])</f>
        <v>Neha Joshi</v>
      </c>
      <c r="I332" t="str">
        <f>_xlfn.XLOOKUP(G332,SM[Employee ID],SM[Region])</f>
        <v>West</v>
      </c>
      <c r="J332" t="str">
        <f>_xlfn.XLOOKUP(G332,SM[Employee ID],SM[State/City])</f>
        <v>Ahmedabad</v>
      </c>
      <c r="K332" s="2">
        <f>_xlfn.XLOOKUP(Sales[[#This Row],[Order ID]],ST[Order ID],ST[Units Sold])</f>
        <v>1</v>
      </c>
      <c r="L332">
        <f t="shared" si="5"/>
        <v>1430</v>
      </c>
    </row>
    <row r="333" spans="1:12" x14ac:dyDescent="0.35">
      <c r="A333" s="7">
        <v>1314</v>
      </c>
      <c r="B333" s="1">
        <v>45288</v>
      </c>
      <c r="C333" s="2" t="s">
        <v>21</v>
      </c>
      <c r="D333" t="str">
        <f>_xlfn.XLOOKUP(Merged_Sales_Data!C333,PM[Product ID],PM[Product Name])</f>
        <v>Wireless Mouse</v>
      </c>
      <c r="E333" t="str">
        <f>VLOOKUP(C333,PM[],3,FALSE)</f>
        <v>Electronics</v>
      </c>
      <c r="F333">
        <f>_xlfn.XLOOKUP(C333,PM[Product ID],PM[Unit Price (₹)])</f>
        <v>780</v>
      </c>
      <c r="G333" t="str">
        <f>_xlfn.XLOOKUP(Sales[[#This Row],[Order ID]],ST[Order ID],ST[Employee ID])</f>
        <v>E03</v>
      </c>
      <c r="H333" t="str">
        <f>_xlfn.XLOOKUP(G333,SM[Employee ID],SM[Salesperson])</f>
        <v>Rohan Mehta</v>
      </c>
      <c r="I333" t="str">
        <f>_xlfn.XLOOKUP(G333,SM[Employee ID],SM[Region])</f>
        <v>South</v>
      </c>
      <c r="J333" t="str">
        <f>_xlfn.XLOOKUP(G333,SM[Employee ID],SM[State/City])</f>
        <v>Bengaluru</v>
      </c>
      <c r="K333" s="2">
        <f>_xlfn.XLOOKUP(Sales[[#This Row],[Order ID]],ST[Order ID],ST[Units Sold])</f>
        <v>2</v>
      </c>
      <c r="L333">
        <f t="shared" si="5"/>
        <v>1560</v>
      </c>
    </row>
    <row r="334" spans="1:12" x14ac:dyDescent="0.35">
      <c r="A334" s="7">
        <v>1316</v>
      </c>
      <c r="B334" s="1">
        <v>45288</v>
      </c>
      <c r="C334" s="2" t="s">
        <v>11</v>
      </c>
      <c r="D334" t="str">
        <f>_xlfn.XLOOKUP(Merged_Sales_Data!C334,PM[Product ID],PM[Product Name])</f>
        <v>Bluetooth Speaker</v>
      </c>
      <c r="E334" t="str">
        <f>VLOOKUP(C334,PM[],3,FALSE)</f>
        <v>Electronics</v>
      </c>
      <c r="F334">
        <f>_xlfn.XLOOKUP(C334,PM[Product ID],PM[Unit Price (₹)])</f>
        <v>1430</v>
      </c>
      <c r="G334" t="str">
        <f>_xlfn.XLOOKUP(Sales[[#This Row],[Order ID]],ST[Order ID],ST[Employee ID])</f>
        <v>E03</v>
      </c>
      <c r="H334" t="str">
        <f>_xlfn.XLOOKUP(G334,SM[Employee ID],SM[Salesperson])</f>
        <v>Rohan Mehta</v>
      </c>
      <c r="I334" t="str">
        <f>_xlfn.XLOOKUP(G334,SM[Employee ID],SM[Region])</f>
        <v>South</v>
      </c>
      <c r="J334" t="str">
        <f>_xlfn.XLOOKUP(G334,SM[Employee ID],SM[State/City])</f>
        <v>Bengaluru</v>
      </c>
      <c r="K334" s="2">
        <f>_xlfn.XLOOKUP(Sales[[#This Row],[Order ID]],ST[Order ID],ST[Units Sold])</f>
        <v>10</v>
      </c>
      <c r="L334">
        <f t="shared" si="5"/>
        <v>14300</v>
      </c>
    </row>
    <row r="335" spans="1:12" x14ac:dyDescent="0.35">
      <c r="A335" s="7">
        <v>1325</v>
      </c>
      <c r="B335" s="1">
        <v>45288</v>
      </c>
      <c r="C335" s="2" t="s">
        <v>21</v>
      </c>
      <c r="D335" t="str">
        <f>_xlfn.XLOOKUP(Merged_Sales_Data!C335,PM[Product ID],PM[Product Name])</f>
        <v>Wireless Mouse</v>
      </c>
      <c r="E335" t="str">
        <f>VLOOKUP(C335,PM[],3,FALSE)</f>
        <v>Electronics</v>
      </c>
      <c r="F335">
        <f>_xlfn.XLOOKUP(C335,PM[Product ID],PM[Unit Price (₹)])</f>
        <v>780</v>
      </c>
      <c r="G335" t="str">
        <f>_xlfn.XLOOKUP(Sales[[#This Row],[Order ID]],ST[Order ID],ST[Employee ID])</f>
        <v>E01</v>
      </c>
      <c r="H335" t="str">
        <f>_xlfn.XLOOKUP(G335,SM[Employee ID],SM[Salesperson])</f>
        <v>Aarav Sharma</v>
      </c>
      <c r="I335" t="str">
        <f>_xlfn.XLOOKUP(G335,SM[Employee ID],SM[Region])</f>
        <v>North</v>
      </c>
      <c r="J335" t="str">
        <f>_xlfn.XLOOKUP(G335,SM[Employee ID],SM[State/City])</f>
        <v>Lucknow</v>
      </c>
      <c r="K335" s="2">
        <f>_xlfn.XLOOKUP(Sales[[#This Row],[Order ID]],ST[Order ID],ST[Units Sold])</f>
        <v>5</v>
      </c>
      <c r="L335">
        <f t="shared" si="5"/>
        <v>3900</v>
      </c>
    </row>
    <row r="336" spans="1:12" x14ac:dyDescent="0.35">
      <c r="A336" s="7">
        <v>1332</v>
      </c>
      <c r="B336" s="1">
        <v>45288</v>
      </c>
      <c r="C336" s="2" t="s">
        <v>11</v>
      </c>
      <c r="D336" t="str">
        <f>_xlfn.XLOOKUP(Merged_Sales_Data!C336,PM[Product ID],PM[Product Name])</f>
        <v>Bluetooth Speaker</v>
      </c>
      <c r="E336" t="str">
        <f>VLOOKUP(C336,PM[],3,FALSE)</f>
        <v>Electronics</v>
      </c>
      <c r="F336">
        <f>_xlfn.XLOOKUP(C336,PM[Product ID],PM[Unit Price (₹)])</f>
        <v>1430</v>
      </c>
      <c r="G336" t="str">
        <f>_xlfn.XLOOKUP(Sales[[#This Row],[Order ID]],ST[Order ID],ST[Employee ID])</f>
        <v>E07</v>
      </c>
      <c r="H336" t="str">
        <f>_xlfn.XLOOKUP(G336,SM[Employee ID],SM[Salesperson])</f>
        <v>Aditya Kapoor</v>
      </c>
      <c r="I336" t="str">
        <f>_xlfn.XLOOKUP(G336,SM[Employee ID],SM[Region])</f>
        <v>West</v>
      </c>
      <c r="J336" t="str">
        <f>_xlfn.XLOOKUP(G336,SM[Employee ID],SM[State/City])</f>
        <v>Mumbai</v>
      </c>
      <c r="K336" s="2">
        <f>_xlfn.XLOOKUP(Sales[[#This Row],[Order ID]],ST[Order ID],ST[Units Sold])</f>
        <v>1</v>
      </c>
      <c r="L336">
        <f t="shared" si="5"/>
        <v>1430</v>
      </c>
    </row>
    <row r="337" spans="1:12" x14ac:dyDescent="0.35">
      <c r="A337" s="7">
        <v>1327</v>
      </c>
      <c r="B337" s="1">
        <v>45289</v>
      </c>
      <c r="C337" s="2" t="s">
        <v>14</v>
      </c>
      <c r="D337" t="str">
        <f>_xlfn.XLOOKUP(Merged_Sales_Data!C337,PM[Product ID],PM[Product Name])</f>
        <v>Laptop Backpack</v>
      </c>
      <c r="E337" t="str">
        <f>VLOOKUP(C337,PM[],3,FALSE)</f>
        <v>Accessories</v>
      </c>
      <c r="F337">
        <f>_xlfn.XLOOKUP(C337,PM[Product ID],PM[Unit Price (₹)])</f>
        <v>1110</v>
      </c>
      <c r="G337" t="str">
        <f>_xlfn.XLOOKUP(Sales[[#This Row],[Order ID]],ST[Order ID],ST[Employee ID])</f>
        <v>E08</v>
      </c>
      <c r="H337" t="str">
        <f>_xlfn.XLOOKUP(G337,SM[Employee ID],SM[Salesperson])</f>
        <v>Neha Joshi</v>
      </c>
      <c r="I337" t="str">
        <f>_xlfn.XLOOKUP(G337,SM[Employee ID],SM[Region])</f>
        <v>West</v>
      </c>
      <c r="J337" t="str">
        <f>_xlfn.XLOOKUP(G337,SM[Employee ID],SM[State/City])</f>
        <v>Ahmedabad</v>
      </c>
      <c r="K337" s="2">
        <f>_xlfn.XLOOKUP(Sales[[#This Row],[Order ID]],ST[Order ID],ST[Units Sold])</f>
        <v>1</v>
      </c>
      <c r="L337">
        <f t="shared" si="5"/>
        <v>1110</v>
      </c>
    </row>
    <row r="338" spans="1:12" x14ac:dyDescent="0.35">
      <c r="A338" s="7">
        <v>1333</v>
      </c>
      <c r="B338" s="1">
        <v>45289</v>
      </c>
      <c r="C338" s="2" t="s">
        <v>10</v>
      </c>
      <c r="D338" t="str">
        <f>_xlfn.XLOOKUP(Merged_Sales_Data!C338,PM[Product ID],PM[Product Name])</f>
        <v>Filing Cabinet</v>
      </c>
      <c r="E338" t="str">
        <f>VLOOKUP(C338,PM[],3,FALSE)</f>
        <v>Furniture</v>
      </c>
      <c r="F338">
        <f>_xlfn.XLOOKUP(C338,PM[Product ID],PM[Unit Price (₹)])</f>
        <v>4070</v>
      </c>
      <c r="G338" t="str">
        <f>_xlfn.XLOOKUP(Sales[[#This Row],[Order ID]],ST[Order ID],ST[Employee ID])</f>
        <v>E04</v>
      </c>
      <c r="H338" t="str">
        <f>_xlfn.XLOOKUP(G338,SM[Employee ID],SM[Salesperson])</f>
        <v>Priya Nair</v>
      </c>
      <c r="I338" t="str">
        <f>_xlfn.XLOOKUP(G338,SM[Employee ID],SM[Region])</f>
        <v>South</v>
      </c>
      <c r="J338" t="str">
        <f>_xlfn.XLOOKUP(G338,SM[Employee ID],SM[State/City])</f>
        <v>Bengaluru</v>
      </c>
      <c r="K338" s="2">
        <f>_xlfn.XLOOKUP(Sales[[#This Row],[Order ID]],ST[Order ID],ST[Units Sold])</f>
        <v>5</v>
      </c>
      <c r="L338">
        <f t="shared" si="5"/>
        <v>20350</v>
      </c>
    </row>
    <row r="339" spans="1:12" x14ac:dyDescent="0.35">
      <c r="A339" s="7">
        <v>1323</v>
      </c>
      <c r="B339" s="1">
        <v>45291</v>
      </c>
      <c r="C339" s="2" t="s">
        <v>8</v>
      </c>
      <c r="D339" t="str">
        <f>_xlfn.XLOOKUP(Merged_Sales_Data!C339,PM[Product ID],PM[Product Name])</f>
        <v>USB-C Hub</v>
      </c>
      <c r="E339" t="str">
        <f>VLOOKUP(C339,PM[],3,FALSE)</f>
        <v>Accessories</v>
      </c>
      <c r="F339">
        <f>_xlfn.XLOOKUP(C339,PM[Product ID],PM[Unit Price (₹)])</f>
        <v>880</v>
      </c>
      <c r="G339" t="str">
        <f>_xlfn.XLOOKUP(Sales[[#This Row],[Order ID]],ST[Order ID],ST[Employee ID])</f>
        <v>E08</v>
      </c>
      <c r="H339" t="str">
        <f>_xlfn.XLOOKUP(G339,SM[Employee ID],SM[Salesperson])</f>
        <v>Neha Joshi</v>
      </c>
      <c r="I339" t="str">
        <f>_xlfn.XLOOKUP(G339,SM[Employee ID],SM[Region])</f>
        <v>West</v>
      </c>
      <c r="J339" t="str">
        <f>_xlfn.XLOOKUP(G339,SM[Employee ID],SM[State/City])</f>
        <v>Ahmedabad</v>
      </c>
      <c r="K339" s="2">
        <f>_xlfn.XLOOKUP(Sales[[#This Row],[Order ID]],ST[Order ID],ST[Units Sold])</f>
        <v>2</v>
      </c>
      <c r="L339">
        <f t="shared" si="5"/>
        <v>1760</v>
      </c>
    </row>
    <row r="340" spans="1:12" x14ac:dyDescent="0.35">
      <c r="A340" s="7">
        <v>1340</v>
      </c>
      <c r="B340" s="1">
        <v>45293</v>
      </c>
      <c r="C340" s="2" t="s">
        <v>18</v>
      </c>
      <c r="D340" t="str">
        <f>_xlfn.XLOOKUP(Merged_Sales_Data!C340,PM[Product ID],PM[Product Name])</f>
        <v>LED Monitor 24"</v>
      </c>
      <c r="E340" t="str">
        <f>VLOOKUP(C340,PM[],3,FALSE)</f>
        <v>Electronics</v>
      </c>
      <c r="F340">
        <f>_xlfn.XLOOKUP(C340,PM[Product ID],PM[Unit Price (₹)])</f>
        <v>7700</v>
      </c>
      <c r="G340" t="str">
        <f>_xlfn.XLOOKUP(Sales[[#This Row],[Order ID]],ST[Order ID],ST[Employee ID])</f>
        <v>E06</v>
      </c>
      <c r="H340" t="str">
        <f>_xlfn.XLOOKUP(G340,SM[Employee ID],SM[Salesperson])</f>
        <v>Sneha Roy</v>
      </c>
      <c r="I340" t="str">
        <f>_xlfn.XLOOKUP(G340,SM[Employee ID],SM[Region])</f>
        <v>East</v>
      </c>
      <c r="J340" t="str">
        <f>_xlfn.XLOOKUP(G340,SM[Employee ID],SM[State/City])</f>
        <v>Kolkata</v>
      </c>
      <c r="K340" s="2">
        <f>_xlfn.XLOOKUP(Sales[[#This Row],[Order ID]],ST[Order ID],ST[Units Sold])</f>
        <v>6</v>
      </c>
      <c r="L340">
        <f t="shared" si="5"/>
        <v>46200</v>
      </c>
    </row>
    <row r="341" spans="1:12" x14ac:dyDescent="0.35">
      <c r="A341" s="7">
        <v>1356</v>
      </c>
      <c r="B341" s="1">
        <v>45294</v>
      </c>
      <c r="C341" s="2" t="s">
        <v>21</v>
      </c>
      <c r="D341" t="str">
        <f>_xlfn.XLOOKUP(Merged_Sales_Data!C341,PM[Product ID],PM[Product Name])</f>
        <v>Wireless Mouse</v>
      </c>
      <c r="E341" t="str">
        <f>VLOOKUP(C341,PM[],3,FALSE)</f>
        <v>Electronics</v>
      </c>
      <c r="F341">
        <f>_xlfn.XLOOKUP(C341,PM[Product ID],PM[Unit Price (₹)])</f>
        <v>780</v>
      </c>
      <c r="G341" t="str">
        <f>_xlfn.XLOOKUP(Sales[[#This Row],[Order ID]],ST[Order ID],ST[Employee ID])</f>
        <v>E03</v>
      </c>
      <c r="H341" t="str">
        <f>_xlfn.XLOOKUP(G341,SM[Employee ID],SM[Salesperson])</f>
        <v>Rohan Mehta</v>
      </c>
      <c r="I341" t="str">
        <f>_xlfn.XLOOKUP(G341,SM[Employee ID],SM[Region])</f>
        <v>South</v>
      </c>
      <c r="J341" t="str">
        <f>_xlfn.XLOOKUP(G341,SM[Employee ID],SM[State/City])</f>
        <v>Bengaluru</v>
      </c>
      <c r="K341" s="2">
        <f>_xlfn.XLOOKUP(Sales[[#This Row],[Order ID]],ST[Order ID],ST[Units Sold])</f>
        <v>10</v>
      </c>
      <c r="L341">
        <f t="shared" si="5"/>
        <v>7800</v>
      </c>
    </row>
    <row r="342" spans="1:12" x14ac:dyDescent="0.35">
      <c r="A342" s="7">
        <v>1355</v>
      </c>
      <c r="B342" s="1">
        <v>45296</v>
      </c>
      <c r="C342" s="2" t="s">
        <v>11</v>
      </c>
      <c r="D342" t="str">
        <f>_xlfn.XLOOKUP(Merged_Sales_Data!C342,PM[Product ID],PM[Product Name])</f>
        <v>Bluetooth Speaker</v>
      </c>
      <c r="E342" t="str">
        <f>VLOOKUP(C342,PM[],3,FALSE)</f>
        <v>Electronics</v>
      </c>
      <c r="F342">
        <f>_xlfn.XLOOKUP(C342,PM[Product ID],PM[Unit Price (₹)])</f>
        <v>1430</v>
      </c>
      <c r="G342" t="str">
        <f>_xlfn.XLOOKUP(Sales[[#This Row],[Order ID]],ST[Order ID],ST[Employee ID])</f>
        <v>E06</v>
      </c>
      <c r="H342" t="str">
        <f>_xlfn.XLOOKUP(G342,SM[Employee ID],SM[Salesperson])</f>
        <v>Sneha Roy</v>
      </c>
      <c r="I342" t="str">
        <f>_xlfn.XLOOKUP(G342,SM[Employee ID],SM[Region])</f>
        <v>East</v>
      </c>
      <c r="J342" t="str">
        <f>_xlfn.XLOOKUP(G342,SM[Employee ID],SM[State/City])</f>
        <v>Kolkata</v>
      </c>
      <c r="K342" s="2">
        <f>_xlfn.XLOOKUP(Sales[[#This Row],[Order ID]],ST[Order ID],ST[Units Sold])</f>
        <v>1</v>
      </c>
      <c r="L342">
        <f t="shared" si="5"/>
        <v>1430</v>
      </c>
    </row>
    <row r="343" spans="1:12" x14ac:dyDescent="0.35">
      <c r="A343" s="7">
        <v>1348</v>
      </c>
      <c r="B343" s="1">
        <v>45297</v>
      </c>
      <c r="C343" s="2" t="s">
        <v>20</v>
      </c>
      <c r="D343" t="str">
        <f>_xlfn.XLOOKUP(Merged_Sales_Data!C343,PM[Product ID],PM[Product Name])</f>
        <v>Standing Desk</v>
      </c>
      <c r="E343" t="str">
        <f>VLOOKUP(C343,PM[],3,FALSE)</f>
        <v>Office Supplies</v>
      </c>
      <c r="F343">
        <f>_xlfn.XLOOKUP(C343,PM[Product ID],PM[Unit Price (₹)])</f>
        <v>11010</v>
      </c>
      <c r="G343" t="str">
        <f>_xlfn.XLOOKUP(Sales[[#This Row],[Order ID]],ST[Order ID],ST[Employee ID])</f>
        <v>E01</v>
      </c>
      <c r="H343" t="str">
        <f>_xlfn.XLOOKUP(G343,SM[Employee ID],SM[Salesperson])</f>
        <v>Aarav Sharma</v>
      </c>
      <c r="I343" t="str">
        <f>_xlfn.XLOOKUP(G343,SM[Employee ID],SM[Region])</f>
        <v>North</v>
      </c>
      <c r="J343" t="str">
        <f>_xlfn.XLOOKUP(G343,SM[Employee ID],SM[State/City])</f>
        <v>Lucknow</v>
      </c>
      <c r="K343" s="2">
        <f>_xlfn.XLOOKUP(Sales[[#This Row],[Order ID]],ST[Order ID],ST[Units Sold])</f>
        <v>1</v>
      </c>
      <c r="L343">
        <f t="shared" si="5"/>
        <v>11010</v>
      </c>
    </row>
    <row r="344" spans="1:12" x14ac:dyDescent="0.35">
      <c r="A344" s="7">
        <v>1352</v>
      </c>
      <c r="B344" s="1">
        <v>45298</v>
      </c>
      <c r="C344" s="2" t="s">
        <v>11</v>
      </c>
      <c r="D344" t="str">
        <f>_xlfn.XLOOKUP(Merged_Sales_Data!C344,PM[Product ID],PM[Product Name])</f>
        <v>Bluetooth Speaker</v>
      </c>
      <c r="E344" t="str">
        <f>VLOOKUP(C344,PM[],3,FALSE)</f>
        <v>Electronics</v>
      </c>
      <c r="F344">
        <f>_xlfn.XLOOKUP(C344,PM[Product ID],PM[Unit Price (₹)])</f>
        <v>1430</v>
      </c>
      <c r="G344" t="str">
        <f>_xlfn.XLOOKUP(Sales[[#This Row],[Order ID]],ST[Order ID],ST[Employee ID])</f>
        <v>E01</v>
      </c>
      <c r="H344" t="str">
        <f>_xlfn.XLOOKUP(G344,SM[Employee ID],SM[Salesperson])</f>
        <v>Aarav Sharma</v>
      </c>
      <c r="I344" t="str">
        <f>_xlfn.XLOOKUP(G344,SM[Employee ID],SM[Region])</f>
        <v>North</v>
      </c>
      <c r="J344" t="str">
        <f>_xlfn.XLOOKUP(G344,SM[Employee ID],SM[State/City])</f>
        <v>Lucknow</v>
      </c>
      <c r="K344" s="2">
        <f>_xlfn.XLOOKUP(Sales[[#This Row],[Order ID]],ST[Order ID],ST[Units Sold])</f>
        <v>6</v>
      </c>
      <c r="L344">
        <f t="shared" si="5"/>
        <v>8580</v>
      </c>
    </row>
    <row r="345" spans="1:12" x14ac:dyDescent="0.35">
      <c r="A345" s="7">
        <v>1358</v>
      </c>
      <c r="B345" s="1">
        <v>45300</v>
      </c>
      <c r="C345" s="2" t="s">
        <v>14</v>
      </c>
      <c r="D345" t="str">
        <f>_xlfn.XLOOKUP(Merged_Sales_Data!C345,PM[Product ID],PM[Product Name])</f>
        <v>Laptop Backpack</v>
      </c>
      <c r="E345" t="str">
        <f>VLOOKUP(C345,PM[],3,FALSE)</f>
        <v>Accessories</v>
      </c>
      <c r="F345">
        <f>_xlfn.XLOOKUP(C345,PM[Product ID],PM[Unit Price (₹)])</f>
        <v>1110</v>
      </c>
      <c r="G345" t="str">
        <f>_xlfn.XLOOKUP(Sales[[#This Row],[Order ID]],ST[Order ID],ST[Employee ID])</f>
        <v>E08</v>
      </c>
      <c r="H345" t="str">
        <f>_xlfn.XLOOKUP(G345,SM[Employee ID],SM[Salesperson])</f>
        <v>Neha Joshi</v>
      </c>
      <c r="I345" t="str">
        <f>_xlfn.XLOOKUP(G345,SM[Employee ID],SM[Region])</f>
        <v>West</v>
      </c>
      <c r="J345" t="str">
        <f>_xlfn.XLOOKUP(G345,SM[Employee ID],SM[State/City])</f>
        <v>Ahmedabad</v>
      </c>
      <c r="K345" s="2">
        <f>_xlfn.XLOOKUP(Sales[[#This Row],[Order ID]],ST[Order ID],ST[Units Sold])</f>
        <v>4</v>
      </c>
      <c r="L345">
        <f t="shared" si="5"/>
        <v>4440</v>
      </c>
    </row>
    <row r="346" spans="1:12" x14ac:dyDescent="0.35">
      <c r="A346" s="7">
        <v>1361</v>
      </c>
      <c r="B346" s="1">
        <v>45301</v>
      </c>
      <c r="C346" s="2" t="s">
        <v>8</v>
      </c>
      <c r="D346" t="str">
        <f>_xlfn.XLOOKUP(Merged_Sales_Data!C346,PM[Product ID],PM[Product Name])</f>
        <v>USB-C Hub</v>
      </c>
      <c r="E346" t="str">
        <f>VLOOKUP(C346,PM[],3,FALSE)</f>
        <v>Accessories</v>
      </c>
      <c r="F346">
        <f>_xlfn.XLOOKUP(C346,PM[Product ID],PM[Unit Price (₹)])</f>
        <v>880</v>
      </c>
      <c r="G346" t="str">
        <f>_xlfn.XLOOKUP(Sales[[#This Row],[Order ID]],ST[Order ID],ST[Employee ID])</f>
        <v>E08</v>
      </c>
      <c r="H346" t="str">
        <f>_xlfn.XLOOKUP(G346,SM[Employee ID],SM[Salesperson])</f>
        <v>Neha Joshi</v>
      </c>
      <c r="I346" t="str">
        <f>_xlfn.XLOOKUP(G346,SM[Employee ID],SM[Region])</f>
        <v>West</v>
      </c>
      <c r="J346" t="str">
        <f>_xlfn.XLOOKUP(G346,SM[Employee ID],SM[State/City])</f>
        <v>Ahmedabad</v>
      </c>
      <c r="K346" s="2">
        <f>_xlfn.XLOOKUP(Sales[[#This Row],[Order ID]],ST[Order ID],ST[Units Sold])</f>
        <v>10</v>
      </c>
      <c r="L346">
        <f t="shared" si="5"/>
        <v>8800</v>
      </c>
    </row>
    <row r="347" spans="1:12" x14ac:dyDescent="0.35">
      <c r="A347" s="7">
        <v>1363</v>
      </c>
      <c r="B347" s="1">
        <v>45301</v>
      </c>
      <c r="C347" s="2" t="s">
        <v>21</v>
      </c>
      <c r="D347" t="str">
        <f>_xlfn.XLOOKUP(Merged_Sales_Data!C347,PM[Product ID],PM[Product Name])</f>
        <v>Wireless Mouse</v>
      </c>
      <c r="E347" t="str">
        <f>VLOOKUP(C347,PM[],3,FALSE)</f>
        <v>Electronics</v>
      </c>
      <c r="F347">
        <f>_xlfn.XLOOKUP(C347,PM[Product ID],PM[Unit Price (₹)])</f>
        <v>780</v>
      </c>
      <c r="G347" t="str">
        <f>_xlfn.XLOOKUP(Sales[[#This Row],[Order ID]],ST[Order ID],ST[Employee ID])</f>
        <v>E01</v>
      </c>
      <c r="H347" t="str">
        <f>_xlfn.XLOOKUP(G347,SM[Employee ID],SM[Salesperson])</f>
        <v>Aarav Sharma</v>
      </c>
      <c r="I347" t="str">
        <f>_xlfn.XLOOKUP(G347,SM[Employee ID],SM[Region])</f>
        <v>North</v>
      </c>
      <c r="J347" t="str">
        <f>_xlfn.XLOOKUP(G347,SM[Employee ID],SM[State/City])</f>
        <v>Lucknow</v>
      </c>
      <c r="K347" s="2">
        <f>_xlfn.XLOOKUP(Sales[[#This Row],[Order ID]],ST[Order ID],ST[Units Sold])</f>
        <v>2</v>
      </c>
      <c r="L347">
        <f t="shared" si="5"/>
        <v>1560</v>
      </c>
    </row>
    <row r="348" spans="1:12" x14ac:dyDescent="0.35">
      <c r="A348" s="7">
        <v>1364</v>
      </c>
      <c r="B348" s="1">
        <v>45301</v>
      </c>
      <c r="C348" s="2" t="s">
        <v>18</v>
      </c>
      <c r="D348" t="str">
        <f>_xlfn.XLOOKUP(Merged_Sales_Data!C348,PM[Product ID],PM[Product Name])</f>
        <v>LED Monitor 24"</v>
      </c>
      <c r="E348" t="str">
        <f>VLOOKUP(C348,PM[],3,FALSE)</f>
        <v>Electronics</v>
      </c>
      <c r="F348">
        <f>_xlfn.XLOOKUP(C348,PM[Product ID],PM[Unit Price (₹)])</f>
        <v>7700</v>
      </c>
      <c r="G348" t="str">
        <f>_xlfn.XLOOKUP(Sales[[#This Row],[Order ID]],ST[Order ID],ST[Employee ID])</f>
        <v>E04</v>
      </c>
      <c r="H348" t="str">
        <f>_xlfn.XLOOKUP(G348,SM[Employee ID],SM[Salesperson])</f>
        <v>Priya Nair</v>
      </c>
      <c r="I348" t="str">
        <f>_xlfn.XLOOKUP(G348,SM[Employee ID],SM[Region])</f>
        <v>South</v>
      </c>
      <c r="J348" t="str">
        <f>_xlfn.XLOOKUP(G348,SM[Employee ID],SM[State/City])</f>
        <v>Bengaluru</v>
      </c>
      <c r="K348" s="2">
        <f>_xlfn.XLOOKUP(Sales[[#This Row],[Order ID]],ST[Order ID],ST[Units Sold])</f>
        <v>2</v>
      </c>
      <c r="L348">
        <f t="shared" si="5"/>
        <v>15400</v>
      </c>
    </row>
    <row r="349" spans="1:12" x14ac:dyDescent="0.35">
      <c r="A349" s="7">
        <v>1353</v>
      </c>
      <c r="B349" s="1">
        <v>45302</v>
      </c>
      <c r="C349" s="2" t="s">
        <v>10</v>
      </c>
      <c r="D349" t="str">
        <f>_xlfn.XLOOKUP(Merged_Sales_Data!C349,PM[Product ID],PM[Product Name])</f>
        <v>Filing Cabinet</v>
      </c>
      <c r="E349" t="str">
        <f>VLOOKUP(C349,PM[],3,FALSE)</f>
        <v>Furniture</v>
      </c>
      <c r="F349">
        <f>_xlfn.XLOOKUP(C349,PM[Product ID],PM[Unit Price (₹)])</f>
        <v>4070</v>
      </c>
      <c r="G349" t="str">
        <f>_xlfn.XLOOKUP(Sales[[#This Row],[Order ID]],ST[Order ID],ST[Employee ID])</f>
        <v>E07</v>
      </c>
      <c r="H349" t="str">
        <f>_xlfn.XLOOKUP(G349,SM[Employee ID],SM[Salesperson])</f>
        <v>Aditya Kapoor</v>
      </c>
      <c r="I349" t="str">
        <f>_xlfn.XLOOKUP(G349,SM[Employee ID],SM[Region])</f>
        <v>West</v>
      </c>
      <c r="J349" t="str">
        <f>_xlfn.XLOOKUP(G349,SM[Employee ID],SM[State/City])</f>
        <v>Mumbai</v>
      </c>
      <c r="K349" s="2">
        <f>_xlfn.XLOOKUP(Sales[[#This Row],[Order ID]],ST[Order ID],ST[Units Sold])</f>
        <v>5</v>
      </c>
      <c r="L349">
        <f t="shared" si="5"/>
        <v>20350</v>
      </c>
    </row>
    <row r="350" spans="1:12" x14ac:dyDescent="0.35">
      <c r="A350" s="7">
        <v>1341</v>
      </c>
      <c r="B350" s="1">
        <v>45303</v>
      </c>
      <c r="C350" s="2" t="s">
        <v>11</v>
      </c>
      <c r="D350" t="str">
        <f>_xlfn.XLOOKUP(Merged_Sales_Data!C350,PM[Product ID],PM[Product Name])</f>
        <v>Bluetooth Speaker</v>
      </c>
      <c r="E350" t="str">
        <f>VLOOKUP(C350,PM[],3,FALSE)</f>
        <v>Electronics</v>
      </c>
      <c r="F350">
        <f>_xlfn.XLOOKUP(C350,PM[Product ID],PM[Unit Price (₹)])</f>
        <v>1430</v>
      </c>
      <c r="G350" t="str">
        <f>_xlfn.XLOOKUP(Sales[[#This Row],[Order ID]],ST[Order ID],ST[Employee ID])</f>
        <v>E06</v>
      </c>
      <c r="H350" t="str">
        <f>_xlfn.XLOOKUP(G350,SM[Employee ID],SM[Salesperson])</f>
        <v>Sneha Roy</v>
      </c>
      <c r="I350" t="str">
        <f>_xlfn.XLOOKUP(G350,SM[Employee ID],SM[Region])</f>
        <v>East</v>
      </c>
      <c r="J350" t="str">
        <f>_xlfn.XLOOKUP(G350,SM[Employee ID],SM[State/City])</f>
        <v>Kolkata</v>
      </c>
      <c r="K350" s="2">
        <f>_xlfn.XLOOKUP(Sales[[#This Row],[Order ID]],ST[Order ID],ST[Units Sold])</f>
        <v>4</v>
      </c>
      <c r="L350">
        <f t="shared" si="5"/>
        <v>5720</v>
      </c>
    </row>
    <row r="351" spans="1:12" x14ac:dyDescent="0.35">
      <c r="A351" s="7">
        <v>1349</v>
      </c>
      <c r="B351" s="1">
        <v>45303</v>
      </c>
      <c r="C351" s="2" t="s">
        <v>20</v>
      </c>
      <c r="D351" t="str">
        <f>_xlfn.XLOOKUP(Merged_Sales_Data!C351,PM[Product ID],PM[Product Name])</f>
        <v>Standing Desk</v>
      </c>
      <c r="E351" t="str">
        <f>VLOOKUP(C351,PM[],3,FALSE)</f>
        <v>Office Supplies</v>
      </c>
      <c r="F351">
        <f>_xlfn.XLOOKUP(C351,PM[Product ID],PM[Unit Price (₹)])</f>
        <v>11010</v>
      </c>
      <c r="G351" t="str">
        <f>_xlfn.XLOOKUP(Sales[[#This Row],[Order ID]],ST[Order ID],ST[Employee ID])</f>
        <v>E05</v>
      </c>
      <c r="H351" t="str">
        <f>_xlfn.XLOOKUP(G351,SM[Employee ID],SM[Salesperson])</f>
        <v>Karan Malhotra</v>
      </c>
      <c r="I351" t="str">
        <f>_xlfn.XLOOKUP(G351,SM[Employee ID],SM[Region])</f>
        <v>East</v>
      </c>
      <c r="J351" t="str">
        <f>_xlfn.XLOOKUP(G351,SM[Employee ID],SM[State/City])</f>
        <v>Kolkata</v>
      </c>
      <c r="K351" s="2">
        <f>_xlfn.XLOOKUP(Sales[[#This Row],[Order ID]],ST[Order ID],ST[Units Sold])</f>
        <v>3</v>
      </c>
      <c r="L351">
        <f t="shared" si="5"/>
        <v>33030</v>
      </c>
    </row>
    <row r="352" spans="1:12" x14ac:dyDescent="0.35">
      <c r="A352" s="7">
        <v>1359</v>
      </c>
      <c r="B352" s="1">
        <v>45303</v>
      </c>
      <c r="C352" s="2" t="s">
        <v>8</v>
      </c>
      <c r="D352" t="str">
        <f>_xlfn.XLOOKUP(Merged_Sales_Data!C352,PM[Product ID],PM[Product Name])</f>
        <v>USB-C Hub</v>
      </c>
      <c r="E352" t="str">
        <f>VLOOKUP(C352,PM[],3,FALSE)</f>
        <v>Accessories</v>
      </c>
      <c r="F352">
        <f>_xlfn.XLOOKUP(C352,PM[Product ID],PM[Unit Price (₹)])</f>
        <v>880</v>
      </c>
      <c r="G352" t="str">
        <f>_xlfn.XLOOKUP(Sales[[#This Row],[Order ID]],ST[Order ID],ST[Employee ID])</f>
        <v>E04</v>
      </c>
      <c r="H352" t="str">
        <f>_xlfn.XLOOKUP(G352,SM[Employee ID],SM[Salesperson])</f>
        <v>Priya Nair</v>
      </c>
      <c r="I352" t="str">
        <f>_xlfn.XLOOKUP(G352,SM[Employee ID],SM[Region])</f>
        <v>South</v>
      </c>
      <c r="J352" t="str">
        <f>_xlfn.XLOOKUP(G352,SM[Employee ID],SM[State/City])</f>
        <v>Bengaluru</v>
      </c>
      <c r="K352" s="2">
        <f>_xlfn.XLOOKUP(Sales[[#This Row],[Order ID]],ST[Order ID],ST[Units Sold])</f>
        <v>1</v>
      </c>
      <c r="L352">
        <f t="shared" si="5"/>
        <v>880</v>
      </c>
    </row>
    <row r="353" spans="1:12" x14ac:dyDescent="0.35">
      <c r="A353" s="7">
        <v>1357</v>
      </c>
      <c r="B353" s="1">
        <v>45305</v>
      </c>
      <c r="C353" s="2" t="s">
        <v>14</v>
      </c>
      <c r="D353" t="str">
        <f>_xlfn.XLOOKUP(Merged_Sales_Data!C353,PM[Product ID],PM[Product Name])</f>
        <v>Laptop Backpack</v>
      </c>
      <c r="E353" t="str">
        <f>VLOOKUP(C353,PM[],3,FALSE)</f>
        <v>Accessories</v>
      </c>
      <c r="F353">
        <f>_xlfn.XLOOKUP(C353,PM[Product ID],PM[Unit Price (₹)])</f>
        <v>1110</v>
      </c>
      <c r="G353" t="str">
        <f>_xlfn.XLOOKUP(Sales[[#This Row],[Order ID]],ST[Order ID],ST[Employee ID])</f>
        <v>E05</v>
      </c>
      <c r="H353" t="str">
        <f>_xlfn.XLOOKUP(G353,SM[Employee ID],SM[Salesperson])</f>
        <v>Karan Malhotra</v>
      </c>
      <c r="I353" t="str">
        <f>_xlfn.XLOOKUP(G353,SM[Employee ID],SM[Region])</f>
        <v>East</v>
      </c>
      <c r="J353" t="str">
        <f>_xlfn.XLOOKUP(G353,SM[Employee ID],SM[State/City])</f>
        <v>Kolkata</v>
      </c>
      <c r="K353" s="2">
        <f>_xlfn.XLOOKUP(Sales[[#This Row],[Order ID]],ST[Order ID],ST[Units Sold])</f>
        <v>10</v>
      </c>
      <c r="L353">
        <f t="shared" si="5"/>
        <v>11100</v>
      </c>
    </row>
    <row r="354" spans="1:12" x14ac:dyDescent="0.35">
      <c r="A354" s="7">
        <v>1344</v>
      </c>
      <c r="B354" s="1">
        <v>45307</v>
      </c>
      <c r="C354" s="2" t="s">
        <v>18</v>
      </c>
      <c r="D354" t="str">
        <f>_xlfn.XLOOKUP(Merged_Sales_Data!C354,PM[Product ID],PM[Product Name])</f>
        <v>LED Monitor 24"</v>
      </c>
      <c r="E354" t="str">
        <f>VLOOKUP(C354,PM[],3,FALSE)</f>
        <v>Electronics</v>
      </c>
      <c r="F354">
        <f>_xlfn.XLOOKUP(C354,PM[Product ID],PM[Unit Price (₹)])</f>
        <v>7700</v>
      </c>
      <c r="G354" t="str">
        <f>_xlfn.XLOOKUP(Sales[[#This Row],[Order ID]],ST[Order ID],ST[Employee ID])</f>
        <v>E04</v>
      </c>
      <c r="H354" t="str">
        <f>_xlfn.XLOOKUP(G354,SM[Employee ID],SM[Salesperson])</f>
        <v>Priya Nair</v>
      </c>
      <c r="I354" t="str">
        <f>_xlfn.XLOOKUP(G354,SM[Employee ID],SM[Region])</f>
        <v>South</v>
      </c>
      <c r="J354" t="str">
        <f>_xlfn.XLOOKUP(G354,SM[Employee ID],SM[State/City])</f>
        <v>Bengaluru</v>
      </c>
      <c r="K354" s="2">
        <f>_xlfn.XLOOKUP(Sales[[#This Row],[Order ID]],ST[Order ID],ST[Units Sold])</f>
        <v>10</v>
      </c>
      <c r="L354">
        <f t="shared" si="5"/>
        <v>77000</v>
      </c>
    </row>
    <row r="355" spans="1:12" x14ac:dyDescent="0.35">
      <c r="A355" s="7">
        <v>1343</v>
      </c>
      <c r="B355" s="1">
        <v>45310</v>
      </c>
      <c r="C355" s="2" t="s">
        <v>12</v>
      </c>
      <c r="D355" t="str">
        <f>_xlfn.XLOOKUP(Merged_Sales_Data!C355,PM[Product ID],PM[Product Name])</f>
        <v>Bookshelf Unit</v>
      </c>
      <c r="E355" t="str">
        <f>VLOOKUP(C355,PM[],3,FALSE)</f>
        <v>Furniture</v>
      </c>
      <c r="F355">
        <f>_xlfn.XLOOKUP(C355,PM[Product ID],PM[Unit Price (₹)])</f>
        <v>3910</v>
      </c>
      <c r="G355" t="str">
        <f>_xlfn.XLOOKUP(Sales[[#This Row],[Order ID]],ST[Order ID],ST[Employee ID])</f>
        <v>E05</v>
      </c>
      <c r="H355" t="str">
        <f>_xlfn.XLOOKUP(G355,SM[Employee ID],SM[Salesperson])</f>
        <v>Karan Malhotra</v>
      </c>
      <c r="I355" t="str">
        <f>_xlfn.XLOOKUP(G355,SM[Employee ID],SM[Region])</f>
        <v>East</v>
      </c>
      <c r="J355" t="str">
        <f>_xlfn.XLOOKUP(G355,SM[Employee ID],SM[State/City])</f>
        <v>Kolkata</v>
      </c>
      <c r="K355" s="2">
        <f>_xlfn.XLOOKUP(Sales[[#This Row],[Order ID]],ST[Order ID],ST[Units Sold])</f>
        <v>1</v>
      </c>
      <c r="L355">
        <f t="shared" si="5"/>
        <v>3910</v>
      </c>
    </row>
    <row r="356" spans="1:12" x14ac:dyDescent="0.35">
      <c r="A356" s="7">
        <v>1346</v>
      </c>
      <c r="B356" s="1">
        <v>45310</v>
      </c>
      <c r="C356" s="2" t="s">
        <v>11</v>
      </c>
      <c r="D356" t="str">
        <f>_xlfn.XLOOKUP(Merged_Sales_Data!C356,PM[Product ID],PM[Product Name])</f>
        <v>Bluetooth Speaker</v>
      </c>
      <c r="E356" t="str">
        <f>VLOOKUP(C356,PM[],3,FALSE)</f>
        <v>Electronics</v>
      </c>
      <c r="F356">
        <f>_xlfn.XLOOKUP(C356,PM[Product ID],PM[Unit Price (₹)])</f>
        <v>1430</v>
      </c>
      <c r="G356" t="str">
        <f>_xlfn.XLOOKUP(Sales[[#This Row],[Order ID]],ST[Order ID],ST[Employee ID])</f>
        <v>E06</v>
      </c>
      <c r="H356" t="str">
        <f>_xlfn.XLOOKUP(G356,SM[Employee ID],SM[Salesperson])</f>
        <v>Sneha Roy</v>
      </c>
      <c r="I356" t="str">
        <f>_xlfn.XLOOKUP(G356,SM[Employee ID],SM[Region])</f>
        <v>East</v>
      </c>
      <c r="J356" t="str">
        <f>_xlfn.XLOOKUP(G356,SM[Employee ID],SM[State/City])</f>
        <v>Kolkata</v>
      </c>
      <c r="K356" s="2">
        <f>_xlfn.XLOOKUP(Sales[[#This Row],[Order ID]],ST[Order ID],ST[Units Sold])</f>
        <v>2</v>
      </c>
      <c r="L356">
        <f t="shared" si="5"/>
        <v>2860</v>
      </c>
    </row>
    <row r="357" spans="1:12" x14ac:dyDescent="0.35">
      <c r="A357" s="7">
        <v>1350</v>
      </c>
      <c r="B357" s="1">
        <v>45310</v>
      </c>
      <c r="C357" s="2" t="s">
        <v>18</v>
      </c>
      <c r="D357" t="str">
        <f>_xlfn.XLOOKUP(Merged_Sales_Data!C357,PM[Product ID],PM[Product Name])</f>
        <v>LED Monitor 24"</v>
      </c>
      <c r="E357" t="str">
        <f>VLOOKUP(C357,PM[],3,FALSE)</f>
        <v>Electronics</v>
      </c>
      <c r="F357">
        <f>_xlfn.XLOOKUP(C357,PM[Product ID],PM[Unit Price (₹)])</f>
        <v>7700</v>
      </c>
      <c r="G357" t="str">
        <f>_xlfn.XLOOKUP(Sales[[#This Row],[Order ID]],ST[Order ID],ST[Employee ID])</f>
        <v>E01</v>
      </c>
      <c r="H357" t="str">
        <f>_xlfn.XLOOKUP(G357,SM[Employee ID],SM[Salesperson])</f>
        <v>Aarav Sharma</v>
      </c>
      <c r="I357" t="str">
        <f>_xlfn.XLOOKUP(G357,SM[Employee ID],SM[Region])</f>
        <v>North</v>
      </c>
      <c r="J357" t="str">
        <f>_xlfn.XLOOKUP(G357,SM[Employee ID],SM[State/City])</f>
        <v>Lucknow</v>
      </c>
      <c r="K357" s="2">
        <f>_xlfn.XLOOKUP(Sales[[#This Row],[Order ID]],ST[Order ID],ST[Units Sold])</f>
        <v>1</v>
      </c>
      <c r="L357">
        <f t="shared" si="5"/>
        <v>7700</v>
      </c>
    </row>
    <row r="358" spans="1:12" x14ac:dyDescent="0.35">
      <c r="A358" s="7">
        <v>1342</v>
      </c>
      <c r="B358" s="1">
        <v>45311</v>
      </c>
      <c r="C358" s="2" t="s">
        <v>21</v>
      </c>
      <c r="D358" t="str">
        <f>_xlfn.XLOOKUP(Merged_Sales_Data!C358,PM[Product ID],PM[Product Name])</f>
        <v>Wireless Mouse</v>
      </c>
      <c r="E358" t="str">
        <f>VLOOKUP(C358,PM[],3,FALSE)</f>
        <v>Electronics</v>
      </c>
      <c r="F358">
        <f>_xlfn.XLOOKUP(C358,PM[Product ID],PM[Unit Price (₹)])</f>
        <v>780</v>
      </c>
      <c r="G358" t="str">
        <f>_xlfn.XLOOKUP(Sales[[#This Row],[Order ID]],ST[Order ID],ST[Employee ID])</f>
        <v>E07</v>
      </c>
      <c r="H358" t="str">
        <f>_xlfn.XLOOKUP(G358,SM[Employee ID],SM[Salesperson])</f>
        <v>Aditya Kapoor</v>
      </c>
      <c r="I358" t="str">
        <f>_xlfn.XLOOKUP(G358,SM[Employee ID],SM[Region])</f>
        <v>West</v>
      </c>
      <c r="J358" t="str">
        <f>_xlfn.XLOOKUP(G358,SM[Employee ID],SM[State/City])</f>
        <v>Mumbai</v>
      </c>
      <c r="K358" s="2">
        <f>_xlfn.XLOOKUP(Sales[[#This Row],[Order ID]],ST[Order ID],ST[Units Sold])</f>
        <v>2</v>
      </c>
      <c r="L358">
        <f t="shared" si="5"/>
        <v>1560</v>
      </c>
    </row>
    <row r="359" spans="1:12" x14ac:dyDescent="0.35">
      <c r="A359" s="7">
        <v>1362</v>
      </c>
      <c r="B359" s="1">
        <v>45311</v>
      </c>
      <c r="C359" s="2" t="s">
        <v>5</v>
      </c>
      <c r="D359" t="str">
        <f>_xlfn.XLOOKUP(Merged_Sales_Data!C359,PM[Product ID],PM[Product Name])</f>
        <v>Ergo Office Chair</v>
      </c>
      <c r="E359" t="str">
        <f>VLOOKUP(C359,PM[],3,FALSE)</f>
        <v>Office Supplies</v>
      </c>
      <c r="F359">
        <f>_xlfn.XLOOKUP(C359,PM[Product ID],PM[Unit Price (₹)])</f>
        <v>6750</v>
      </c>
      <c r="G359" t="str">
        <f>_xlfn.XLOOKUP(Sales[[#This Row],[Order ID]],ST[Order ID],ST[Employee ID])</f>
        <v>E01</v>
      </c>
      <c r="H359" t="str">
        <f>_xlfn.XLOOKUP(G359,SM[Employee ID],SM[Salesperson])</f>
        <v>Aarav Sharma</v>
      </c>
      <c r="I359" t="str">
        <f>_xlfn.XLOOKUP(G359,SM[Employee ID],SM[Region])</f>
        <v>North</v>
      </c>
      <c r="J359" t="str">
        <f>_xlfn.XLOOKUP(G359,SM[Employee ID],SM[State/City])</f>
        <v>Lucknow</v>
      </c>
      <c r="K359" s="2">
        <f>_xlfn.XLOOKUP(Sales[[#This Row],[Order ID]],ST[Order ID],ST[Units Sold])</f>
        <v>4</v>
      </c>
      <c r="L359">
        <f t="shared" si="5"/>
        <v>27000</v>
      </c>
    </row>
    <row r="360" spans="1:12" x14ac:dyDescent="0.35">
      <c r="A360" s="7">
        <v>1360</v>
      </c>
      <c r="B360" s="1">
        <v>45313</v>
      </c>
      <c r="C360" s="2" t="s">
        <v>11</v>
      </c>
      <c r="D360" t="str">
        <f>_xlfn.XLOOKUP(Merged_Sales_Data!C360,PM[Product ID],PM[Product Name])</f>
        <v>Bluetooth Speaker</v>
      </c>
      <c r="E360" t="str">
        <f>VLOOKUP(C360,PM[],3,FALSE)</f>
        <v>Electronics</v>
      </c>
      <c r="F360">
        <f>_xlfn.XLOOKUP(C360,PM[Product ID],PM[Unit Price (₹)])</f>
        <v>1430</v>
      </c>
      <c r="G360" t="str">
        <f>_xlfn.XLOOKUP(Sales[[#This Row],[Order ID]],ST[Order ID],ST[Employee ID])</f>
        <v>E07</v>
      </c>
      <c r="H360" t="str">
        <f>_xlfn.XLOOKUP(G360,SM[Employee ID],SM[Salesperson])</f>
        <v>Aditya Kapoor</v>
      </c>
      <c r="I360" t="str">
        <f>_xlfn.XLOOKUP(G360,SM[Employee ID],SM[Region])</f>
        <v>West</v>
      </c>
      <c r="J360" t="str">
        <f>_xlfn.XLOOKUP(G360,SM[Employee ID],SM[State/City])</f>
        <v>Mumbai</v>
      </c>
      <c r="K360" s="2">
        <f>_xlfn.XLOOKUP(Sales[[#This Row],[Order ID]],ST[Order ID],ST[Units Sold])</f>
        <v>2</v>
      </c>
      <c r="L360">
        <f t="shared" si="5"/>
        <v>2860</v>
      </c>
    </row>
    <row r="361" spans="1:12" x14ac:dyDescent="0.35">
      <c r="A361" s="7">
        <v>1339</v>
      </c>
      <c r="B361" s="1">
        <v>45315</v>
      </c>
      <c r="C361" s="2" t="s">
        <v>10</v>
      </c>
      <c r="D361" t="str">
        <f>_xlfn.XLOOKUP(Merged_Sales_Data!C361,PM[Product ID],PM[Product Name])</f>
        <v>Filing Cabinet</v>
      </c>
      <c r="E361" t="str">
        <f>VLOOKUP(C361,PM[],3,FALSE)</f>
        <v>Furniture</v>
      </c>
      <c r="F361">
        <f>_xlfn.XLOOKUP(C361,PM[Product ID],PM[Unit Price (₹)])</f>
        <v>4070</v>
      </c>
      <c r="G361" t="str">
        <f>_xlfn.XLOOKUP(Sales[[#This Row],[Order ID]],ST[Order ID],ST[Employee ID])</f>
        <v>E02</v>
      </c>
      <c r="H361" t="str">
        <f>_xlfn.XLOOKUP(G361,SM[Employee ID],SM[Salesperson])</f>
        <v>Ishita Verma</v>
      </c>
      <c r="I361" t="str">
        <f>_xlfn.XLOOKUP(G361,SM[Employee ID],SM[Region])</f>
        <v>North</v>
      </c>
      <c r="J361" t="str">
        <f>_xlfn.XLOOKUP(G361,SM[Employee ID],SM[State/City])</f>
        <v>Chandigarh</v>
      </c>
      <c r="K361" s="2">
        <f>_xlfn.XLOOKUP(Sales[[#This Row],[Order ID]],ST[Order ID],ST[Units Sold])</f>
        <v>1</v>
      </c>
      <c r="L361">
        <f t="shared" si="5"/>
        <v>4070</v>
      </c>
    </row>
    <row r="362" spans="1:12" x14ac:dyDescent="0.35">
      <c r="A362" s="7">
        <v>1351</v>
      </c>
      <c r="B362" s="1">
        <v>45315</v>
      </c>
      <c r="C362" s="2" t="s">
        <v>11</v>
      </c>
      <c r="D362" t="str">
        <f>_xlfn.XLOOKUP(Merged_Sales_Data!C362,PM[Product ID],PM[Product Name])</f>
        <v>Bluetooth Speaker</v>
      </c>
      <c r="E362" t="str">
        <f>VLOOKUP(C362,PM[],3,FALSE)</f>
        <v>Electronics</v>
      </c>
      <c r="F362">
        <f>_xlfn.XLOOKUP(C362,PM[Product ID],PM[Unit Price (₹)])</f>
        <v>1430</v>
      </c>
      <c r="G362" t="str">
        <f>_xlfn.XLOOKUP(Sales[[#This Row],[Order ID]],ST[Order ID],ST[Employee ID])</f>
        <v>E07</v>
      </c>
      <c r="H362" t="str">
        <f>_xlfn.XLOOKUP(G362,SM[Employee ID],SM[Salesperson])</f>
        <v>Aditya Kapoor</v>
      </c>
      <c r="I362" t="str">
        <f>_xlfn.XLOOKUP(G362,SM[Employee ID],SM[Region])</f>
        <v>West</v>
      </c>
      <c r="J362" t="str">
        <f>_xlfn.XLOOKUP(G362,SM[Employee ID],SM[State/City])</f>
        <v>Mumbai</v>
      </c>
      <c r="K362" s="2">
        <f>_xlfn.XLOOKUP(Sales[[#This Row],[Order ID]],ST[Order ID],ST[Units Sold])</f>
        <v>1</v>
      </c>
      <c r="L362">
        <f t="shared" si="5"/>
        <v>1430</v>
      </c>
    </row>
    <row r="363" spans="1:12" x14ac:dyDescent="0.35">
      <c r="A363" s="7">
        <v>1354</v>
      </c>
      <c r="B363" s="1">
        <v>45315</v>
      </c>
      <c r="C363" s="2" t="s">
        <v>12</v>
      </c>
      <c r="D363" t="str">
        <f>_xlfn.XLOOKUP(Merged_Sales_Data!C363,PM[Product ID],PM[Product Name])</f>
        <v>Bookshelf Unit</v>
      </c>
      <c r="E363" t="str">
        <f>VLOOKUP(C363,PM[],3,FALSE)</f>
        <v>Furniture</v>
      </c>
      <c r="F363">
        <f>_xlfn.XLOOKUP(C363,PM[Product ID],PM[Unit Price (₹)])</f>
        <v>3910</v>
      </c>
      <c r="G363" t="str">
        <f>_xlfn.XLOOKUP(Sales[[#This Row],[Order ID]],ST[Order ID],ST[Employee ID])</f>
        <v>E03</v>
      </c>
      <c r="H363" t="str">
        <f>_xlfn.XLOOKUP(G363,SM[Employee ID],SM[Salesperson])</f>
        <v>Rohan Mehta</v>
      </c>
      <c r="I363" t="str">
        <f>_xlfn.XLOOKUP(G363,SM[Employee ID],SM[Region])</f>
        <v>South</v>
      </c>
      <c r="J363" t="str">
        <f>_xlfn.XLOOKUP(G363,SM[Employee ID],SM[State/City])</f>
        <v>Bengaluru</v>
      </c>
      <c r="K363" s="2">
        <f>_xlfn.XLOOKUP(Sales[[#This Row],[Order ID]],ST[Order ID],ST[Units Sold])</f>
        <v>2</v>
      </c>
      <c r="L363">
        <f t="shared" si="5"/>
        <v>7820</v>
      </c>
    </row>
    <row r="364" spans="1:12" x14ac:dyDescent="0.35">
      <c r="A364" s="7">
        <v>1347</v>
      </c>
      <c r="B364" s="1">
        <v>45316</v>
      </c>
      <c r="C364" s="2" t="s">
        <v>10</v>
      </c>
      <c r="D364" t="str">
        <f>_xlfn.XLOOKUP(Merged_Sales_Data!C364,PM[Product ID],PM[Product Name])</f>
        <v>Filing Cabinet</v>
      </c>
      <c r="E364" t="str">
        <f>VLOOKUP(C364,PM[],3,FALSE)</f>
        <v>Furniture</v>
      </c>
      <c r="F364">
        <f>_xlfn.XLOOKUP(C364,PM[Product ID],PM[Unit Price (₹)])</f>
        <v>4070</v>
      </c>
      <c r="G364" t="str">
        <f>_xlfn.XLOOKUP(Sales[[#This Row],[Order ID]],ST[Order ID],ST[Employee ID])</f>
        <v>E04</v>
      </c>
      <c r="H364" t="str">
        <f>_xlfn.XLOOKUP(G364,SM[Employee ID],SM[Salesperson])</f>
        <v>Priya Nair</v>
      </c>
      <c r="I364" t="str">
        <f>_xlfn.XLOOKUP(G364,SM[Employee ID],SM[Region])</f>
        <v>South</v>
      </c>
      <c r="J364" t="str">
        <f>_xlfn.XLOOKUP(G364,SM[Employee ID],SM[State/City])</f>
        <v>Bengaluru</v>
      </c>
      <c r="K364" s="2">
        <f>_xlfn.XLOOKUP(Sales[[#This Row],[Order ID]],ST[Order ID],ST[Units Sold])</f>
        <v>6</v>
      </c>
      <c r="L364">
        <f t="shared" si="5"/>
        <v>24420</v>
      </c>
    </row>
    <row r="365" spans="1:12" x14ac:dyDescent="0.35">
      <c r="A365" s="7">
        <v>1345</v>
      </c>
      <c r="B365" s="1">
        <v>45319</v>
      </c>
      <c r="C365" s="2" t="s">
        <v>11</v>
      </c>
      <c r="D365" t="str">
        <f>_xlfn.XLOOKUP(Merged_Sales_Data!C365,PM[Product ID],PM[Product Name])</f>
        <v>Bluetooth Speaker</v>
      </c>
      <c r="E365" t="str">
        <f>VLOOKUP(C365,PM[],3,FALSE)</f>
        <v>Electronics</v>
      </c>
      <c r="F365">
        <f>_xlfn.XLOOKUP(C365,PM[Product ID],PM[Unit Price (₹)])</f>
        <v>1430</v>
      </c>
      <c r="G365" t="str">
        <f>_xlfn.XLOOKUP(Sales[[#This Row],[Order ID]],ST[Order ID],ST[Employee ID])</f>
        <v>E04</v>
      </c>
      <c r="H365" t="str">
        <f>_xlfn.XLOOKUP(G365,SM[Employee ID],SM[Salesperson])</f>
        <v>Priya Nair</v>
      </c>
      <c r="I365" t="str">
        <f>_xlfn.XLOOKUP(G365,SM[Employee ID],SM[Region])</f>
        <v>South</v>
      </c>
      <c r="J365" t="str">
        <f>_xlfn.XLOOKUP(G365,SM[Employee ID],SM[State/City])</f>
        <v>Bengaluru</v>
      </c>
      <c r="K365" s="2">
        <f>_xlfn.XLOOKUP(Sales[[#This Row],[Order ID]],ST[Order ID],ST[Units Sold])</f>
        <v>3</v>
      </c>
      <c r="L365">
        <f t="shared" si="5"/>
        <v>4290</v>
      </c>
    </row>
    <row r="366" spans="1:12" x14ac:dyDescent="0.35">
      <c r="A366" s="7">
        <v>1388</v>
      </c>
      <c r="B366" s="1">
        <v>45324</v>
      </c>
      <c r="C366" s="2" t="s">
        <v>14</v>
      </c>
      <c r="D366" t="str">
        <f>_xlfn.XLOOKUP(Merged_Sales_Data!C366,PM[Product ID],PM[Product Name])</f>
        <v>Laptop Backpack</v>
      </c>
      <c r="E366" t="str">
        <f>VLOOKUP(C366,PM[],3,FALSE)</f>
        <v>Accessories</v>
      </c>
      <c r="F366">
        <f>_xlfn.XLOOKUP(C366,PM[Product ID],PM[Unit Price (₹)])</f>
        <v>1110</v>
      </c>
      <c r="G366" t="str">
        <f>_xlfn.XLOOKUP(Sales[[#This Row],[Order ID]],ST[Order ID],ST[Employee ID])</f>
        <v>E05</v>
      </c>
      <c r="H366" t="str">
        <f>_xlfn.XLOOKUP(G366,SM[Employee ID],SM[Salesperson])</f>
        <v>Karan Malhotra</v>
      </c>
      <c r="I366" t="str">
        <f>_xlfn.XLOOKUP(G366,SM[Employee ID],SM[Region])</f>
        <v>East</v>
      </c>
      <c r="J366" t="str">
        <f>_xlfn.XLOOKUP(G366,SM[Employee ID],SM[State/City])</f>
        <v>Kolkata</v>
      </c>
      <c r="K366" s="2">
        <f>_xlfn.XLOOKUP(Sales[[#This Row],[Order ID]],ST[Order ID],ST[Units Sold])</f>
        <v>5</v>
      </c>
      <c r="L366">
        <f t="shared" si="5"/>
        <v>5550</v>
      </c>
    </row>
    <row r="367" spans="1:12" x14ac:dyDescent="0.35">
      <c r="A367" s="7">
        <v>1387</v>
      </c>
      <c r="B367" s="1">
        <v>45325</v>
      </c>
      <c r="C367" s="2" t="s">
        <v>12</v>
      </c>
      <c r="D367" t="str">
        <f>_xlfn.XLOOKUP(Merged_Sales_Data!C367,PM[Product ID],PM[Product Name])</f>
        <v>Bookshelf Unit</v>
      </c>
      <c r="E367" t="str">
        <f>VLOOKUP(C367,PM[],3,FALSE)</f>
        <v>Furniture</v>
      </c>
      <c r="F367">
        <f>_xlfn.XLOOKUP(C367,PM[Product ID],PM[Unit Price (₹)])</f>
        <v>3910</v>
      </c>
      <c r="G367" t="str">
        <f>_xlfn.XLOOKUP(Sales[[#This Row],[Order ID]],ST[Order ID],ST[Employee ID])</f>
        <v>E01</v>
      </c>
      <c r="H367" t="str">
        <f>_xlfn.XLOOKUP(G367,SM[Employee ID],SM[Salesperson])</f>
        <v>Aarav Sharma</v>
      </c>
      <c r="I367" t="str">
        <f>_xlfn.XLOOKUP(G367,SM[Employee ID],SM[Region])</f>
        <v>North</v>
      </c>
      <c r="J367" t="str">
        <f>_xlfn.XLOOKUP(G367,SM[Employee ID],SM[State/City])</f>
        <v>Lucknow</v>
      </c>
      <c r="K367" s="2">
        <f>_xlfn.XLOOKUP(Sales[[#This Row],[Order ID]],ST[Order ID],ST[Units Sold])</f>
        <v>6</v>
      </c>
      <c r="L367">
        <f t="shared" si="5"/>
        <v>23460</v>
      </c>
    </row>
    <row r="368" spans="1:12" x14ac:dyDescent="0.35">
      <c r="A368" s="7">
        <v>1389</v>
      </c>
      <c r="B368" s="1">
        <v>45325</v>
      </c>
      <c r="C368" s="2" t="s">
        <v>12</v>
      </c>
      <c r="D368" t="str">
        <f>_xlfn.XLOOKUP(Merged_Sales_Data!C368,PM[Product ID],PM[Product Name])</f>
        <v>Bookshelf Unit</v>
      </c>
      <c r="E368" t="str">
        <f>VLOOKUP(C368,PM[],3,FALSE)</f>
        <v>Furniture</v>
      </c>
      <c r="F368">
        <f>_xlfn.XLOOKUP(C368,PM[Product ID],PM[Unit Price (₹)])</f>
        <v>3910</v>
      </c>
      <c r="G368" t="str">
        <f>_xlfn.XLOOKUP(Sales[[#This Row],[Order ID]],ST[Order ID],ST[Employee ID])</f>
        <v>E01</v>
      </c>
      <c r="H368" t="str">
        <f>_xlfn.XLOOKUP(G368,SM[Employee ID],SM[Salesperson])</f>
        <v>Aarav Sharma</v>
      </c>
      <c r="I368" t="str">
        <f>_xlfn.XLOOKUP(G368,SM[Employee ID],SM[Region])</f>
        <v>North</v>
      </c>
      <c r="J368" t="str">
        <f>_xlfn.XLOOKUP(G368,SM[Employee ID],SM[State/City])</f>
        <v>Lucknow</v>
      </c>
      <c r="K368" s="2">
        <f>_xlfn.XLOOKUP(Sales[[#This Row],[Order ID]],ST[Order ID],ST[Units Sold])</f>
        <v>2</v>
      </c>
      <c r="L368">
        <f t="shared" si="5"/>
        <v>7820</v>
      </c>
    </row>
    <row r="369" spans="1:12" x14ac:dyDescent="0.35">
      <c r="A369" s="7">
        <v>1371</v>
      </c>
      <c r="B369" s="1">
        <v>45326</v>
      </c>
      <c r="C369" s="2" t="s">
        <v>10</v>
      </c>
      <c r="D369" t="str">
        <f>_xlfn.XLOOKUP(Merged_Sales_Data!C369,PM[Product ID],PM[Product Name])</f>
        <v>Filing Cabinet</v>
      </c>
      <c r="E369" t="str">
        <f>VLOOKUP(C369,PM[],3,FALSE)</f>
        <v>Furniture</v>
      </c>
      <c r="F369">
        <f>_xlfn.XLOOKUP(C369,PM[Product ID],PM[Unit Price (₹)])</f>
        <v>4070</v>
      </c>
      <c r="G369" t="str">
        <f>_xlfn.XLOOKUP(Sales[[#This Row],[Order ID]],ST[Order ID],ST[Employee ID])</f>
        <v>E07</v>
      </c>
      <c r="H369" t="str">
        <f>_xlfn.XLOOKUP(G369,SM[Employee ID],SM[Salesperson])</f>
        <v>Aditya Kapoor</v>
      </c>
      <c r="I369" t="str">
        <f>_xlfn.XLOOKUP(G369,SM[Employee ID],SM[Region])</f>
        <v>West</v>
      </c>
      <c r="J369" t="str">
        <f>_xlfn.XLOOKUP(G369,SM[Employee ID],SM[State/City])</f>
        <v>Mumbai</v>
      </c>
      <c r="K369" s="2">
        <f>_xlfn.XLOOKUP(Sales[[#This Row],[Order ID]],ST[Order ID],ST[Units Sold])</f>
        <v>2</v>
      </c>
      <c r="L369">
        <f t="shared" si="5"/>
        <v>8140</v>
      </c>
    </row>
    <row r="370" spans="1:12" x14ac:dyDescent="0.35">
      <c r="A370" s="7">
        <v>1393</v>
      </c>
      <c r="B370" s="1">
        <v>45326</v>
      </c>
      <c r="C370" s="2" t="s">
        <v>21</v>
      </c>
      <c r="D370" t="str">
        <f>_xlfn.XLOOKUP(Merged_Sales_Data!C370,PM[Product ID],PM[Product Name])</f>
        <v>Wireless Mouse</v>
      </c>
      <c r="E370" t="str">
        <f>VLOOKUP(C370,PM[],3,FALSE)</f>
        <v>Electronics</v>
      </c>
      <c r="F370">
        <f>_xlfn.XLOOKUP(C370,PM[Product ID],PM[Unit Price (₹)])</f>
        <v>780</v>
      </c>
      <c r="G370" t="str">
        <f>_xlfn.XLOOKUP(Sales[[#This Row],[Order ID]],ST[Order ID],ST[Employee ID])</f>
        <v>E03</v>
      </c>
      <c r="H370" t="str">
        <f>_xlfn.XLOOKUP(G370,SM[Employee ID],SM[Salesperson])</f>
        <v>Rohan Mehta</v>
      </c>
      <c r="I370" t="str">
        <f>_xlfn.XLOOKUP(G370,SM[Employee ID],SM[Region])</f>
        <v>South</v>
      </c>
      <c r="J370" t="str">
        <f>_xlfn.XLOOKUP(G370,SM[Employee ID],SM[State/City])</f>
        <v>Bengaluru</v>
      </c>
      <c r="K370" s="2">
        <f>_xlfn.XLOOKUP(Sales[[#This Row],[Order ID]],ST[Order ID],ST[Units Sold])</f>
        <v>5</v>
      </c>
      <c r="L370">
        <f t="shared" si="5"/>
        <v>3900</v>
      </c>
    </row>
    <row r="371" spans="1:12" x14ac:dyDescent="0.35">
      <c r="A371" s="7">
        <v>1380</v>
      </c>
      <c r="B371" s="1">
        <v>45327</v>
      </c>
      <c r="C371" s="2" t="s">
        <v>5</v>
      </c>
      <c r="D371" t="str">
        <f>_xlfn.XLOOKUP(Merged_Sales_Data!C371,PM[Product ID],PM[Product Name])</f>
        <v>Ergo Office Chair</v>
      </c>
      <c r="E371" t="str">
        <f>VLOOKUP(C371,PM[],3,FALSE)</f>
        <v>Office Supplies</v>
      </c>
      <c r="F371">
        <f>_xlfn.XLOOKUP(C371,PM[Product ID],PM[Unit Price (₹)])</f>
        <v>6750</v>
      </c>
      <c r="G371" t="str">
        <f>_xlfn.XLOOKUP(Sales[[#This Row],[Order ID]],ST[Order ID],ST[Employee ID])</f>
        <v>E03</v>
      </c>
      <c r="H371" t="str">
        <f>_xlfn.XLOOKUP(G371,SM[Employee ID],SM[Salesperson])</f>
        <v>Rohan Mehta</v>
      </c>
      <c r="I371" t="str">
        <f>_xlfn.XLOOKUP(G371,SM[Employee ID],SM[Region])</f>
        <v>South</v>
      </c>
      <c r="J371" t="str">
        <f>_xlfn.XLOOKUP(G371,SM[Employee ID],SM[State/City])</f>
        <v>Bengaluru</v>
      </c>
      <c r="K371" s="2">
        <f>_xlfn.XLOOKUP(Sales[[#This Row],[Order ID]],ST[Order ID],ST[Units Sold])</f>
        <v>1</v>
      </c>
      <c r="L371">
        <f t="shared" si="5"/>
        <v>6750</v>
      </c>
    </row>
    <row r="372" spans="1:12" x14ac:dyDescent="0.35">
      <c r="A372" s="7">
        <v>1372</v>
      </c>
      <c r="B372" s="1">
        <v>45328</v>
      </c>
      <c r="C372" s="2" t="s">
        <v>21</v>
      </c>
      <c r="D372" t="str">
        <f>_xlfn.XLOOKUP(Merged_Sales_Data!C372,PM[Product ID],PM[Product Name])</f>
        <v>Wireless Mouse</v>
      </c>
      <c r="E372" t="str">
        <f>VLOOKUP(C372,PM[],3,FALSE)</f>
        <v>Electronics</v>
      </c>
      <c r="F372">
        <f>_xlfn.XLOOKUP(C372,PM[Product ID],PM[Unit Price (₹)])</f>
        <v>780</v>
      </c>
      <c r="G372" t="str">
        <f>_xlfn.XLOOKUP(Sales[[#This Row],[Order ID]],ST[Order ID],ST[Employee ID])</f>
        <v>E07</v>
      </c>
      <c r="H372" t="str">
        <f>_xlfn.XLOOKUP(G372,SM[Employee ID],SM[Salesperson])</f>
        <v>Aditya Kapoor</v>
      </c>
      <c r="I372" t="str">
        <f>_xlfn.XLOOKUP(G372,SM[Employee ID],SM[Region])</f>
        <v>West</v>
      </c>
      <c r="J372" t="str">
        <f>_xlfn.XLOOKUP(G372,SM[Employee ID],SM[State/City])</f>
        <v>Mumbai</v>
      </c>
      <c r="K372" s="2">
        <f>_xlfn.XLOOKUP(Sales[[#This Row],[Order ID]],ST[Order ID],ST[Units Sold])</f>
        <v>3</v>
      </c>
      <c r="L372">
        <f t="shared" si="5"/>
        <v>2340</v>
      </c>
    </row>
    <row r="373" spans="1:12" x14ac:dyDescent="0.35">
      <c r="A373" s="7">
        <v>1378</v>
      </c>
      <c r="B373" s="1">
        <v>45329</v>
      </c>
      <c r="C373" s="2" t="s">
        <v>8</v>
      </c>
      <c r="D373" t="str">
        <f>_xlfn.XLOOKUP(Merged_Sales_Data!C373,PM[Product ID],PM[Product Name])</f>
        <v>USB-C Hub</v>
      </c>
      <c r="E373" t="str">
        <f>VLOOKUP(C373,PM[],3,FALSE)</f>
        <v>Accessories</v>
      </c>
      <c r="F373">
        <f>_xlfn.XLOOKUP(C373,PM[Product ID],PM[Unit Price (₹)])</f>
        <v>880</v>
      </c>
      <c r="G373" t="str">
        <f>_xlfn.XLOOKUP(Sales[[#This Row],[Order ID]],ST[Order ID],ST[Employee ID])</f>
        <v>E02</v>
      </c>
      <c r="H373" t="str">
        <f>_xlfn.XLOOKUP(G373,SM[Employee ID],SM[Salesperson])</f>
        <v>Ishita Verma</v>
      </c>
      <c r="I373" t="str">
        <f>_xlfn.XLOOKUP(G373,SM[Employee ID],SM[Region])</f>
        <v>North</v>
      </c>
      <c r="J373" t="str">
        <f>_xlfn.XLOOKUP(G373,SM[Employee ID],SM[State/City])</f>
        <v>Chandigarh</v>
      </c>
      <c r="K373" s="2">
        <f>_xlfn.XLOOKUP(Sales[[#This Row],[Order ID]],ST[Order ID],ST[Units Sold])</f>
        <v>6</v>
      </c>
      <c r="L373">
        <f t="shared" si="5"/>
        <v>5280</v>
      </c>
    </row>
    <row r="374" spans="1:12" x14ac:dyDescent="0.35">
      <c r="A374" s="7">
        <v>1376</v>
      </c>
      <c r="B374" s="1">
        <v>45333</v>
      </c>
      <c r="C374" s="2" t="s">
        <v>12</v>
      </c>
      <c r="D374" t="str">
        <f>_xlfn.XLOOKUP(Merged_Sales_Data!C374,PM[Product ID],PM[Product Name])</f>
        <v>Bookshelf Unit</v>
      </c>
      <c r="E374" t="str">
        <f>VLOOKUP(C374,PM[],3,FALSE)</f>
        <v>Furniture</v>
      </c>
      <c r="F374">
        <f>_xlfn.XLOOKUP(C374,PM[Product ID],PM[Unit Price (₹)])</f>
        <v>3910</v>
      </c>
      <c r="G374" t="str">
        <f>_xlfn.XLOOKUP(Sales[[#This Row],[Order ID]],ST[Order ID],ST[Employee ID])</f>
        <v>E05</v>
      </c>
      <c r="H374" t="str">
        <f>_xlfn.XLOOKUP(G374,SM[Employee ID],SM[Salesperson])</f>
        <v>Karan Malhotra</v>
      </c>
      <c r="I374" t="str">
        <f>_xlfn.XLOOKUP(G374,SM[Employee ID],SM[Region])</f>
        <v>East</v>
      </c>
      <c r="J374" t="str">
        <f>_xlfn.XLOOKUP(G374,SM[Employee ID],SM[State/City])</f>
        <v>Kolkata</v>
      </c>
      <c r="K374" s="2">
        <f>_xlfn.XLOOKUP(Sales[[#This Row],[Order ID]],ST[Order ID],ST[Units Sold])</f>
        <v>2</v>
      </c>
      <c r="L374">
        <f t="shared" si="5"/>
        <v>7820</v>
      </c>
    </row>
    <row r="375" spans="1:12" x14ac:dyDescent="0.35">
      <c r="A375" s="7">
        <v>1384</v>
      </c>
      <c r="B375" s="1">
        <v>45333</v>
      </c>
      <c r="C375" s="2" t="s">
        <v>12</v>
      </c>
      <c r="D375" t="str">
        <f>_xlfn.XLOOKUP(Merged_Sales_Data!C375,PM[Product ID],PM[Product Name])</f>
        <v>Bookshelf Unit</v>
      </c>
      <c r="E375" t="str">
        <f>VLOOKUP(C375,PM[],3,FALSE)</f>
        <v>Furniture</v>
      </c>
      <c r="F375">
        <f>_xlfn.XLOOKUP(C375,PM[Product ID],PM[Unit Price (₹)])</f>
        <v>3910</v>
      </c>
      <c r="G375" t="str">
        <f>_xlfn.XLOOKUP(Sales[[#This Row],[Order ID]],ST[Order ID],ST[Employee ID])</f>
        <v>E08</v>
      </c>
      <c r="H375" t="str">
        <f>_xlfn.XLOOKUP(G375,SM[Employee ID],SM[Salesperson])</f>
        <v>Neha Joshi</v>
      </c>
      <c r="I375" t="str">
        <f>_xlfn.XLOOKUP(G375,SM[Employee ID],SM[Region])</f>
        <v>West</v>
      </c>
      <c r="J375" t="str">
        <f>_xlfn.XLOOKUP(G375,SM[Employee ID],SM[State/City])</f>
        <v>Ahmedabad</v>
      </c>
      <c r="K375" s="2">
        <f>_xlfn.XLOOKUP(Sales[[#This Row],[Order ID]],ST[Order ID],ST[Units Sold])</f>
        <v>10</v>
      </c>
      <c r="L375">
        <f t="shared" si="5"/>
        <v>39100</v>
      </c>
    </row>
    <row r="376" spans="1:12" x14ac:dyDescent="0.35">
      <c r="A376" s="7">
        <v>1366</v>
      </c>
      <c r="B376" s="1">
        <v>45335</v>
      </c>
      <c r="C376" s="2" t="s">
        <v>18</v>
      </c>
      <c r="D376" t="str">
        <f>_xlfn.XLOOKUP(Merged_Sales_Data!C376,PM[Product ID],PM[Product Name])</f>
        <v>LED Monitor 24"</v>
      </c>
      <c r="E376" t="str">
        <f>VLOOKUP(C376,PM[],3,FALSE)</f>
        <v>Electronics</v>
      </c>
      <c r="F376">
        <f>_xlfn.XLOOKUP(C376,PM[Product ID],PM[Unit Price (₹)])</f>
        <v>7700</v>
      </c>
      <c r="G376" t="str">
        <f>_xlfn.XLOOKUP(Sales[[#This Row],[Order ID]],ST[Order ID],ST[Employee ID])</f>
        <v>E07</v>
      </c>
      <c r="H376" t="str">
        <f>_xlfn.XLOOKUP(G376,SM[Employee ID],SM[Salesperson])</f>
        <v>Aditya Kapoor</v>
      </c>
      <c r="I376" t="str">
        <f>_xlfn.XLOOKUP(G376,SM[Employee ID],SM[Region])</f>
        <v>West</v>
      </c>
      <c r="J376" t="str">
        <f>_xlfn.XLOOKUP(G376,SM[Employee ID],SM[State/City])</f>
        <v>Mumbai</v>
      </c>
      <c r="K376" s="2">
        <f>_xlfn.XLOOKUP(Sales[[#This Row],[Order ID]],ST[Order ID],ST[Units Sold])</f>
        <v>1</v>
      </c>
      <c r="L376">
        <f t="shared" si="5"/>
        <v>7700</v>
      </c>
    </row>
    <row r="377" spans="1:12" x14ac:dyDescent="0.35">
      <c r="A377" s="7">
        <v>1375</v>
      </c>
      <c r="B377" s="1">
        <v>45335</v>
      </c>
      <c r="C377" s="2" t="s">
        <v>8</v>
      </c>
      <c r="D377" t="str">
        <f>_xlfn.XLOOKUP(Merged_Sales_Data!C377,PM[Product ID],PM[Product Name])</f>
        <v>USB-C Hub</v>
      </c>
      <c r="E377" t="str">
        <f>VLOOKUP(C377,PM[],3,FALSE)</f>
        <v>Accessories</v>
      </c>
      <c r="F377">
        <f>_xlfn.XLOOKUP(C377,PM[Product ID],PM[Unit Price (₹)])</f>
        <v>880</v>
      </c>
      <c r="G377" t="str">
        <f>_xlfn.XLOOKUP(Sales[[#This Row],[Order ID]],ST[Order ID],ST[Employee ID])</f>
        <v>E07</v>
      </c>
      <c r="H377" t="str">
        <f>_xlfn.XLOOKUP(G377,SM[Employee ID],SM[Salesperson])</f>
        <v>Aditya Kapoor</v>
      </c>
      <c r="I377" t="str">
        <f>_xlfn.XLOOKUP(G377,SM[Employee ID],SM[Region])</f>
        <v>West</v>
      </c>
      <c r="J377" t="str">
        <f>_xlfn.XLOOKUP(G377,SM[Employee ID],SM[State/City])</f>
        <v>Mumbai</v>
      </c>
      <c r="K377" s="2">
        <f>_xlfn.XLOOKUP(Sales[[#This Row],[Order ID]],ST[Order ID],ST[Units Sold])</f>
        <v>1</v>
      </c>
      <c r="L377">
        <f t="shared" si="5"/>
        <v>880</v>
      </c>
    </row>
    <row r="378" spans="1:12" x14ac:dyDescent="0.35">
      <c r="A378" s="7">
        <v>1370</v>
      </c>
      <c r="B378" s="1">
        <v>45336</v>
      </c>
      <c r="C378" s="2" t="s">
        <v>12</v>
      </c>
      <c r="D378" t="str">
        <f>_xlfn.XLOOKUP(Merged_Sales_Data!C378,PM[Product ID],PM[Product Name])</f>
        <v>Bookshelf Unit</v>
      </c>
      <c r="E378" t="str">
        <f>VLOOKUP(C378,PM[],3,FALSE)</f>
        <v>Furniture</v>
      </c>
      <c r="F378">
        <f>_xlfn.XLOOKUP(C378,PM[Product ID],PM[Unit Price (₹)])</f>
        <v>3910</v>
      </c>
      <c r="G378" t="str">
        <f>_xlfn.XLOOKUP(Sales[[#This Row],[Order ID]],ST[Order ID],ST[Employee ID])</f>
        <v>E02</v>
      </c>
      <c r="H378" t="str">
        <f>_xlfn.XLOOKUP(G378,SM[Employee ID],SM[Salesperson])</f>
        <v>Ishita Verma</v>
      </c>
      <c r="I378" t="str">
        <f>_xlfn.XLOOKUP(G378,SM[Employee ID],SM[Region])</f>
        <v>North</v>
      </c>
      <c r="J378" t="str">
        <f>_xlfn.XLOOKUP(G378,SM[Employee ID],SM[State/City])</f>
        <v>Chandigarh</v>
      </c>
      <c r="K378" s="2">
        <f>_xlfn.XLOOKUP(Sales[[#This Row],[Order ID]],ST[Order ID],ST[Units Sold])</f>
        <v>8</v>
      </c>
      <c r="L378">
        <f t="shared" si="5"/>
        <v>31280</v>
      </c>
    </row>
    <row r="379" spans="1:12" x14ac:dyDescent="0.35">
      <c r="A379" s="7">
        <v>1373</v>
      </c>
      <c r="B379" s="1">
        <v>45336</v>
      </c>
      <c r="C379" s="2" t="s">
        <v>12</v>
      </c>
      <c r="D379" t="str">
        <f>_xlfn.XLOOKUP(Merged_Sales_Data!C379,PM[Product ID],PM[Product Name])</f>
        <v>Bookshelf Unit</v>
      </c>
      <c r="E379" t="str">
        <f>VLOOKUP(C379,PM[],3,FALSE)</f>
        <v>Furniture</v>
      </c>
      <c r="F379">
        <f>_xlfn.XLOOKUP(C379,PM[Product ID],PM[Unit Price (₹)])</f>
        <v>3910</v>
      </c>
      <c r="G379" t="str">
        <f>_xlfn.XLOOKUP(Sales[[#This Row],[Order ID]],ST[Order ID],ST[Employee ID])</f>
        <v>E08</v>
      </c>
      <c r="H379" t="str">
        <f>_xlfn.XLOOKUP(G379,SM[Employee ID],SM[Salesperson])</f>
        <v>Neha Joshi</v>
      </c>
      <c r="I379" t="str">
        <f>_xlfn.XLOOKUP(G379,SM[Employee ID],SM[Region])</f>
        <v>West</v>
      </c>
      <c r="J379" t="str">
        <f>_xlfn.XLOOKUP(G379,SM[Employee ID],SM[State/City])</f>
        <v>Ahmedabad</v>
      </c>
      <c r="K379" s="2">
        <f>_xlfn.XLOOKUP(Sales[[#This Row],[Order ID]],ST[Order ID],ST[Units Sold])</f>
        <v>1</v>
      </c>
      <c r="L379">
        <f t="shared" si="5"/>
        <v>3910</v>
      </c>
    </row>
    <row r="380" spans="1:12" x14ac:dyDescent="0.35">
      <c r="A380" s="7">
        <v>1369</v>
      </c>
      <c r="B380" s="1">
        <v>45337</v>
      </c>
      <c r="C380" s="2" t="s">
        <v>10</v>
      </c>
      <c r="D380" t="str">
        <f>_xlfn.XLOOKUP(Merged_Sales_Data!C380,PM[Product ID],PM[Product Name])</f>
        <v>Filing Cabinet</v>
      </c>
      <c r="E380" t="str">
        <f>VLOOKUP(C380,PM[],3,FALSE)</f>
        <v>Furniture</v>
      </c>
      <c r="F380">
        <f>_xlfn.XLOOKUP(C380,PM[Product ID],PM[Unit Price (₹)])</f>
        <v>4070</v>
      </c>
      <c r="G380" t="str">
        <f>_xlfn.XLOOKUP(Sales[[#This Row],[Order ID]],ST[Order ID],ST[Employee ID])</f>
        <v>E01</v>
      </c>
      <c r="H380" t="str">
        <f>_xlfn.XLOOKUP(G380,SM[Employee ID],SM[Salesperson])</f>
        <v>Aarav Sharma</v>
      </c>
      <c r="I380" t="str">
        <f>_xlfn.XLOOKUP(G380,SM[Employee ID],SM[Region])</f>
        <v>North</v>
      </c>
      <c r="J380" t="str">
        <f>_xlfn.XLOOKUP(G380,SM[Employee ID],SM[State/City])</f>
        <v>Lucknow</v>
      </c>
      <c r="K380" s="2">
        <f>_xlfn.XLOOKUP(Sales[[#This Row],[Order ID]],ST[Order ID],ST[Units Sold])</f>
        <v>1</v>
      </c>
      <c r="L380">
        <f t="shared" si="5"/>
        <v>4070</v>
      </c>
    </row>
    <row r="381" spans="1:12" x14ac:dyDescent="0.35">
      <c r="A381" s="7">
        <v>1390</v>
      </c>
      <c r="B381" s="1">
        <v>45337</v>
      </c>
      <c r="C381" s="2" t="s">
        <v>8</v>
      </c>
      <c r="D381" t="str">
        <f>_xlfn.XLOOKUP(Merged_Sales_Data!C381,PM[Product ID],PM[Product Name])</f>
        <v>USB-C Hub</v>
      </c>
      <c r="E381" t="str">
        <f>VLOOKUP(C381,PM[],3,FALSE)</f>
        <v>Accessories</v>
      </c>
      <c r="F381">
        <f>_xlfn.XLOOKUP(C381,PM[Product ID],PM[Unit Price (₹)])</f>
        <v>880</v>
      </c>
      <c r="G381" t="str">
        <f>_xlfn.XLOOKUP(Sales[[#This Row],[Order ID]],ST[Order ID],ST[Employee ID])</f>
        <v>E02</v>
      </c>
      <c r="H381" t="str">
        <f>_xlfn.XLOOKUP(G381,SM[Employee ID],SM[Salesperson])</f>
        <v>Ishita Verma</v>
      </c>
      <c r="I381" t="str">
        <f>_xlfn.XLOOKUP(G381,SM[Employee ID],SM[Region])</f>
        <v>North</v>
      </c>
      <c r="J381" t="str">
        <f>_xlfn.XLOOKUP(G381,SM[Employee ID],SM[State/City])</f>
        <v>Chandigarh</v>
      </c>
      <c r="K381" s="2">
        <f>_xlfn.XLOOKUP(Sales[[#This Row],[Order ID]],ST[Order ID],ST[Units Sold])</f>
        <v>4</v>
      </c>
      <c r="L381">
        <f t="shared" si="5"/>
        <v>3520</v>
      </c>
    </row>
    <row r="382" spans="1:12" x14ac:dyDescent="0.35">
      <c r="A382" s="7">
        <v>1385</v>
      </c>
      <c r="B382" s="1">
        <v>45338</v>
      </c>
      <c r="C382" s="2" t="s">
        <v>14</v>
      </c>
      <c r="D382" t="str">
        <f>_xlfn.XLOOKUP(Merged_Sales_Data!C382,PM[Product ID],PM[Product Name])</f>
        <v>Laptop Backpack</v>
      </c>
      <c r="E382" t="str">
        <f>VLOOKUP(C382,PM[],3,FALSE)</f>
        <v>Accessories</v>
      </c>
      <c r="F382">
        <f>_xlfn.XLOOKUP(C382,PM[Product ID],PM[Unit Price (₹)])</f>
        <v>1110</v>
      </c>
      <c r="G382" t="str">
        <f>_xlfn.XLOOKUP(Sales[[#This Row],[Order ID]],ST[Order ID],ST[Employee ID])</f>
        <v>E03</v>
      </c>
      <c r="H382" t="str">
        <f>_xlfn.XLOOKUP(G382,SM[Employee ID],SM[Salesperson])</f>
        <v>Rohan Mehta</v>
      </c>
      <c r="I382" t="str">
        <f>_xlfn.XLOOKUP(G382,SM[Employee ID],SM[Region])</f>
        <v>South</v>
      </c>
      <c r="J382" t="str">
        <f>_xlfn.XLOOKUP(G382,SM[Employee ID],SM[State/City])</f>
        <v>Bengaluru</v>
      </c>
      <c r="K382" s="2">
        <f>_xlfn.XLOOKUP(Sales[[#This Row],[Order ID]],ST[Order ID],ST[Units Sold])</f>
        <v>1</v>
      </c>
      <c r="L382">
        <f t="shared" si="5"/>
        <v>1110</v>
      </c>
    </row>
    <row r="383" spans="1:12" x14ac:dyDescent="0.35">
      <c r="A383" s="7">
        <v>1392</v>
      </c>
      <c r="B383" s="1">
        <v>45338</v>
      </c>
      <c r="C383" s="2" t="s">
        <v>12</v>
      </c>
      <c r="D383" t="str">
        <f>_xlfn.XLOOKUP(Merged_Sales_Data!C383,PM[Product ID],PM[Product Name])</f>
        <v>Bookshelf Unit</v>
      </c>
      <c r="E383" t="str">
        <f>VLOOKUP(C383,PM[],3,FALSE)</f>
        <v>Furniture</v>
      </c>
      <c r="F383">
        <f>_xlfn.XLOOKUP(C383,PM[Product ID],PM[Unit Price (₹)])</f>
        <v>3910</v>
      </c>
      <c r="G383" t="str">
        <f>_xlfn.XLOOKUP(Sales[[#This Row],[Order ID]],ST[Order ID],ST[Employee ID])</f>
        <v>E04</v>
      </c>
      <c r="H383" t="str">
        <f>_xlfn.XLOOKUP(G383,SM[Employee ID],SM[Salesperson])</f>
        <v>Priya Nair</v>
      </c>
      <c r="I383" t="str">
        <f>_xlfn.XLOOKUP(G383,SM[Employee ID],SM[Region])</f>
        <v>South</v>
      </c>
      <c r="J383" t="str">
        <f>_xlfn.XLOOKUP(G383,SM[Employee ID],SM[State/City])</f>
        <v>Bengaluru</v>
      </c>
      <c r="K383" s="2">
        <f>_xlfn.XLOOKUP(Sales[[#This Row],[Order ID]],ST[Order ID],ST[Units Sold])</f>
        <v>8</v>
      </c>
      <c r="L383">
        <f t="shared" si="5"/>
        <v>31280</v>
      </c>
    </row>
    <row r="384" spans="1:12" x14ac:dyDescent="0.35">
      <c r="A384" s="7">
        <v>1374</v>
      </c>
      <c r="B384" s="1">
        <v>45341</v>
      </c>
      <c r="C384" s="2" t="s">
        <v>5</v>
      </c>
      <c r="D384" t="str">
        <f>_xlfn.XLOOKUP(Merged_Sales_Data!C384,PM[Product ID],PM[Product Name])</f>
        <v>Ergo Office Chair</v>
      </c>
      <c r="E384" t="str">
        <f>VLOOKUP(C384,PM[],3,FALSE)</f>
        <v>Office Supplies</v>
      </c>
      <c r="F384">
        <f>_xlfn.XLOOKUP(C384,PM[Product ID],PM[Unit Price (₹)])</f>
        <v>6750</v>
      </c>
      <c r="G384" t="str">
        <f>_xlfn.XLOOKUP(Sales[[#This Row],[Order ID]],ST[Order ID],ST[Employee ID])</f>
        <v>E02</v>
      </c>
      <c r="H384" t="str">
        <f>_xlfn.XLOOKUP(G384,SM[Employee ID],SM[Salesperson])</f>
        <v>Ishita Verma</v>
      </c>
      <c r="I384" t="str">
        <f>_xlfn.XLOOKUP(G384,SM[Employee ID],SM[Region])</f>
        <v>North</v>
      </c>
      <c r="J384" t="str">
        <f>_xlfn.XLOOKUP(G384,SM[Employee ID],SM[State/City])</f>
        <v>Chandigarh</v>
      </c>
      <c r="K384" s="2">
        <f>_xlfn.XLOOKUP(Sales[[#This Row],[Order ID]],ST[Order ID],ST[Units Sold])</f>
        <v>4</v>
      </c>
      <c r="L384">
        <f t="shared" si="5"/>
        <v>27000</v>
      </c>
    </row>
    <row r="385" spans="1:12" x14ac:dyDescent="0.35">
      <c r="A385" s="7">
        <v>1386</v>
      </c>
      <c r="B385" s="1">
        <v>45341</v>
      </c>
      <c r="C385" s="2" t="s">
        <v>20</v>
      </c>
      <c r="D385" t="str">
        <f>_xlfn.XLOOKUP(Merged_Sales_Data!C385,PM[Product ID],PM[Product Name])</f>
        <v>Standing Desk</v>
      </c>
      <c r="E385" t="str">
        <f>VLOOKUP(C385,PM[],3,FALSE)</f>
        <v>Office Supplies</v>
      </c>
      <c r="F385">
        <f>_xlfn.XLOOKUP(C385,PM[Product ID],PM[Unit Price (₹)])</f>
        <v>11010</v>
      </c>
      <c r="G385" t="str">
        <f>_xlfn.XLOOKUP(Sales[[#This Row],[Order ID]],ST[Order ID],ST[Employee ID])</f>
        <v>E08</v>
      </c>
      <c r="H385" t="str">
        <f>_xlfn.XLOOKUP(G385,SM[Employee ID],SM[Salesperson])</f>
        <v>Neha Joshi</v>
      </c>
      <c r="I385" t="str">
        <f>_xlfn.XLOOKUP(G385,SM[Employee ID],SM[Region])</f>
        <v>West</v>
      </c>
      <c r="J385" t="str">
        <f>_xlfn.XLOOKUP(G385,SM[Employee ID],SM[State/City])</f>
        <v>Ahmedabad</v>
      </c>
      <c r="K385" s="2">
        <f>_xlfn.XLOOKUP(Sales[[#This Row],[Order ID]],ST[Order ID],ST[Units Sold])</f>
        <v>2</v>
      </c>
      <c r="L385">
        <f t="shared" si="5"/>
        <v>22020</v>
      </c>
    </row>
    <row r="386" spans="1:12" x14ac:dyDescent="0.35">
      <c r="A386" s="7">
        <v>1381</v>
      </c>
      <c r="B386" s="1">
        <v>45342</v>
      </c>
      <c r="C386" s="2" t="s">
        <v>5</v>
      </c>
      <c r="D386" t="str">
        <f>_xlfn.XLOOKUP(Merged_Sales_Data!C386,PM[Product ID],PM[Product Name])</f>
        <v>Ergo Office Chair</v>
      </c>
      <c r="E386" t="str">
        <f>VLOOKUP(C386,PM[],3,FALSE)</f>
        <v>Office Supplies</v>
      </c>
      <c r="F386">
        <f>_xlfn.XLOOKUP(C386,PM[Product ID],PM[Unit Price (₹)])</f>
        <v>6750</v>
      </c>
      <c r="G386" t="str">
        <f>_xlfn.XLOOKUP(Sales[[#This Row],[Order ID]],ST[Order ID],ST[Employee ID])</f>
        <v>E05</v>
      </c>
      <c r="H386" t="str">
        <f>_xlfn.XLOOKUP(G386,SM[Employee ID],SM[Salesperson])</f>
        <v>Karan Malhotra</v>
      </c>
      <c r="I386" t="str">
        <f>_xlfn.XLOOKUP(G386,SM[Employee ID],SM[Region])</f>
        <v>East</v>
      </c>
      <c r="J386" t="str">
        <f>_xlfn.XLOOKUP(G386,SM[Employee ID],SM[State/City])</f>
        <v>Kolkata</v>
      </c>
      <c r="K386" s="2">
        <f>_xlfn.XLOOKUP(Sales[[#This Row],[Order ID]],ST[Order ID],ST[Units Sold])</f>
        <v>1</v>
      </c>
      <c r="L386">
        <f t="shared" si="5"/>
        <v>6750</v>
      </c>
    </row>
    <row r="387" spans="1:12" x14ac:dyDescent="0.35">
      <c r="A387" s="7">
        <v>1377</v>
      </c>
      <c r="B387" s="1">
        <v>45343</v>
      </c>
      <c r="C387" s="2" t="s">
        <v>11</v>
      </c>
      <c r="D387" t="str">
        <f>_xlfn.XLOOKUP(Merged_Sales_Data!C387,PM[Product ID],PM[Product Name])</f>
        <v>Bluetooth Speaker</v>
      </c>
      <c r="E387" t="str">
        <f>VLOOKUP(C387,PM[],3,FALSE)</f>
        <v>Electronics</v>
      </c>
      <c r="F387">
        <f>_xlfn.XLOOKUP(C387,PM[Product ID],PM[Unit Price (₹)])</f>
        <v>1430</v>
      </c>
      <c r="G387" t="str">
        <f>_xlfn.XLOOKUP(Sales[[#This Row],[Order ID]],ST[Order ID],ST[Employee ID])</f>
        <v>E03</v>
      </c>
      <c r="H387" t="str">
        <f>_xlfn.XLOOKUP(G387,SM[Employee ID],SM[Salesperson])</f>
        <v>Rohan Mehta</v>
      </c>
      <c r="I387" t="str">
        <f>_xlfn.XLOOKUP(G387,SM[Employee ID],SM[Region])</f>
        <v>South</v>
      </c>
      <c r="J387" t="str">
        <f>_xlfn.XLOOKUP(G387,SM[Employee ID],SM[State/City])</f>
        <v>Bengaluru</v>
      </c>
      <c r="K387" s="2">
        <f>_xlfn.XLOOKUP(Sales[[#This Row],[Order ID]],ST[Order ID],ST[Units Sold])</f>
        <v>6</v>
      </c>
      <c r="L387">
        <f t="shared" ref="L387:L450" si="6">F387*K387</f>
        <v>8580</v>
      </c>
    </row>
    <row r="388" spans="1:12" x14ac:dyDescent="0.35">
      <c r="A388" s="7">
        <v>1391</v>
      </c>
      <c r="B388" s="1">
        <v>45343</v>
      </c>
      <c r="C388" s="2" t="s">
        <v>14</v>
      </c>
      <c r="D388" t="str">
        <f>_xlfn.XLOOKUP(Merged_Sales_Data!C388,PM[Product ID],PM[Product Name])</f>
        <v>Laptop Backpack</v>
      </c>
      <c r="E388" t="str">
        <f>VLOOKUP(C388,PM[],3,FALSE)</f>
        <v>Accessories</v>
      </c>
      <c r="F388">
        <f>_xlfn.XLOOKUP(C388,PM[Product ID],PM[Unit Price (₹)])</f>
        <v>1110</v>
      </c>
      <c r="G388" t="str">
        <f>_xlfn.XLOOKUP(Sales[[#This Row],[Order ID]],ST[Order ID],ST[Employee ID])</f>
        <v>E01</v>
      </c>
      <c r="H388" t="str">
        <f>_xlfn.XLOOKUP(G388,SM[Employee ID],SM[Salesperson])</f>
        <v>Aarav Sharma</v>
      </c>
      <c r="I388" t="str">
        <f>_xlfn.XLOOKUP(G388,SM[Employee ID],SM[Region])</f>
        <v>North</v>
      </c>
      <c r="J388" t="str">
        <f>_xlfn.XLOOKUP(G388,SM[Employee ID],SM[State/City])</f>
        <v>Lucknow</v>
      </c>
      <c r="K388" s="2">
        <f>_xlfn.XLOOKUP(Sales[[#This Row],[Order ID]],ST[Order ID],ST[Units Sold])</f>
        <v>8</v>
      </c>
      <c r="L388">
        <f t="shared" si="6"/>
        <v>8880</v>
      </c>
    </row>
    <row r="389" spans="1:12" x14ac:dyDescent="0.35">
      <c r="A389" s="7">
        <v>1394</v>
      </c>
      <c r="B389" s="1">
        <v>45343</v>
      </c>
      <c r="C389" s="2" t="s">
        <v>11</v>
      </c>
      <c r="D389" t="str">
        <f>_xlfn.XLOOKUP(Merged_Sales_Data!C389,PM[Product ID],PM[Product Name])</f>
        <v>Bluetooth Speaker</v>
      </c>
      <c r="E389" t="str">
        <f>VLOOKUP(C389,PM[],3,FALSE)</f>
        <v>Electronics</v>
      </c>
      <c r="F389">
        <f>_xlfn.XLOOKUP(C389,PM[Product ID],PM[Unit Price (₹)])</f>
        <v>1430</v>
      </c>
      <c r="G389" t="str">
        <f>_xlfn.XLOOKUP(Sales[[#This Row],[Order ID]],ST[Order ID],ST[Employee ID])</f>
        <v>E06</v>
      </c>
      <c r="H389" t="str">
        <f>_xlfn.XLOOKUP(G389,SM[Employee ID],SM[Salesperson])</f>
        <v>Sneha Roy</v>
      </c>
      <c r="I389" t="str">
        <f>_xlfn.XLOOKUP(G389,SM[Employee ID],SM[Region])</f>
        <v>East</v>
      </c>
      <c r="J389" t="str">
        <f>_xlfn.XLOOKUP(G389,SM[Employee ID],SM[State/City])</f>
        <v>Kolkata</v>
      </c>
      <c r="K389" s="2">
        <f>_xlfn.XLOOKUP(Sales[[#This Row],[Order ID]],ST[Order ID],ST[Units Sold])</f>
        <v>6</v>
      </c>
      <c r="L389">
        <f t="shared" si="6"/>
        <v>8580</v>
      </c>
    </row>
    <row r="390" spans="1:12" x14ac:dyDescent="0.35">
      <c r="A390" s="7">
        <v>1395</v>
      </c>
      <c r="B390" s="1">
        <v>45345</v>
      </c>
      <c r="C390" s="2" t="s">
        <v>21</v>
      </c>
      <c r="D390" t="str">
        <f>_xlfn.XLOOKUP(Merged_Sales_Data!C390,PM[Product ID],PM[Product Name])</f>
        <v>Wireless Mouse</v>
      </c>
      <c r="E390" t="str">
        <f>VLOOKUP(C390,PM[],3,FALSE)</f>
        <v>Electronics</v>
      </c>
      <c r="F390">
        <f>_xlfn.XLOOKUP(C390,PM[Product ID],PM[Unit Price (₹)])</f>
        <v>780</v>
      </c>
      <c r="G390" t="str">
        <f>_xlfn.XLOOKUP(Sales[[#This Row],[Order ID]],ST[Order ID],ST[Employee ID])</f>
        <v>E03</v>
      </c>
      <c r="H390" t="str">
        <f>_xlfn.XLOOKUP(G390,SM[Employee ID],SM[Salesperson])</f>
        <v>Rohan Mehta</v>
      </c>
      <c r="I390" t="str">
        <f>_xlfn.XLOOKUP(G390,SM[Employee ID],SM[Region])</f>
        <v>South</v>
      </c>
      <c r="J390" t="str">
        <f>_xlfn.XLOOKUP(G390,SM[Employee ID],SM[State/City])</f>
        <v>Bengaluru</v>
      </c>
      <c r="K390" s="2">
        <f>_xlfn.XLOOKUP(Sales[[#This Row],[Order ID]],ST[Order ID],ST[Units Sold])</f>
        <v>2</v>
      </c>
      <c r="L390">
        <f t="shared" si="6"/>
        <v>1560</v>
      </c>
    </row>
    <row r="391" spans="1:12" x14ac:dyDescent="0.35">
      <c r="A391" s="7">
        <v>1365</v>
      </c>
      <c r="B391" s="1">
        <v>45346</v>
      </c>
      <c r="C391" s="2" t="s">
        <v>21</v>
      </c>
      <c r="D391" t="str">
        <f>_xlfn.XLOOKUP(Merged_Sales_Data!C391,PM[Product ID],PM[Product Name])</f>
        <v>Wireless Mouse</v>
      </c>
      <c r="E391" t="str">
        <f>VLOOKUP(C391,PM[],3,FALSE)</f>
        <v>Electronics</v>
      </c>
      <c r="F391">
        <f>_xlfn.XLOOKUP(C391,PM[Product ID],PM[Unit Price (₹)])</f>
        <v>780</v>
      </c>
      <c r="G391" t="str">
        <f>_xlfn.XLOOKUP(Sales[[#This Row],[Order ID]],ST[Order ID],ST[Employee ID])</f>
        <v>E02</v>
      </c>
      <c r="H391" t="str">
        <f>_xlfn.XLOOKUP(G391,SM[Employee ID],SM[Salesperson])</f>
        <v>Ishita Verma</v>
      </c>
      <c r="I391" t="str">
        <f>_xlfn.XLOOKUP(G391,SM[Employee ID],SM[Region])</f>
        <v>North</v>
      </c>
      <c r="J391" t="str">
        <f>_xlfn.XLOOKUP(G391,SM[Employee ID],SM[State/City])</f>
        <v>Chandigarh</v>
      </c>
      <c r="K391" s="2">
        <f>_xlfn.XLOOKUP(Sales[[#This Row],[Order ID]],ST[Order ID],ST[Units Sold])</f>
        <v>5</v>
      </c>
      <c r="L391">
        <f t="shared" si="6"/>
        <v>3900</v>
      </c>
    </row>
    <row r="392" spans="1:12" x14ac:dyDescent="0.35">
      <c r="A392" s="7">
        <v>1382</v>
      </c>
      <c r="B392" s="1">
        <v>45347</v>
      </c>
      <c r="C392" s="2" t="s">
        <v>11</v>
      </c>
      <c r="D392" t="str">
        <f>_xlfn.XLOOKUP(Merged_Sales_Data!C392,PM[Product ID],PM[Product Name])</f>
        <v>Bluetooth Speaker</v>
      </c>
      <c r="E392" t="str">
        <f>VLOOKUP(C392,PM[],3,FALSE)</f>
        <v>Electronics</v>
      </c>
      <c r="F392">
        <f>_xlfn.XLOOKUP(C392,PM[Product ID],PM[Unit Price (₹)])</f>
        <v>1430</v>
      </c>
      <c r="G392" t="str">
        <f>_xlfn.XLOOKUP(Sales[[#This Row],[Order ID]],ST[Order ID],ST[Employee ID])</f>
        <v>E03</v>
      </c>
      <c r="H392" t="str">
        <f>_xlfn.XLOOKUP(G392,SM[Employee ID],SM[Salesperson])</f>
        <v>Rohan Mehta</v>
      </c>
      <c r="I392" t="str">
        <f>_xlfn.XLOOKUP(G392,SM[Employee ID],SM[Region])</f>
        <v>South</v>
      </c>
      <c r="J392" t="str">
        <f>_xlfn.XLOOKUP(G392,SM[Employee ID],SM[State/City])</f>
        <v>Bengaluru</v>
      </c>
      <c r="K392" s="2">
        <f>_xlfn.XLOOKUP(Sales[[#This Row],[Order ID]],ST[Order ID],ST[Units Sold])</f>
        <v>1</v>
      </c>
      <c r="L392">
        <f t="shared" si="6"/>
        <v>1430</v>
      </c>
    </row>
    <row r="393" spans="1:12" x14ac:dyDescent="0.35">
      <c r="A393" s="7">
        <v>1383</v>
      </c>
      <c r="B393" s="1">
        <v>45347</v>
      </c>
      <c r="C393" s="2" t="s">
        <v>14</v>
      </c>
      <c r="D393" t="str">
        <f>_xlfn.XLOOKUP(Merged_Sales_Data!C393,PM[Product ID],PM[Product Name])</f>
        <v>Laptop Backpack</v>
      </c>
      <c r="E393" t="str">
        <f>VLOOKUP(C393,PM[],3,FALSE)</f>
        <v>Accessories</v>
      </c>
      <c r="F393">
        <f>_xlfn.XLOOKUP(C393,PM[Product ID],PM[Unit Price (₹)])</f>
        <v>1110</v>
      </c>
      <c r="G393" t="str">
        <f>_xlfn.XLOOKUP(Sales[[#This Row],[Order ID]],ST[Order ID],ST[Employee ID])</f>
        <v>E08</v>
      </c>
      <c r="H393" t="str">
        <f>_xlfn.XLOOKUP(G393,SM[Employee ID],SM[Salesperson])</f>
        <v>Neha Joshi</v>
      </c>
      <c r="I393" t="str">
        <f>_xlfn.XLOOKUP(G393,SM[Employee ID],SM[Region])</f>
        <v>West</v>
      </c>
      <c r="J393" t="str">
        <f>_xlfn.XLOOKUP(G393,SM[Employee ID],SM[State/City])</f>
        <v>Ahmedabad</v>
      </c>
      <c r="K393" s="2">
        <f>_xlfn.XLOOKUP(Sales[[#This Row],[Order ID]],ST[Order ID],ST[Units Sold])</f>
        <v>8</v>
      </c>
      <c r="L393">
        <f t="shared" si="6"/>
        <v>8880</v>
      </c>
    </row>
    <row r="394" spans="1:12" x14ac:dyDescent="0.35">
      <c r="A394" s="7">
        <v>1367</v>
      </c>
      <c r="B394" s="1">
        <v>45349</v>
      </c>
      <c r="C394" s="2" t="s">
        <v>8</v>
      </c>
      <c r="D394" t="str">
        <f>_xlfn.XLOOKUP(Merged_Sales_Data!C394,PM[Product ID],PM[Product Name])</f>
        <v>USB-C Hub</v>
      </c>
      <c r="E394" t="str">
        <f>VLOOKUP(C394,PM[],3,FALSE)</f>
        <v>Accessories</v>
      </c>
      <c r="F394">
        <f>_xlfn.XLOOKUP(C394,PM[Product ID],PM[Unit Price (₹)])</f>
        <v>880</v>
      </c>
      <c r="G394" t="str">
        <f>_xlfn.XLOOKUP(Sales[[#This Row],[Order ID]],ST[Order ID],ST[Employee ID])</f>
        <v>E04</v>
      </c>
      <c r="H394" t="str">
        <f>_xlfn.XLOOKUP(G394,SM[Employee ID],SM[Salesperson])</f>
        <v>Priya Nair</v>
      </c>
      <c r="I394" t="str">
        <f>_xlfn.XLOOKUP(G394,SM[Employee ID],SM[Region])</f>
        <v>South</v>
      </c>
      <c r="J394" t="str">
        <f>_xlfn.XLOOKUP(G394,SM[Employee ID],SM[State/City])</f>
        <v>Bengaluru</v>
      </c>
      <c r="K394" s="2">
        <f>_xlfn.XLOOKUP(Sales[[#This Row],[Order ID]],ST[Order ID],ST[Units Sold])</f>
        <v>6</v>
      </c>
      <c r="L394">
        <f t="shared" si="6"/>
        <v>5280</v>
      </c>
    </row>
    <row r="395" spans="1:12" x14ac:dyDescent="0.35">
      <c r="A395" s="7">
        <v>1379</v>
      </c>
      <c r="B395" s="1">
        <v>45349</v>
      </c>
      <c r="C395" s="2" t="s">
        <v>12</v>
      </c>
      <c r="D395" t="str">
        <f>_xlfn.XLOOKUP(Merged_Sales_Data!C395,PM[Product ID],PM[Product Name])</f>
        <v>Bookshelf Unit</v>
      </c>
      <c r="E395" t="str">
        <f>VLOOKUP(C395,PM[],3,FALSE)</f>
        <v>Furniture</v>
      </c>
      <c r="F395">
        <f>_xlfn.XLOOKUP(C395,PM[Product ID],PM[Unit Price (₹)])</f>
        <v>3910</v>
      </c>
      <c r="G395" t="str">
        <f>_xlfn.XLOOKUP(Sales[[#This Row],[Order ID]],ST[Order ID],ST[Employee ID])</f>
        <v>E06</v>
      </c>
      <c r="H395" t="str">
        <f>_xlfn.XLOOKUP(G395,SM[Employee ID],SM[Salesperson])</f>
        <v>Sneha Roy</v>
      </c>
      <c r="I395" t="str">
        <f>_xlfn.XLOOKUP(G395,SM[Employee ID],SM[Region])</f>
        <v>East</v>
      </c>
      <c r="J395" t="str">
        <f>_xlfn.XLOOKUP(G395,SM[Employee ID],SM[State/City])</f>
        <v>Kolkata</v>
      </c>
      <c r="K395" s="2">
        <f>_xlfn.XLOOKUP(Sales[[#This Row],[Order ID]],ST[Order ID],ST[Units Sold])</f>
        <v>10</v>
      </c>
      <c r="L395">
        <f t="shared" si="6"/>
        <v>39100</v>
      </c>
    </row>
    <row r="396" spans="1:12" x14ac:dyDescent="0.35">
      <c r="A396" s="7">
        <v>1368</v>
      </c>
      <c r="B396" s="1">
        <v>45350</v>
      </c>
      <c r="C396" s="2" t="s">
        <v>11</v>
      </c>
      <c r="D396" t="str">
        <f>_xlfn.XLOOKUP(Merged_Sales_Data!C396,PM[Product ID],PM[Product Name])</f>
        <v>Bluetooth Speaker</v>
      </c>
      <c r="E396" t="str">
        <f>VLOOKUP(C396,PM[],3,FALSE)</f>
        <v>Electronics</v>
      </c>
      <c r="F396">
        <f>_xlfn.XLOOKUP(C396,PM[Product ID],PM[Unit Price (₹)])</f>
        <v>1430</v>
      </c>
      <c r="G396" t="str">
        <f>_xlfn.XLOOKUP(Sales[[#This Row],[Order ID]],ST[Order ID],ST[Employee ID])</f>
        <v>E06</v>
      </c>
      <c r="H396" t="str">
        <f>_xlfn.XLOOKUP(G396,SM[Employee ID],SM[Salesperson])</f>
        <v>Sneha Roy</v>
      </c>
      <c r="I396" t="str">
        <f>_xlfn.XLOOKUP(G396,SM[Employee ID],SM[Region])</f>
        <v>East</v>
      </c>
      <c r="J396" t="str">
        <f>_xlfn.XLOOKUP(G396,SM[Employee ID],SM[State/City])</f>
        <v>Kolkata</v>
      </c>
      <c r="K396" s="2">
        <f>_xlfn.XLOOKUP(Sales[[#This Row],[Order ID]],ST[Order ID],ST[Units Sold])</f>
        <v>4</v>
      </c>
      <c r="L396">
        <f t="shared" si="6"/>
        <v>5720</v>
      </c>
    </row>
    <row r="397" spans="1:12" x14ac:dyDescent="0.35">
      <c r="A397" s="7">
        <v>1410</v>
      </c>
      <c r="B397" s="1">
        <v>45354</v>
      </c>
      <c r="C397" s="2" t="s">
        <v>18</v>
      </c>
      <c r="D397" t="str">
        <f>_xlfn.XLOOKUP(Merged_Sales_Data!C397,PM[Product ID],PM[Product Name])</f>
        <v>LED Monitor 24"</v>
      </c>
      <c r="E397" t="str">
        <f>VLOOKUP(C397,PM[],3,FALSE)</f>
        <v>Electronics</v>
      </c>
      <c r="F397">
        <f>_xlfn.XLOOKUP(C397,PM[Product ID],PM[Unit Price (₹)])</f>
        <v>7700</v>
      </c>
      <c r="G397" t="str">
        <f>_xlfn.XLOOKUP(Sales[[#This Row],[Order ID]],ST[Order ID],ST[Employee ID])</f>
        <v>E04</v>
      </c>
      <c r="H397" t="str">
        <f>_xlfn.XLOOKUP(G397,SM[Employee ID],SM[Salesperson])</f>
        <v>Priya Nair</v>
      </c>
      <c r="I397" t="str">
        <f>_xlfn.XLOOKUP(G397,SM[Employee ID],SM[Region])</f>
        <v>South</v>
      </c>
      <c r="J397" t="str">
        <f>_xlfn.XLOOKUP(G397,SM[Employee ID],SM[State/City])</f>
        <v>Bengaluru</v>
      </c>
      <c r="K397" s="2">
        <f>_xlfn.XLOOKUP(Sales[[#This Row],[Order ID]],ST[Order ID],ST[Units Sold])</f>
        <v>1</v>
      </c>
      <c r="L397">
        <f t="shared" si="6"/>
        <v>7700</v>
      </c>
    </row>
    <row r="398" spans="1:12" x14ac:dyDescent="0.35">
      <c r="A398" s="7">
        <v>1400</v>
      </c>
      <c r="B398" s="1">
        <v>45355</v>
      </c>
      <c r="C398" s="2" t="s">
        <v>11</v>
      </c>
      <c r="D398" t="str">
        <f>_xlfn.XLOOKUP(Merged_Sales_Data!C398,PM[Product ID],PM[Product Name])</f>
        <v>Bluetooth Speaker</v>
      </c>
      <c r="E398" t="str">
        <f>VLOOKUP(C398,PM[],3,FALSE)</f>
        <v>Electronics</v>
      </c>
      <c r="F398">
        <f>_xlfn.XLOOKUP(C398,PM[Product ID],PM[Unit Price (₹)])</f>
        <v>1430</v>
      </c>
      <c r="G398" t="str">
        <f>_xlfn.XLOOKUP(Sales[[#This Row],[Order ID]],ST[Order ID],ST[Employee ID])</f>
        <v>E06</v>
      </c>
      <c r="H398" t="str">
        <f>_xlfn.XLOOKUP(G398,SM[Employee ID],SM[Salesperson])</f>
        <v>Sneha Roy</v>
      </c>
      <c r="I398" t="str">
        <f>_xlfn.XLOOKUP(G398,SM[Employee ID],SM[Region])</f>
        <v>East</v>
      </c>
      <c r="J398" t="str">
        <f>_xlfn.XLOOKUP(G398,SM[Employee ID],SM[State/City])</f>
        <v>Kolkata</v>
      </c>
      <c r="K398" s="2">
        <f>_xlfn.XLOOKUP(Sales[[#This Row],[Order ID]],ST[Order ID],ST[Units Sold])</f>
        <v>3</v>
      </c>
      <c r="L398">
        <f t="shared" si="6"/>
        <v>4290</v>
      </c>
    </row>
    <row r="399" spans="1:12" x14ac:dyDescent="0.35">
      <c r="A399" s="7">
        <v>1412</v>
      </c>
      <c r="B399" s="1">
        <v>45356</v>
      </c>
      <c r="C399" s="2" t="s">
        <v>12</v>
      </c>
      <c r="D399" t="str">
        <f>_xlfn.XLOOKUP(Merged_Sales_Data!C399,PM[Product ID],PM[Product Name])</f>
        <v>Bookshelf Unit</v>
      </c>
      <c r="E399" t="str">
        <f>VLOOKUP(C399,PM[],3,FALSE)</f>
        <v>Furniture</v>
      </c>
      <c r="F399">
        <f>_xlfn.XLOOKUP(C399,PM[Product ID],PM[Unit Price (₹)])</f>
        <v>3910</v>
      </c>
      <c r="G399" t="str">
        <f>_xlfn.XLOOKUP(Sales[[#This Row],[Order ID]],ST[Order ID],ST[Employee ID])</f>
        <v>E01</v>
      </c>
      <c r="H399" t="str">
        <f>_xlfn.XLOOKUP(G399,SM[Employee ID],SM[Salesperson])</f>
        <v>Aarav Sharma</v>
      </c>
      <c r="I399" t="str">
        <f>_xlfn.XLOOKUP(G399,SM[Employee ID],SM[Region])</f>
        <v>North</v>
      </c>
      <c r="J399" t="str">
        <f>_xlfn.XLOOKUP(G399,SM[Employee ID],SM[State/City])</f>
        <v>Lucknow</v>
      </c>
      <c r="K399" s="2">
        <f>_xlfn.XLOOKUP(Sales[[#This Row],[Order ID]],ST[Order ID],ST[Units Sold])</f>
        <v>8</v>
      </c>
      <c r="L399">
        <f t="shared" si="6"/>
        <v>31280</v>
      </c>
    </row>
    <row r="400" spans="1:12" x14ac:dyDescent="0.35">
      <c r="A400" s="7">
        <v>1421</v>
      </c>
      <c r="B400" s="1">
        <v>45356</v>
      </c>
      <c r="C400" s="2" t="s">
        <v>5</v>
      </c>
      <c r="D400" t="str">
        <f>_xlfn.XLOOKUP(Merged_Sales_Data!C400,PM[Product ID],PM[Product Name])</f>
        <v>Ergo Office Chair</v>
      </c>
      <c r="E400" t="str">
        <f>VLOOKUP(C400,PM[],3,FALSE)</f>
        <v>Office Supplies</v>
      </c>
      <c r="F400">
        <f>_xlfn.XLOOKUP(C400,PM[Product ID],PM[Unit Price (₹)])</f>
        <v>6750</v>
      </c>
      <c r="G400" t="str">
        <f>_xlfn.XLOOKUP(Sales[[#This Row],[Order ID]],ST[Order ID],ST[Employee ID])</f>
        <v>E03</v>
      </c>
      <c r="H400" t="str">
        <f>_xlfn.XLOOKUP(G400,SM[Employee ID],SM[Salesperson])</f>
        <v>Rohan Mehta</v>
      </c>
      <c r="I400" t="str">
        <f>_xlfn.XLOOKUP(G400,SM[Employee ID],SM[Region])</f>
        <v>South</v>
      </c>
      <c r="J400" t="str">
        <f>_xlfn.XLOOKUP(G400,SM[Employee ID],SM[State/City])</f>
        <v>Bengaluru</v>
      </c>
      <c r="K400" s="2">
        <f>_xlfn.XLOOKUP(Sales[[#This Row],[Order ID]],ST[Order ID],ST[Units Sold])</f>
        <v>8</v>
      </c>
      <c r="L400">
        <f t="shared" si="6"/>
        <v>54000</v>
      </c>
    </row>
    <row r="401" spans="1:12" x14ac:dyDescent="0.35">
      <c r="A401" s="7">
        <v>1408</v>
      </c>
      <c r="B401" s="1">
        <v>45357</v>
      </c>
      <c r="C401" s="2" t="s">
        <v>12</v>
      </c>
      <c r="D401" t="str">
        <f>_xlfn.XLOOKUP(Merged_Sales_Data!C401,PM[Product ID],PM[Product Name])</f>
        <v>Bookshelf Unit</v>
      </c>
      <c r="E401" t="str">
        <f>VLOOKUP(C401,PM[],3,FALSE)</f>
        <v>Furniture</v>
      </c>
      <c r="F401">
        <f>_xlfn.XLOOKUP(C401,PM[Product ID],PM[Unit Price (₹)])</f>
        <v>3910</v>
      </c>
      <c r="G401" t="str">
        <f>_xlfn.XLOOKUP(Sales[[#This Row],[Order ID]],ST[Order ID],ST[Employee ID])</f>
        <v>E01</v>
      </c>
      <c r="H401" t="str">
        <f>_xlfn.XLOOKUP(G401,SM[Employee ID],SM[Salesperson])</f>
        <v>Aarav Sharma</v>
      </c>
      <c r="I401" t="str">
        <f>_xlfn.XLOOKUP(G401,SM[Employee ID],SM[Region])</f>
        <v>North</v>
      </c>
      <c r="J401" t="str">
        <f>_xlfn.XLOOKUP(G401,SM[Employee ID],SM[State/City])</f>
        <v>Lucknow</v>
      </c>
      <c r="K401" s="2">
        <f>_xlfn.XLOOKUP(Sales[[#This Row],[Order ID]],ST[Order ID],ST[Units Sold])</f>
        <v>2</v>
      </c>
      <c r="L401">
        <f t="shared" si="6"/>
        <v>7820</v>
      </c>
    </row>
    <row r="402" spans="1:12" x14ac:dyDescent="0.35">
      <c r="A402" s="7">
        <v>1413</v>
      </c>
      <c r="B402" s="1">
        <v>45357</v>
      </c>
      <c r="C402" s="2" t="s">
        <v>18</v>
      </c>
      <c r="D402" t="str">
        <f>_xlfn.XLOOKUP(Merged_Sales_Data!C402,PM[Product ID],PM[Product Name])</f>
        <v>LED Monitor 24"</v>
      </c>
      <c r="E402" t="str">
        <f>VLOOKUP(C402,PM[],3,FALSE)</f>
        <v>Electronics</v>
      </c>
      <c r="F402">
        <f>_xlfn.XLOOKUP(C402,PM[Product ID],PM[Unit Price (₹)])</f>
        <v>7700</v>
      </c>
      <c r="G402" t="str">
        <f>_xlfn.XLOOKUP(Sales[[#This Row],[Order ID]],ST[Order ID],ST[Employee ID])</f>
        <v>E07</v>
      </c>
      <c r="H402" t="str">
        <f>_xlfn.XLOOKUP(G402,SM[Employee ID],SM[Salesperson])</f>
        <v>Aditya Kapoor</v>
      </c>
      <c r="I402" t="str">
        <f>_xlfn.XLOOKUP(G402,SM[Employee ID],SM[Region])</f>
        <v>West</v>
      </c>
      <c r="J402" t="str">
        <f>_xlfn.XLOOKUP(G402,SM[Employee ID],SM[State/City])</f>
        <v>Mumbai</v>
      </c>
      <c r="K402" s="2">
        <f>_xlfn.XLOOKUP(Sales[[#This Row],[Order ID]],ST[Order ID],ST[Units Sold])</f>
        <v>1</v>
      </c>
      <c r="L402">
        <f t="shared" si="6"/>
        <v>7700</v>
      </c>
    </row>
    <row r="403" spans="1:12" x14ac:dyDescent="0.35">
      <c r="A403" s="7">
        <v>1409</v>
      </c>
      <c r="B403" s="1">
        <v>45358</v>
      </c>
      <c r="C403" s="2" t="s">
        <v>12</v>
      </c>
      <c r="D403" t="str">
        <f>_xlfn.XLOOKUP(Merged_Sales_Data!C403,PM[Product ID],PM[Product Name])</f>
        <v>Bookshelf Unit</v>
      </c>
      <c r="E403" t="str">
        <f>VLOOKUP(C403,PM[],3,FALSE)</f>
        <v>Furniture</v>
      </c>
      <c r="F403">
        <f>_xlfn.XLOOKUP(C403,PM[Product ID],PM[Unit Price (₹)])</f>
        <v>3910</v>
      </c>
      <c r="G403" t="str">
        <f>_xlfn.XLOOKUP(Sales[[#This Row],[Order ID]],ST[Order ID],ST[Employee ID])</f>
        <v>E04</v>
      </c>
      <c r="H403" t="str">
        <f>_xlfn.XLOOKUP(G403,SM[Employee ID],SM[Salesperson])</f>
        <v>Priya Nair</v>
      </c>
      <c r="I403" t="str">
        <f>_xlfn.XLOOKUP(G403,SM[Employee ID],SM[Region])</f>
        <v>South</v>
      </c>
      <c r="J403" t="str">
        <f>_xlfn.XLOOKUP(G403,SM[Employee ID],SM[State/City])</f>
        <v>Bengaluru</v>
      </c>
      <c r="K403" s="2">
        <f>_xlfn.XLOOKUP(Sales[[#This Row],[Order ID]],ST[Order ID],ST[Units Sold])</f>
        <v>5</v>
      </c>
      <c r="L403">
        <f t="shared" si="6"/>
        <v>19550</v>
      </c>
    </row>
    <row r="404" spans="1:12" x14ac:dyDescent="0.35">
      <c r="A404" s="7">
        <v>1407</v>
      </c>
      <c r="B404" s="1">
        <v>45363</v>
      </c>
      <c r="C404" s="2" t="s">
        <v>10</v>
      </c>
      <c r="D404" t="str">
        <f>_xlfn.XLOOKUP(Merged_Sales_Data!C404,PM[Product ID],PM[Product Name])</f>
        <v>Filing Cabinet</v>
      </c>
      <c r="E404" t="str">
        <f>VLOOKUP(C404,PM[],3,FALSE)</f>
        <v>Furniture</v>
      </c>
      <c r="F404">
        <f>_xlfn.XLOOKUP(C404,PM[Product ID],PM[Unit Price (₹)])</f>
        <v>4070</v>
      </c>
      <c r="G404" t="str">
        <f>_xlfn.XLOOKUP(Sales[[#This Row],[Order ID]],ST[Order ID],ST[Employee ID])</f>
        <v>E02</v>
      </c>
      <c r="H404" t="str">
        <f>_xlfn.XLOOKUP(G404,SM[Employee ID],SM[Salesperson])</f>
        <v>Ishita Verma</v>
      </c>
      <c r="I404" t="str">
        <f>_xlfn.XLOOKUP(G404,SM[Employee ID],SM[Region])</f>
        <v>North</v>
      </c>
      <c r="J404" t="str">
        <f>_xlfn.XLOOKUP(G404,SM[Employee ID],SM[State/City])</f>
        <v>Chandigarh</v>
      </c>
      <c r="K404" s="2">
        <f>_xlfn.XLOOKUP(Sales[[#This Row],[Order ID]],ST[Order ID],ST[Units Sold])</f>
        <v>6</v>
      </c>
      <c r="L404">
        <f t="shared" si="6"/>
        <v>24420</v>
      </c>
    </row>
    <row r="405" spans="1:12" x14ac:dyDescent="0.35">
      <c r="A405" s="7">
        <v>1405</v>
      </c>
      <c r="B405" s="1">
        <v>45364</v>
      </c>
      <c r="C405" s="2" t="s">
        <v>20</v>
      </c>
      <c r="D405" t="str">
        <f>_xlfn.XLOOKUP(Merged_Sales_Data!C405,PM[Product ID],PM[Product Name])</f>
        <v>Standing Desk</v>
      </c>
      <c r="E405" t="str">
        <f>VLOOKUP(C405,PM[],3,FALSE)</f>
        <v>Office Supplies</v>
      </c>
      <c r="F405">
        <f>_xlfn.XLOOKUP(C405,PM[Product ID],PM[Unit Price (₹)])</f>
        <v>11010</v>
      </c>
      <c r="G405" t="str">
        <f>_xlfn.XLOOKUP(Sales[[#This Row],[Order ID]],ST[Order ID],ST[Employee ID])</f>
        <v>E02</v>
      </c>
      <c r="H405" t="str">
        <f>_xlfn.XLOOKUP(G405,SM[Employee ID],SM[Salesperson])</f>
        <v>Ishita Verma</v>
      </c>
      <c r="I405" t="str">
        <f>_xlfn.XLOOKUP(G405,SM[Employee ID],SM[Region])</f>
        <v>North</v>
      </c>
      <c r="J405" t="str">
        <f>_xlfn.XLOOKUP(G405,SM[Employee ID],SM[State/City])</f>
        <v>Chandigarh</v>
      </c>
      <c r="K405" s="2">
        <f>_xlfn.XLOOKUP(Sales[[#This Row],[Order ID]],ST[Order ID],ST[Units Sold])</f>
        <v>6</v>
      </c>
      <c r="L405">
        <f t="shared" si="6"/>
        <v>66060</v>
      </c>
    </row>
    <row r="406" spans="1:12" x14ac:dyDescent="0.35">
      <c r="A406" s="7">
        <v>1428</v>
      </c>
      <c r="B406" s="1">
        <v>45364</v>
      </c>
      <c r="C406" s="2" t="s">
        <v>10</v>
      </c>
      <c r="D406" t="str">
        <f>_xlfn.XLOOKUP(Merged_Sales_Data!C406,PM[Product ID],PM[Product Name])</f>
        <v>Filing Cabinet</v>
      </c>
      <c r="E406" t="str">
        <f>VLOOKUP(C406,PM[],3,FALSE)</f>
        <v>Furniture</v>
      </c>
      <c r="F406">
        <f>_xlfn.XLOOKUP(C406,PM[Product ID],PM[Unit Price (₹)])</f>
        <v>4070</v>
      </c>
      <c r="G406" t="str">
        <f>_xlfn.XLOOKUP(Sales[[#This Row],[Order ID]],ST[Order ID],ST[Employee ID])</f>
        <v>E01</v>
      </c>
      <c r="H406" t="str">
        <f>_xlfn.XLOOKUP(G406,SM[Employee ID],SM[Salesperson])</f>
        <v>Aarav Sharma</v>
      </c>
      <c r="I406" t="str">
        <f>_xlfn.XLOOKUP(G406,SM[Employee ID],SM[Region])</f>
        <v>North</v>
      </c>
      <c r="J406" t="str">
        <f>_xlfn.XLOOKUP(G406,SM[Employee ID],SM[State/City])</f>
        <v>Lucknow</v>
      </c>
      <c r="K406" s="2">
        <f>_xlfn.XLOOKUP(Sales[[#This Row],[Order ID]],ST[Order ID],ST[Units Sold])</f>
        <v>1</v>
      </c>
      <c r="L406">
        <f t="shared" si="6"/>
        <v>4070</v>
      </c>
    </row>
    <row r="407" spans="1:12" x14ac:dyDescent="0.35">
      <c r="A407" s="7">
        <v>1414</v>
      </c>
      <c r="B407" s="1">
        <v>45365</v>
      </c>
      <c r="C407" s="2" t="s">
        <v>14</v>
      </c>
      <c r="D407" t="str">
        <f>_xlfn.XLOOKUP(Merged_Sales_Data!C407,PM[Product ID],PM[Product Name])</f>
        <v>Laptop Backpack</v>
      </c>
      <c r="E407" t="str">
        <f>VLOOKUP(C407,PM[],3,FALSE)</f>
        <v>Accessories</v>
      </c>
      <c r="F407">
        <f>_xlfn.XLOOKUP(C407,PM[Product ID],PM[Unit Price (₹)])</f>
        <v>1110</v>
      </c>
      <c r="G407" t="str">
        <f>_xlfn.XLOOKUP(Sales[[#This Row],[Order ID]],ST[Order ID],ST[Employee ID])</f>
        <v>E03</v>
      </c>
      <c r="H407" t="str">
        <f>_xlfn.XLOOKUP(G407,SM[Employee ID],SM[Salesperson])</f>
        <v>Rohan Mehta</v>
      </c>
      <c r="I407" t="str">
        <f>_xlfn.XLOOKUP(G407,SM[Employee ID],SM[Region])</f>
        <v>South</v>
      </c>
      <c r="J407" t="str">
        <f>_xlfn.XLOOKUP(G407,SM[Employee ID],SM[State/City])</f>
        <v>Bengaluru</v>
      </c>
      <c r="K407" s="2">
        <f>_xlfn.XLOOKUP(Sales[[#This Row],[Order ID]],ST[Order ID],ST[Units Sold])</f>
        <v>1</v>
      </c>
      <c r="L407">
        <f t="shared" si="6"/>
        <v>1110</v>
      </c>
    </row>
    <row r="408" spans="1:12" x14ac:dyDescent="0.35">
      <c r="A408" s="7">
        <v>1420</v>
      </c>
      <c r="B408" s="1">
        <v>45365</v>
      </c>
      <c r="C408" s="2" t="s">
        <v>8</v>
      </c>
      <c r="D408" t="str">
        <f>_xlfn.XLOOKUP(Merged_Sales_Data!C408,PM[Product ID],PM[Product Name])</f>
        <v>USB-C Hub</v>
      </c>
      <c r="E408" t="str">
        <f>VLOOKUP(C408,PM[],3,FALSE)</f>
        <v>Accessories</v>
      </c>
      <c r="F408">
        <f>_xlfn.XLOOKUP(C408,PM[Product ID],PM[Unit Price (₹)])</f>
        <v>880</v>
      </c>
      <c r="G408" t="str">
        <f>_xlfn.XLOOKUP(Sales[[#This Row],[Order ID]],ST[Order ID],ST[Employee ID])</f>
        <v>E07</v>
      </c>
      <c r="H408" t="str">
        <f>_xlfn.XLOOKUP(G408,SM[Employee ID],SM[Salesperson])</f>
        <v>Aditya Kapoor</v>
      </c>
      <c r="I408" t="str">
        <f>_xlfn.XLOOKUP(G408,SM[Employee ID],SM[Region])</f>
        <v>West</v>
      </c>
      <c r="J408" t="str">
        <f>_xlfn.XLOOKUP(G408,SM[Employee ID],SM[State/City])</f>
        <v>Mumbai</v>
      </c>
      <c r="K408" s="2">
        <f>_xlfn.XLOOKUP(Sales[[#This Row],[Order ID]],ST[Order ID],ST[Units Sold])</f>
        <v>6</v>
      </c>
      <c r="L408">
        <f t="shared" si="6"/>
        <v>5280</v>
      </c>
    </row>
    <row r="409" spans="1:12" x14ac:dyDescent="0.35">
      <c r="A409" s="7">
        <v>1422</v>
      </c>
      <c r="B409" s="1">
        <v>45367</v>
      </c>
      <c r="C409" s="2" t="s">
        <v>21</v>
      </c>
      <c r="D409" t="str">
        <f>_xlfn.XLOOKUP(Merged_Sales_Data!C409,PM[Product ID],PM[Product Name])</f>
        <v>Wireless Mouse</v>
      </c>
      <c r="E409" t="str">
        <f>VLOOKUP(C409,PM[],3,FALSE)</f>
        <v>Electronics</v>
      </c>
      <c r="F409">
        <f>_xlfn.XLOOKUP(C409,PM[Product ID],PM[Unit Price (₹)])</f>
        <v>780</v>
      </c>
      <c r="G409" t="str">
        <f>_xlfn.XLOOKUP(Sales[[#This Row],[Order ID]],ST[Order ID],ST[Employee ID])</f>
        <v>E05</v>
      </c>
      <c r="H409" t="str">
        <f>_xlfn.XLOOKUP(G409,SM[Employee ID],SM[Salesperson])</f>
        <v>Karan Malhotra</v>
      </c>
      <c r="I409" t="str">
        <f>_xlfn.XLOOKUP(G409,SM[Employee ID],SM[Region])</f>
        <v>East</v>
      </c>
      <c r="J409" t="str">
        <f>_xlfn.XLOOKUP(G409,SM[Employee ID],SM[State/City])</f>
        <v>Kolkata</v>
      </c>
      <c r="K409" s="2">
        <f>_xlfn.XLOOKUP(Sales[[#This Row],[Order ID]],ST[Order ID],ST[Units Sold])</f>
        <v>10</v>
      </c>
      <c r="L409">
        <f t="shared" si="6"/>
        <v>7800</v>
      </c>
    </row>
    <row r="410" spans="1:12" x14ac:dyDescent="0.35">
      <c r="A410" s="7">
        <v>1416</v>
      </c>
      <c r="B410" s="1">
        <v>45369</v>
      </c>
      <c r="C410" s="2" t="s">
        <v>14</v>
      </c>
      <c r="D410" t="str">
        <f>_xlfn.XLOOKUP(Merged_Sales_Data!C410,PM[Product ID],PM[Product Name])</f>
        <v>Laptop Backpack</v>
      </c>
      <c r="E410" t="str">
        <f>VLOOKUP(C410,PM[],3,FALSE)</f>
        <v>Accessories</v>
      </c>
      <c r="F410">
        <f>_xlfn.XLOOKUP(C410,PM[Product ID],PM[Unit Price (₹)])</f>
        <v>1110</v>
      </c>
      <c r="G410" t="str">
        <f>_xlfn.XLOOKUP(Sales[[#This Row],[Order ID]],ST[Order ID],ST[Employee ID])</f>
        <v>E05</v>
      </c>
      <c r="H410" t="str">
        <f>_xlfn.XLOOKUP(G410,SM[Employee ID],SM[Salesperson])</f>
        <v>Karan Malhotra</v>
      </c>
      <c r="I410" t="str">
        <f>_xlfn.XLOOKUP(G410,SM[Employee ID],SM[Region])</f>
        <v>East</v>
      </c>
      <c r="J410" t="str">
        <f>_xlfn.XLOOKUP(G410,SM[Employee ID],SM[State/City])</f>
        <v>Kolkata</v>
      </c>
      <c r="K410" s="2">
        <f>_xlfn.XLOOKUP(Sales[[#This Row],[Order ID]],ST[Order ID],ST[Units Sold])</f>
        <v>2</v>
      </c>
      <c r="L410">
        <f t="shared" si="6"/>
        <v>2220</v>
      </c>
    </row>
    <row r="411" spans="1:12" x14ac:dyDescent="0.35">
      <c r="A411" s="7">
        <v>1402</v>
      </c>
      <c r="B411" s="1">
        <v>45370</v>
      </c>
      <c r="C411" s="2" t="s">
        <v>12</v>
      </c>
      <c r="D411" t="str">
        <f>_xlfn.XLOOKUP(Merged_Sales_Data!C411,PM[Product ID],PM[Product Name])</f>
        <v>Bookshelf Unit</v>
      </c>
      <c r="E411" t="str">
        <f>VLOOKUP(C411,PM[],3,FALSE)</f>
        <v>Furniture</v>
      </c>
      <c r="F411">
        <f>_xlfn.XLOOKUP(C411,PM[Product ID],PM[Unit Price (₹)])</f>
        <v>3910</v>
      </c>
      <c r="G411" t="str">
        <f>_xlfn.XLOOKUP(Sales[[#This Row],[Order ID]],ST[Order ID],ST[Employee ID])</f>
        <v>E03</v>
      </c>
      <c r="H411" t="str">
        <f>_xlfn.XLOOKUP(G411,SM[Employee ID],SM[Salesperson])</f>
        <v>Rohan Mehta</v>
      </c>
      <c r="I411" t="str">
        <f>_xlfn.XLOOKUP(G411,SM[Employee ID],SM[Region])</f>
        <v>South</v>
      </c>
      <c r="J411" t="str">
        <f>_xlfn.XLOOKUP(G411,SM[Employee ID],SM[State/City])</f>
        <v>Bengaluru</v>
      </c>
      <c r="K411" s="2">
        <f>_xlfn.XLOOKUP(Sales[[#This Row],[Order ID]],ST[Order ID],ST[Units Sold])</f>
        <v>1</v>
      </c>
      <c r="L411">
        <f t="shared" si="6"/>
        <v>3910</v>
      </c>
    </row>
    <row r="412" spans="1:12" x14ac:dyDescent="0.35">
      <c r="A412" s="7">
        <v>1396</v>
      </c>
      <c r="B412" s="1">
        <v>45371</v>
      </c>
      <c r="C412" s="2" t="s">
        <v>8</v>
      </c>
      <c r="D412" t="str">
        <f>_xlfn.XLOOKUP(Merged_Sales_Data!C412,PM[Product ID],PM[Product Name])</f>
        <v>USB-C Hub</v>
      </c>
      <c r="E412" t="str">
        <f>VLOOKUP(C412,PM[],3,FALSE)</f>
        <v>Accessories</v>
      </c>
      <c r="F412">
        <f>_xlfn.XLOOKUP(C412,PM[Product ID],PM[Unit Price (₹)])</f>
        <v>880</v>
      </c>
      <c r="G412" t="str">
        <f>_xlfn.XLOOKUP(Sales[[#This Row],[Order ID]],ST[Order ID],ST[Employee ID])</f>
        <v>E08</v>
      </c>
      <c r="H412" t="str">
        <f>_xlfn.XLOOKUP(G412,SM[Employee ID],SM[Salesperson])</f>
        <v>Neha Joshi</v>
      </c>
      <c r="I412" t="str">
        <f>_xlfn.XLOOKUP(G412,SM[Employee ID],SM[Region])</f>
        <v>West</v>
      </c>
      <c r="J412" t="str">
        <f>_xlfn.XLOOKUP(G412,SM[Employee ID],SM[State/City])</f>
        <v>Ahmedabad</v>
      </c>
      <c r="K412" s="2">
        <f>_xlfn.XLOOKUP(Sales[[#This Row],[Order ID]],ST[Order ID],ST[Units Sold])</f>
        <v>6</v>
      </c>
      <c r="L412">
        <f t="shared" si="6"/>
        <v>5280</v>
      </c>
    </row>
    <row r="413" spans="1:12" x14ac:dyDescent="0.35">
      <c r="A413" s="7">
        <v>1415</v>
      </c>
      <c r="B413" s="1">
        <v>45371</v>
      </c>
      <c r="C413" s="2" t="s">
        <v>5</v>
      </c>
      <c r="D413" t="str">
        <f>_xlfn.XLOOKUP(Merged_Sales_Data!C413,PM[Product ID],PM[Product Name])</f>
        <v>Ergo Office Chair</v>
      </c>
      <c r="E413" t="str">
        <f>VLOOKUP(C413,PM[],3,FALSE)</f>
        <v>Office Supplies</v>
      </c>
      <c r="F413">
        <f>_xlfn.XLOOKUP(C413,PM[Product ID],PM[Unit Price (₹)])</f>
        <v>6750</v>
      </c>
      <c r="G413" t="str">
        <f>_xlfn.XLOOKUP(Sales[[#This Row],[Order ID]],ST[Order ID],ST[Employee ID])</f>
        <v>E06</v>
      </c>
      <c r="H413" t="str">
        <f>_xlfn.XLOOKUP(G413,SM[Employee ID],SM[Salesperson])</f>
        <v>Sneha Roy</v>
      </c>
      <c r="I413" t="str">
        <f>_xlfn.XLOOKUP(G413,SM[Employee ID],SM[Region])</f>
        <v>East</v>
      </c>
      <c r="J413" t="str">
        <f>_xlfn.XLOOKUP(G413,SM[Employee ID],SM[State/City])</f>
        <v>Kolkata</v>
      </c>
      <c r="K413" s="2">
        <f>_xlfn.XLOOKUP(Sales[[#This Row],[Order ID]],ST[Order ID],ST[Units Sold])</f>
        <v>5</v>
      </c>
      <c r="L413">
        <f t="shared" si="6"/>
        <v>33750</v>
      </c>
    </row>
    <row r="414" spans="1:12" x14ac:dyDescent="0.35">
      <c r="A414" s="7">
        <v>1399</v>
      </c>
      <c r="B414" s="1">
        <v>45372</v>
      </c>
      <c r="C414" s="2" t="s">
        <v>21</v>
      </c>
      <c r="D414" t="str">
        <f>_xlfn.XLOOKUP(Merged_Sales_Data!C414,PM[Product ID],PM[Product Name])</f>
        <v>Wireless Mouse</v>
      </c>
      <c r="E414" t="str">
        <f>VLOOKUP(C414,PM[],3,FALSE)</f>
        <v>Electronics</v>
      </c>
      <c r="F414">
        <f>_xlfn.XLOOKUP(C414,PM[Product ID],PM[Unit Price (₹)])</f>
        <v>780</v>
      </c>
      <c r="G414" t="str">
        <f>_xlfn.XLOOKUP(Sales[[#This Row],[Order ID]],ST[Order ID],ST[Employee ID])</f>
        <v>E06</v>
      </c>
      <c r="H414" t="str">
        <f>_xlfn.XLOOKUP(G414,SM[Employee ID],SM[Salesperson])</f>
        <v>Sneha Roy</v>
      </c>
      <c r="I414" t="str">
        <f>_xlfn.XLOOKUP(G414,SM[Employee ID],SM[Region])</f>
        <v>East</v>
      </c>
      <c r="J414" t="str">
        <f>_xlfn.XLOOKUP(G414,SM[Employee ID],SM[State/City])</f>
        <v>Kolkata</v>
      </c>
      <c r="K414" s="2">
        <f>_xlfn.XLOOKUP(Sales[[#This Row],[Order ID]],ST[Order ID],ST[Units Sold])</f>
        <v>10</v>
      </c>
      <c r="L414">
        <f t="shared" si="6"/>
        <v>7800</v>
      </c>
    </row>
    <row r="415" spans="1:12" x14ac:dyDescent="0.35">
      <c r="A415" s="7">
        <v>1404</v>
      </c>
      <c r="B415" s="1">
        <v>45374</v>
      </c>
      <c r="C415" s="2" t="s">
        <v>18</v>
      </c>
      <c r="D415" t="str">
        <f>_xlfn.XLOOKUP(Merged_Sales_Data!C415,PM[Product ID],PM[Product Name])</f>
        <v>LED Monitor 24"</v>
      </c>
      <c r="E415" t="str">
        <f>VLOOKUP(C415,PM[],3,FALSE)</f>
        <v>Electronics</v>
      </c>
      <c r="F415">
        <f>_xlfn.XLOOKUP(C415,PM[Product ID],PM[Unit Price (₹)])</f>
        <v>7700</v>
      </c>
      <c r="G415" t="str">
        <f>_xlfn.XLOOKUP(Sales[[#This Row],[Order ID]],ST[Order ID],ST[Employee ID])</f>
        <v>E07</v>
      </c>
      <c r="H415" t="str">
        <f>_xlfn.XLOOKUP(G415,SM[Employee ID],SM[Salesperson])</f>
        <v>Aditya Kapoor</v>
      </c>
      <c r="I415" t="str">
        <f>_xlfn.XLOOKUP(G415,SM[Employee ID],SM[Region])</f>
        <v>West</v>
      </c>
      <c r="J415" t="str">
        <f>_xlfn.XLOOKUP(G415,SM[Employee ID],SM[State/City])</f>
        <v>Mumbai</v>
      </c>
      <c r="K415" s="2">
        <f>_xlfn.XLOOKUP(Sales[[#This Row],[Order ID]],ST[Order ID],ST[Units Sold])</f>
        <v>8</v>
      </c>
      <c r="L415">
        <f t="shared" si="6"/>
        <v>61600</v>
      </c>
    </row>
    <row r="416" spans="1:12" x14ac:dyDescent="0.35">
      <c r="A416" s="7">
        <v>1406</v>
      </c>
      <c r="B416" s="1">
        <v>45374</v>
      </c>
      <c r="C416" s="2" t="s">
        <v>18</v>
      </c>
      <c r="D416" t="str">
        <f>_xlfn.XLOOKUP(Merged_Sales_Data!C416,PM[Product ID],PM[Product Name])</f>
        <v>LED Monitor 24"</v>
      </c>
      <c r="E416" t="str">
        <f>VLOOKUP(C416,PM[],3,FALSE)</f>
        <v>Electronics</v>
      </c>
      <c r="F416">
        <f>_xlfn.XLOOKUP(C416,PM[Product ID],PM[Unit Price (₹)])</f>
        <v>7700</v>
      </c>
      <c r="G416" t="str">
        <f>_xlfn.XLOOKUP(Sales[[#This Row],[Order ID]],ST[Order ID],ST[Employee ID])</f>
        <v>E06</v>
      </c>
      <c r="H416" t="str">
        <f>_xlfn.XLOOKUP(G416,SM[Employee ID],SM[Salesperson])</f>
        <v>Sneha Roy</v>
      </c>
      <c r="I416" t="str">
        <f>_xlfn.XLOOKUP(G416,SM[Employee ID],SM[Region])</f>
        <v>East</v>
      </c>
      <c r="J416" t="str">
        <f>_xlfn.XLOOKUP(G416,SM[Employee ID],SM[State/City])</f>
        <v>Kolkata</v>
      </c>
      <c r="K416" s="2">
        <f>_xlfn.XLOOKUP(Sales[[#This Row],[Order ID]],ST[Order ID],ST[Units Sold])</f>
        <v>10</v>
      </c>
      <c r="L416">
        <f t="shared" si="6"/>
        <v>77000</v>
      </c>
    </row>
    <row r="417" spans="1:12" x14ac:dyDescent="0.35">
      <c r="A417" s="7">
        <v>1423</v>
      </c>
      <c r="B417" s="1">
        <v>45374</v>
      </c>
      <c r="C417" s="2" t="s">
        <v>8</v>
      </c>
      <c r="D417" t="str">
        <f>_xlfn.XLOOKUP(Merged_Sales_Data!C417,PM[Product ID],PM[Product Name])</f>
        <v>USB-C Hub</v>
      </c>
      <c r="E417" t="str">
        <f>VLOOKUP(C417,PM[],3,FALSE)</f>
        <v>Accessories</v>
      </c>
      <c r="F417">
        <f>_xlfn.XLOOKUP(C417,PM[Product ID],PM[Unit Price (₹)])</f>
        <v>880</v>
      </c>
      <c r="G417" t="str">
        <f>_xlfn.XLOOKUP(Sales[[#This Row],[Order ID]],ST[Order ID],ST[Employee ID])</f>
        <v>E06</v>
      </c>
      <c r="H417" t="str">
        <f>_xlfn.XLOOKUP(G417,SM[Employee ID],SM[Salesperson])</f>
        <v>Sneha Roy</v>
      </c>
      <c r="I417" t="str">
        <f>_xlfn.XLOOKUP(G417,SM[Employee ID],SM[Region])</f>
        <v>East</v>
      </c>
      <c r="J417" t="str">
        <f>_xlfn.XLOOKUP(G417,SM[Employee ID],SM[State/City])</f>
        <v>Kolkata</v>
      </c>
      <c r="K417" s="2">
        <f>_xlfn.XLOOKUP(Sales[[#This Row],[Order ID]],ST[Order ID],ST[Units Sold])</f>
        <v>1</v>
      </c>
      <c r="L417">
        <f t="shared" si="6"/>
        <v>880</v>
      </c>
    </row>
    <row r="418" spans="1:12" x14ac:dyDescent="0.35">
      <c r="A418" s="7">
        <v>1401</v>
      </c>
      <c r="B418" s="1">
        <v>45375</v>
      </c>
      <c r="C418" s="2" t="s">
        <v>20</v>
      </c>
      <c r="D418" t="str">
        <f>_xlfn.XLOOKUP(Merged_Sales_Data!C418,PM[Product ID],PM[Product Name])</f>
        <v>Standing Desk</v>
      </c>
      <c r="E418" t="str">
        <f>VLOOKUP(C418,PM[],3,FALSE)</f>
        <v>Office Supplies</v>
      </c>
      <c r="F418">
        <f>_xlfn.XLOOKUP(C418,PM[Product ID],PM[Unit Price (₹)])</f>
        <v>11010</v>
      </c>
      <c r="G418" t="str">
        <f>_xlfn.XLOOKUP(Sales[[#This Row],[Order ID]],ST[Order ID],ST[Employee ID])</f>
        <v>E07</v>
      </c>
      <c r="H418" t="str">
        <f>_xlfn.XLOOKUP(G418,SM[Employee ID],SM[Salesperson])</f>
        <v>Aditya Kapoor</v>
      </c>
      <c r="I418" t="str">
        <f>_xlfn.XLOOKUP(G418,SM[Employee ID],SM[Region])</f>
        <v>West</v>
      </c>
      <c r="J418" t="str">
        <f>_xlfn.XLOOKUP(G418,SM[Employee ID],SM[State/City])</f>
        <v>Mumbai</v>
      </c>
      <c r="K418" s="2">
        <f>_xlfn.XLOOKUP(Sales[[#This Row],[Order ID]],ST[Order ID],ST[Units Sold])</f>
        <v>2</v>
      </c>
      <c r="L418">
        <f t="shared" si="6"/>
        <v>22020</v>
      </c>
    </row>
    <row r="419" spans="1:12" x14ac:dyDescent="0.35">
      <c r="A419" s="7">
        <v>1398</v>
      </c>
      <c r="B419" s="1">
        <v>45376</v>
      </c>
      <c r="C419" s="2" t="s">
        <v>10</v>
      </c>
      <c r="D419" t="str">
        <f>_xlfn.XLOOKUP(Merged_Sales_Data!C419,PM[Product ID],PM[Product Name])</f>
        <v>Filing Cabinet</v>
      </c>
      <c r="E419" t="str">
        <f>VLOOKUP(C419,PM[],3,FALSE)</f>
        <v>Furniture</v>
      </c>
      <c r="F419">
        <f>_xlfn.XLOOKUP(C419,PM[Product ID],PM[Unit Price (₹)])</f>
        <v>4070</v>
      </c>
      <c r="G419" t="str">
        <f>_xlfn.XLOOKUP(Sales[[#This Row],[Order ID]],ST[Order ID],ST[Employee ID])</f>
        <v>E05</v>
      </c>
      <c r="H419" t="str">
        <f>_xlfn.XLOOKUP(G419,SM[Employee ID],SM[Salesperson])</f>
        <v>Karan Malhotra</v>
      </c>
      <c r="I419" t="str">
        <f>_xlfn.XLOOKUP(G419,SM[Employee ID],SM[Region])</f>
        <v>East</v>
      </c>
      <c r="J419" t="str">
        <f>_xlfn.XLOOKUP(G419,SM[Employee ID],SM[State/City])</f>
        <v>Kolkata</v>
      </c>
      <c r="K419" s="2">
        <f>_xlfn.XLOOKUP(Sales[[#This Row],[Order ID]],ST[Order ID],ST[Units Sold])</f>
        <v>4</v>
      </c>
      <c r="L419">
        <f t="shared" si="6"/>
        <v>16280</v>
      </c>
    </row>
    <row r="420" spans="1:12" x14ac:dyDescent="0.35">
      <c r="A420" s="7">
        <v>1411</v>
      </c>
      <c r="B420" s="1">
        <v>45376</v>
      </c>
      <c r="C420" s="2" t="s">
        <v>11</v>
      </c>
      <c r="D420" t="str">
        <f>_xlfn.XLOOKUP(Merged_Sales_Data!C420,PM[Product ID],PM[Product Name])</f>
        <v>Bluetooth Speaker</v>
      </c>
      <c r="E420" t="str">
        <f>VLOOKUP(C420,PM[],3,FALSE)</f>
        <v>Electronics</v>
      </c>
      <c r="F420">
        <f>_xlfn.XLOOKUP(C420,PM[Product ID],PM[Unit Price (₹)])</f>
        <v>1430</v>
      </c>
      <c r="G420" t="str">
        <f>_xlfn.XLOOKUP(Sales[[#This Row],[Order ID]],ST[Order ID],ST[Employee ID])</f>
        <v>E05</v>
      </c>
      <c r="H420" t="str">
        <f>_xlfn.XLOOKUP(G420,SM[Employee ID],SM[Salesperson])</f>
        <v>Karan Malhotra</v>
      </c>
      <c r="I420" t="str">
        <f>_xlfn.XLOOKUP(G420,SM[Employee ID],SM[Region])</f>
        <v>East</v>
      </c>
      <c r="J420" t="str">
        <f>_xlfn.XLOOKUP(G420,SM[Employee ID],SM[State/City])</f>
        <v>Kolkata</v>
      </c>
      <c r="K420" s="2">
        <f>_xlfn.XLOOKUP(Sales[[#This Row],[Order ID]],ST[Order ID],ST[Units Sold])</f>
        <v>6</v>
      </c>
      <c r="L420">
        <f t="shared" si="6"/>
        <v>8580</v>
      </c>
    </row>
    <row r="421" spans="1:12" x14ac:dyDescent="0.35">
      <c r="A421" s="7">
        <v>1419</v>
      </c>
      <c r="B421" s="1">
        <v>45376</v>
      </c>
      <c r="C421" s="2" t="s">
        <v>14</v>
      </c>
      <c r="D421" t="str">
        <f>_xlfn.XLOOKUP(Merged_Sales_Data!C421,PM[Product ID],PM[Product Name])</f>
        <v>Laptop Backpack</v>
      </c>
      <c r="E421" t="str">
        <f>VLOOKUP(C421,PM[],3,FALSE)</f>
        <v>Accessories</v>
      </c>
      <c r="F421">
        <f>_xlfn.XLOOKUP(C421,PM[Product ID],PM[Unit Price (₹)])</f>
        <v>1110</v>
      </c>
      <c r="G421" t="str">
        <f>_xlfn.XLOOKUP(Sales[[#This Row],[Order ID]],ST[Order ID],ST[Employee ID])</f>
        <v>E08</v>
      </c>
      <c r="H421" t="str">
        <f>_xlfn.XLOOKUP(G421,SM[Employee ID],SM[Salesperson])</f>
        <v>Neha Joshi</v>
      </c>
      <c r="I421" t="str">
        <f>_xlfn.XLOOKUP(G421,SM[Employee ID],SM[Region])</f>
        <v>West</v>
      </c>
      <c r="J421" t="str">
        <f>_xlfn.XLOOKUP(G421,SM[Employee ID],SM[State/City])</f>
        <v>Ahmedabad</v>
      </c>
      <c r="K421" s="2">
        <f>_xlfn.XLOOKUP(Sales[[#This Row],[Order ID]],ST[Order ID],ST[Units Sold])</f>
        <v>2</v>
      </c>
      <c r="L421">
        <f t="shared" si="6"/>
        <v>2220</v>
      </c>
    </row>
    <row r="422" spans="1:12" x14ac:dyDescent="0.35">
      <c r="A422" s="7">
        <v>1424</v>
      </c>
      <c r="B422" s="1">
        <v>45376</v>
      </c>
      <c r="C422" s="2" t="s">
        <v>20</v>
      </c>
      <c r="D422" t="str">
        <f>_xlfn.XLOOKUP(Merged_Sales_Data!C422,PM[Product ID],PM[Product Name])</f>
        <v>Standing Desk</v>
      </c>
      <c r="E422" t="str">
        <f>VLOOKUP(C422,PM[],3,FALSE)</f>
        <v>Office Supplies</v>
      </c>
      <c r="F422">
        <f>_xlfn.XLOOKUP(C422,PM[Product ID],PM[Unit Price (₹)])</f>
        <v>11010</v>
      </c>
      <c r="G422" t="str">
        <f>_xlfn.XLOOKUP(Sales[[#This Row],[Order ID]],ST[Order ID],ST[Employee ID])</f>
        <v>E02</v>
      </c>
      <c r="H422" t="str">
        <f>_xlfn.XLOOKUP(G422,SM[Employee ID],SM[Salesperson])</f>
        <v>Ishita Verma</v>
      </c>
      <c r="I422" t="str">
        <f>_xlfn.XLOOKUP(G422,SM[Employee ID],SM[Region])</f>
        <v>North</v>
      </c>
      <c r="J422" t="str">
        <f>_xlfn.XLOOKUP(G422,SM[Employee ID],SM[State/City])</f>
        <v>Chandigarh</v>
      </c>
      <c r="K422" s="2">
        <f>_xlfn.XLOOKUP(Sales[[#This Row],[Order ID]],ST[Order ID],ST[Units Sold])</f>
        <v>1</v>
      </c>
      <c r="L422">
        <f t="shared" si="6"/>
        <v>11010</v>
      </c>
    </row>
    <row r="423" spans="1:12" x14ac:dyDescent="0.35">
      <c r="A423" s="7">
        <v>1417</v>
      </c>
      <c r="B423" s="1">
        <v>45380</v>
      </c>
      <c r="C423" s="2" t="s">
        <v>20</v>
      </c>
      <c r="D423" t="str">
        <f>_xlfn.XLOOKUP(Merged_Sales_Data!C423,PM[Product ID],PM[Product Name])</f>
        <v>Standing Desk</v>
      </c>
      <c r="E423" t="str">
        <f>VLOOKUP(C423,PM[],3,FALSE)</f>
        <v>Office Supplies</v>
      </c>
      <c r="F423">
        <f>_xlfn.XLOOKUP(C423,PM[Product ID],PM[Unit Price (₹)])</f>
        <v>11010</v>
      </c>
      <c r="G423" t="str">
        <f>_xlfn.XLOOKUP(Sales[[#This Row],[Order ID]],ST[Order ID],ST[Employee ID])</f>
        <v>E04</v>
      </c>
      <c r="H423" t="str">
        <f>_xlfn.XLOOKUP(G423,SM[Employee ID],SM[Salesperson])</f>
        <v>Priya Nair</v>
      </c>
      <c r="I423" t="str">
        <f>_xlfn.XLOOKUP(G423,SM[Employee ID],SM[Region])</f>
        <v>South</v>
      </c>
      <c r="J423" t="str">
        <f>_xlfn.XLOOKUP(G423,SM[Employee ID],SM[State/City])</f>
        <v>Bengaluru</v>
      </c>
      <c r="K423" s="2">
        <f>_xlfn.XLOOKUP(Sales[[#This Row],[Order ID]],ST[Order ID],ST[Units Sold])</f>
        <v>5</v>
      </c>
      <c r="L423">
        <f t="shared" si="6"/>
        <v>55050</v>
      </c>
    </row>
    <row r="424" spans="1:12" x14ac:dyDescent="0.35">
      <c r="A424" s="7">
        <v>1425</v>
      </c>
      <c r="B424" s="1">
        <v>45380</v>
      </c>
      <c r="C424" s="2" t="s">
        <v>20</v>
      </c>
      <c r="D424" t="str">
        <f>_xlfn.XLOOKUP(Merged_Sales_Data!C424,PM[Product ID],PM[Product Name])</f>
        <v>Standing Desk</v>
      </c>
      <c r="E424" t="str">
        <f>VLOOKUP(C424,PM[],3,FALSE)</f>
        <v>Office Supplies</v>
      </c>
      <c r="F424">
        <f>_xlfn.XLOOKUP(C424,PM[Product ID],PM[Unit Price (₹)])</f>
        <v>11010</v>
      </c>
      <c r="G424" t="str">
        <f>_xlfn.XLOOKUP(Sales[[#This Row],[Order ID]],ST[Order ID],ST[Employee ID])</f>
        <v>E03</v>
      </c>
      <c r="H424" t="str">
        <f>_xlfn.XLOOKUP(G424,SM[Employee ID],SM[Salesperson])</f>
        <v>Rohan Mehta</v>
      </c>
      <c r="I424" t="str">
        <f>_xlfn.XLOOKUP(G424,SM[Employee ID],SM[Region])</f>
        <v>South</v>
      </c>
      <c r="J424" t="str">
        <f>_xlfn.XLOOKUP(G424,SM[Employee ID],SM[State/City])</f>
        <v>Bengaluru</v>
      </c>
      <c r="K424" s="2">
        <f>_xlfn.XLOOKUP(Sales[[#This Row],[Order ID]],ST[Order ID],ST[Units Sold])</f>
        <v>5</v>
      </c>
      <c r="L424">
        <f t="shared" si="6"/>
        <v>55050</v>
      </c>
    </row>
    <row r="425" spans="1:12" x14ac:dyDescent="0.35">
      <c r="A425" s="7">
        <v>1397</v>
      </c>
      <c r="B425" s="1">
        <v>45381</v>
      </c>
      <c r="C425" s="2" t="s">
        <v>12</v>
      </c>
      <c r="D425" t="str">
        <f>_xlfn.XLOOKUP(Merged_Sales_Data!C425,PM[Product ID],PM[Product Name])</f>
        <v>Bookshelf Unit</v>
      </c>
      <c r="E425" t="str">
        <f>VLOOKUP(C425,PM[],3,FALSE)</f>
        <v>Furniture</v>
      </c>
      <c r="F425">
        <f>_xlfn.XLOOKUP(C425,PM[Product ID],PM[Unit Price (₹)])</f>
        <v>3910</v>
      </c>
      <c r="G425" t="str">
        <f>_xlfn.XLOOKUP(Sales[[#This Row],[Order ID]],ST[Order ID],ST[Employee ID])</f>
        <v>E03</v>
      </c>
      <c r="H425" t="str">
        <f>_xlfn.XLOOKUP(G425,SM[Employee ID],SM[Salesperson])</f>
        <v>Rohan Mehta</v>
      </c>
      <c r="I425" t="str">
        <f>_xlfn.XLOOKUP(G425,SM[Employee ID],SM[Region])</f>
        <v>South</v>
      </c>
      <c r="J425" t="str">
        <f>_xlfn.XLOOKUP(G425,SM[Employee ID],SM[State/City])</f>
        <v>Bengaluru</v>
      </c>
      <c r="K425" s="2">
        <f>_xlfn.XLOOKUP(Sales[[#This Row],[Order ID]],ST[Order ID],ST[Units Sold])</f>
        <v>3</v>
      </c>
      <c r="L425">
        <f t="shared" si="6"/>
        <v>11730</v>
      </c>
    </row>
    <row r="426" spans="1:12" x14ac:dyDescent="0.35">
      <c r="A426" s="7">
        <v>1427</v>
      </c>
      <c r="B426" s="1">
        <v>45381</v>
      </c>
      <c r="C426" s="2" t="s">
        <v>14</v>
      </c>
      <c r="D426" t="str">
        <f>_xlfn.XLOOKUP(Merged_Sales_Data!C426,PM[Product ID],PM[Product Name])</f>
        <v>Laptop Backpack</v>
      </c>
      <c r="E426" t="str">
        <f>VLOOKUP(C426,PM[],3,FALSE)</f>
        <v>Accessories</v>
      </c>
      <c r="F426">
        <f>_xlfn.XLOOKUP(C426,PM[Product ID],PM[Unit Price (₹)])</f>
        <v>1110</v>
      </c>
      <c r="G426" t="str">
        <f>_xlfn.XLOOKUP(Sales[[#This Row],[Order ID]],ST[Order ID],ST[Employee ID])</f>
        <v>E04</v>
      </c>
      <c r="H426" t="str">
        <f>_xlfn.XLOOKUP(G426,SM[Employee ID],SM[Salesperson])</f>
        <v>Priya Nair</v>
      </c>
      <c r="I426" t="str">
        <f>_xlfn.XLOOKUP(G426,SM[Employee ID],SM[Region])</f>
        <v>South</v>
      </c>
      <c r="J426" t="str">
        <f>_xlfn.XLOOKUP(G426,SM[Employee ID],SM[State/City])</f>
        <v>Bengaluru</v>
      </c>
      <c r="K426" s="2">
        <f>_xlfn.XLOOKUP(Sales[[#This Row],[Order ID]],ST[Order ID],ST[Units Sold])</f>
        <v>3</v>
      </c>
      <c r="L426">
        <f t="shared" si="6"/>
        <v>3330</v>
      </c>
    </row>
    <row r="427" spans="1:12" x14ac:dyDescent="0.35">
      <c r="A427" s="7">
        <v>1403</v>
      </c>
      <c r="B427" s="1">
        <v>45382</v>
      </c>
      <c r="C427" s="2" t="s">
        <v>12</v>
      </c>
      <c r="D427" t="str">
        <f>_xlfn.XLOOKUP(Merged_Sales_Data!C427,PM[Product ID],PM[Product Name])</f>
        <v>Bookshelf Unit</v>
      </c>
      <c r="E427" t="str">
        <f>VLOOKUP(C427,PM[],3,FALSE)</f>
        <v>Furniture</v>
      </c>
      <c r="F427">
        <f>_xlfn.XLOOKUP(C427,PM[Product ID],PM[Unit Price (₹)])</f>
        <v>3910</v>
      </c>
      <c r="G427" t="str">
        <f>_xlfn.XLOOKUP(Sales[[#This Row],[Order ID]],ST[Order ID],ST[Employee ID])</f>
        <v>E03</v>
      </c>
      <c r="H427" t="str">
        <f>_xlfn.XLOOKUP(G427,SM[Employee ID],SM[Salesperson])</f>
        <v>Rohan Mehta</v>
      </c>
      <c r="I427" t="str">
        <f>_xlfn.XLOOKUP(G427,SM[Employee ID],SM[Region])</f>
        <v>South</v>
      </c>
      <c r="J427" t="str">
        <f>_xlfn.XLOOKUP(G427,SM[Employee ID],SM[State/City])</f>
        <v>Bengaluru</v>
      </c>
      <c r="K427" s="2">
        <f>_xlfn.XLOOKUP(Sales[[#This Row],[Order ID]],ST[Order ID],ST[Units Sold])</f>
        <v>2</v>
      </c>
      <c r="L427">
        <f t="shared" si="6"/>
        <v>7820</v>
      </c>
    </row>
    <row r="428" spans="1:12" x14ac:dyDescent="0.35">
      <c r="A428" s="7">
        <v>1418</v>
      </c>
      <c r="B428" s="1">
        <v>45382</v>
      </c>
      <c r="C428" s="2" t="s">
        <v>12</v>
      </c>
      <c r="D428" t="str">
        <f>_xlfn.XLOOKUP(Merged_Sales_Data!C428,PM[Product ID],PM[Product Name])</f>
        <v>Bookshelf Unit</v>
      </c>
      <c r="E428" t="str">
        <f>VLOOKUP(C428,PM[],3,FALSE)</f>
        <v>Furniture</v>
      </c>
      <c r="F428">
        <f>_xlfn.XLOOKUP(C428,PM[Product ID],PM[Unit Price (₹)])</f>
        <v>3910</v>
      </c>
      <c r="G428" t="str">
        <f>_xlfn.XLOOKUP(Sales[[#This Row],[Order ID]],ST[Order ID],ST[Employee ID])</f>
        <v>E04</v>
      </c>
      <c r="H428" t="str">
        <f>_xlfn.XLOOKUP(G428,SM[Employee ID],SM[Salesperson])</f>
        <v>Priya Nair</v>
      </c>
      <c r="I428" t="str">
        <f>_xlfn.XLOOKUP(G428,SM[Employee ID],SM[Region])</f>
        <v>South</v>
      </c>
      <c r="J428" t="str">
        <f>_xlfn.XLOOKUP(G428,SM[Employee ID],SM[State/City])</f>
        <v>Bengaluru</v>
      </c>
      <c r="K428" s="2">
        <f>_xlfn.XLOOKUP(Sales[[#This Row],[Order ID]],ST[Order ID],ST[Units Sold])</f>
        <v>10</v>
      </c>
      <c r="L428">
        <f t="shared" si="6"/>
        <v>39100</v>
      </c>
    </row>
    <row r="429" spans="1:12" x14ac:dyDescent="0.35">
      <c r="A429" s="7">
        <v>1426</v>
      </c>
      <c r="B429" s="1">
        <v>45382</v>
      </c>
      <c r="C429" s="2" t="s">
        <v>10</v>
      </c>
      <c r="D429" t="str">
        <f>_xlfn.XLOOKUP(Merged_Sales_Data!C429,PM[Product ID],PM[Product Name])</f>
        <v>Filing Cabinet</v>
      </c>
      <c r="E429" t="str">
        <f>VLOOKUP(C429,PM[],3,FALSE)</f>
        <v>Furniture</v>
      </c>
      <c r="F429">
        <f>_xlfn.XLOOKUP(C429,PM[Product ID],PM[Unit Price (₹)])</f>
        <v>4070</v>
      </c>
      <c r="G429" t="str">
        <f>_xlfn.XLOOKUP(Sales[[#This Row],[Order ID]],ST[Order ID],ST[Employee ID])</f>
        <v>E03</v>
      </c>
      <c r="H429" t="str">
        <f>_xlfn.XLOOKUP(G429,SM[Employee ID],SM[Salesperson])</f>
        <v>Rohan Mehta</v>
      </c>
      <c r="I429" t="str">
        <f>_xlfn.XLOOKUP(G429,SM[Employee ID],SM[Region])</f>
        <v>South</v>
      </c>
      <c r="J429" t="str">
        <f>_xlfn.XLOOKUP(G429,SM[Employee ID],SM[State/City])</f>
        <v>Bengaluru</v>
      </c>
      <c r="K429" s="2">
        <f>_xlfn.XLOOKUP(Sales[[#This Row],[Order ID]],ST[Order ID],ST[Units Sold])</f>
        <v>1</v>
      </c>
      <c r="L429">
        <f t="shared" si="6"/>
        <v>4070</v>
      </c>
    </row>
    <row r="430" spans="1:12" x14ac:dyDescent="0.35">
      <c r="A430" s="7">
        <v>1444</v>
      </c>
      <c r="B430" s="1">
        <v>45384</v>
      </c>
      <c r="C430" s="2" t="s">
        <v>10</v>
      </c>
      <c r="D430" t="str">
        <f>_xlfn.XLOOKUP(Merged_Sales_Data!C430,PM[Product ID],PM[Product Name])</f>
        <v>Filing Cabinet</v>
      </c>
      <c r="E430" t="str">
        <f>VLOOKUP(C430,PM[],3,FALSE)</f>
        <v>Furniture</v>
      </c>
      <c r="F430">
        <f>_xlfn.XLOOKUP(C430,PM[Product ID],PM[Unit Price (₹)])</f>
        <v>4070</v>
      </c>
      <c r="G430" t="str">
        <f>_xlfn.XLOOKUP(Sales[[#This Row],[Order ID]],ST[Order ID],ST[Employee ID])</f>
        <v>E01</v>
      </c>
      <c r="H430" t="str">
        <f>_xlfn.XLOOKUP(G430,SM[Employee ID],SM[Salesperson])</f>
        <v>Aarav Sharma</v>
      </c>
      <c r="I430" t="str">
        <f>_xlfn.XLOOKUP(G430,SM[Employee ID],SM[Region])</f>
        <v>North</v>
      </c>
      <c r="J430" t="str">
        <f>_xlfn.XLOOKUP(G430,SM[Employee ID],SM[State/City])</f>
        <v>Lucknow</v>
      </c>
      <c r="K430" s="2">
        <f>_xlfn.XLOOKUP(Sales[[#This Row],[Order ID]],ST[Order ID],ST[Units Sold])</f>
        <v>5</v>
      </c>
      <c r="L430">
        <f t="shared" si="6"/>
        <v>20350</v>
      </c>
    </row>
    <row r="431" spans="1:12" x14ac:dyDescent="0.35">
      <c r="A431" s="7">
        <v>1429</v>
      </c>
      <c r="B431" s="1">
        <v>45385</v>
      </c>
      <c r="C431" s="2" t="s">
        <v>5</v>
      </c>
      <c r="D431" t="str">
        <f>_xlfn.XLOOKUP(Merged_Sales_Data!C431,PM[Product ID],PM[Product Name])</f>
        <v>Ergo Office Chair</v>
      </c>
      <c r="E431" t="str">
        <f>VLOOKUP(C431,PM[],3,FALSE)</f>
        <v>Office Supplies</v>
      </c>
      <c r="F431">
        <f>_xlfn.XLOOKUP(C431,PM[Product ID],PM[Unit Price (₹)])</f>
        <v>6750</v>
      </c>
      <c r="G431" t="str">
        <f>_xlfn.XLOOKUP(Sales[[#This Row],[Order ID]],ST[Order ID],ST[Employee ID])</f>
        <v>E06</v>
      </c>
      <c r="H431" t="str">
        <f>_xlfn.XLOOKUP(G431,SM[Employee ID],SM[Salesperson])</f>
        <v>Sneha Roy</v>
      </c>
      <c r="I431" t="str">
        <f>_xlfn.XLOOKUP(G431,SM[Employee ID],SM[Region])</f>
        <v>East</v>
      </c>
      <c r="J431" t="str">
        <f>_xlfn.XLOOKUP(G431,SM[Employee ID],SM[State/City])</f>
        <v>Kolkata</v>
      </c>
      <c r="K431" s="2">
        <f>_xlfn.XLOOKUP(Sales[[#This Row],[Order ID]],ST[Order ID],ST[Units Sold])</f>
        <v>4</v>
      </c>
      <c r="L431">
        <f t="shared" si="6"/>
        <v>27000</v>
      </c>
    </row>
    <row r="432" spans="1:12" x14ac:dyDescent="0.35">
      <c r="A432" s="7">
        <v>1443</v>
      </c>
      <c r="B432" s="1">
        <v>45385</v>
      </c>
      <c r="C432" s="2" t="s">
        <v>8</v>
      </c>
      <c r="D432" t="str">
        <f>_xlfn.XLOOKUP(Merged_Sales_Data!C432,PM[Product ID],PM[Product Name])</f>
        <v>USB-C Hub</v>
      </c>
      <c r="E432" t="str">
        <f>VLOOKUP(C432,PM[],3,FALSE)</f>
        <v>Accessories</v>
      </c>
      <c r="F432">
        <f>_xlfn.XLOOKUP(C432,PM[Product ID],PM[Unit Price (₹)])</f>
        <v>880</v>
      </c>
      <c r="G432" t="str">
        <f>_xlfn.XLOOKUP(Sales[[#This Row],[Order ID]],ST[Order ID],ST[Employee ID])</f>
        <v>E02</v>
      </c>
      <c r="H432" t="str">
        <f>_xlfn.XLOOKUP(G432,SM[Employee ID],SM[Salesperson])</f>
        <v>Ishita Verma</v>
      </c>
      <c r="I432" t="str">
        <f>_xlfn.XLOOKUP(G432,SM[Employee ID],SM[Region])</f>
        <v>North</v>
      </c>
      <c r="J432" t="str">
        <f>_xlfn.XLOOKUP(G432,SM[Employee ID],SM[State/City])</f>
        <v>Chandigarh</v>
      </c>
      <c r="K432" s="2">
        <f>_xlfn.XLOOKUP(Sales[[#This Row],[Order ID]],ST[Order ID],ST[Units Sold])</f>
        <v>3</v>
      </c>
      <c r="L432">
        <f t="shared" si="6"/>
        <v>2640</v>
      </c>
    </row>
    <row r="433" spans="1:12" x14ac:dyDescent="0.35">
      <c r="A433" s="7">
        <v>1450</v>
      </c>
      <c r="B433" s="1">
        <v>45385</v>
      </c>
      <c r="C433" s="2" t="s">
        <v>18</v>
      </c>
      <c r="D433" t="str">
        <f>_xlfn.XLOOKUP(Merged_Sales_Data!C433,PM[Product ID],PM[Product Name])</f>
        <v>LED Monitor 24"</v>
      </c>
      <c r="E433" t="str">
        <f>VLOOKUP(C433,PM[],3,FALSE)</f>
        <v>Electronics</v>
      </c>
      <c r="F433">
        <f>_xlfn.XLOOKUP(C433,PM[Product ID],PM[Unit Price (₹)])</f>
        <v>7700</v>
      </c>
      <c r="G433" t="str">
        <f>_xlfn.XLOOKUP(Sales[[#This Row],[Order ID]],ST[Order ID],ST[Employee ID])</f>
        <v>E08</v>
      </c>
      <c r="H433" t="str">
        <f>_xlfn.XLOOKUP(G433,SM[Employee ID],SM[Salesperson])</f>
        <v>Neha Joshi</v>
      </c>
      <c r="I433" t="str">
        <f>_xlfn.XLOOKUP(G433,SM[Employee ID],SM[Region])</f>
        <v>West</v>
      </c>
      <c r="J433" t="str">
        <f>_xlfn.XLOOKUP(G433,SM[Employee ID],SM[State/City])</f>
        <v>Ahmedabad</v>
      </c>
      <c r="K433" s="2">
        <f>_xlfn.XLOOKUP(Sales[[#This Row],[Order ID]],ST[Order ID],ST[Units Sold])</f>
        <v>1</v>
      </c>
      <c r="L433">
        <f t="shared" si="6"/>
        <v>7700</v>
      </c>
    </row>
    <row r="434" spans="1:12" x14ac:dyDescent="0.35">
      <c r="A434" s="7">
        <v>1460</v>
      </c>
      <c r="B434" s="1">
        <v>45385</v>
      </c>
      <c r="C434" s="2" t="s">
        <v>11</v>
      </c>
      <c r="D434" t="str">
        <f>_xlfn.XLOOKUP(Merged_Sales_Data!C434,PM[Product ID],PM[Product Name])</f>
        <v>Bluetooth Speaker</v>
      </c>
      <c r="E434" t="str">
        <f>VLOOKUP(C434,PM[],3,FALSE)</f>
        <v>Electronics</v>
      </c>
      <c r="F434">
        <f>_xlfn.XLOOKUP(C434,PM[Product ID],PM[Unit Price (₹)])</f>
        <v>1430</v>
      </c>
      <c r="G434" t="str">
        <f>_xlfn.XLOOKUP(Sales[[#This Row],[Order ID]],ST[Order ID],ST[Employee ID])</f>
        <v>E05</v>
      </c>
      <c r="H434" t="str">
        <f>_xlfn.XLOOKUP(G434,SM[Employee ID],SM[Salesperson])</f>
        <v>Karan Malhotra</v>
      </c>
      <c r="I434" t="str">
        <f>_xlfn.XLOOKUP(G434,SM[Employee ID],SM[Region])</f>
        <v>East</v>
      </c>
      <c r="J434" t="str">
        <f>_xlfn.XLOOKUP(G434,SM[Employee ID],SM[State/City])</f>
        <v>Kolkata</v>
      </c>
      <c r="K434" s="2">
        <f>_xlfn.XLOOKUP(Sales[[#This Row],[Order ID]],ST[Order ID],ST[Units Sold])</f>
        <v>4</v>
      </c>
      <c r="L434">
        <f t="shared" si="6"/>
        <v>5720</v>
      </c>
    </row>
    <row r="435" spans="1:12" x14ac:dyDescent="0.35">
      <c r="A435" s="7">
        <v>1438</v>
      </c>
      <c r="B435" s="1">
        <v>45386</v>
      </c>
      <c r="C435" s="2" t="s">
        <v>14</v>
      </c>
      <c r="D435" t="str">
        <f>_xlfn.XLOOKUP(Merged_Sales_Data!C435,PM[Product ID],PM[Product Name])</f>
        <v>Laptop Backpack</v>
      </c>
      <c r="E435" t="str">
        <f>VLOOKUP(C435,PM[],3,FALSE)</f>
        <v>Accessories</v>
      </c>
      <c r="F435">
        <f>_xlfn.XLOOKUP(C435,PM[Product ID],PM[Unit Price (₹)])</f>
        <v>1110</v>
      </c>
      <c r="G435" t="str">
        <f>_xlfn.XLOOKUP(Sales[[#This Row],[Order ID]],ST[Order ID],ST[Employee ID])</f>
        <v>E07</v>
      </c>
      <c r="H435" t="str">
        <f>_xlfn.XLOOKUP(G435,SM[Employee ID],SM[Salesperson])</f>
        <v>Aditya Kapoor</v>
      </c>
      <c r="I435" t="str">
        <f>_xlfn.XLOOKUP(G435,SM[Employee ID],SM[Region])</f>
        <v>West</v>
      </c>
      <c r="J435" t="str">
        <f>_xlfn.XLOOKUP(G435,SM[Employee ID],SM[State/City])</f>
        <v>Mumbai</v>
      </c>
      <c r="K435" s="2">
        <f>_xlfn.XLOOKUP(Sales[[#This Row],[Order ID]],ST[Order ID],ST[Units Sold])</f>
        <v>1</v>
      </c>
      <c r="L435">
        <f t="shared" si="6"/>
        <v>1110</v>
      </c>
    </row>
    <row r="436" spans="1:12" x14ac:dyDescent="0.35">
      <c r="A436" s="7">
        <v>1456</v>
      </c>
      <c r="B436" s="1">
        <v>45386</v>
      </c>
      <c r="C436" s="2" t="s">
        <v>12</v>
      </c>
      <c r="D436" t="str">
        <f>_xlfn.XLOOKUP(Merged_Sales_Data!C436,PM[Product ID],PM[Product Name])</f>
        <v>Bookshelf Unit</v>
      </c>
      <c r="E436" t="str">
        <f>VLOOKUP(C436,PM[],3,FALSE)</f>
        <v>Furniture</v>
      </c>
      <c r="F436">
        <f>_xlfn.XLOOKUP(C436,PM[Product ID],PM[Unit Price (₹)])</f>
        <v>3910</v>
      </c>
      <c r="G436" t="str">
        <f>_xlfn.XLOOKUP(Sales[[#This Row],[Order ID]],ST[Order ID],ST[Employee ID])</f>
        <v>E01</v>
      </c>
      <c r="H436" t="str">
        <f>_xlfn.XLOOKUP(G436,SM[Employee ID],SM[Salesperson])</f>
        <v>Aarav Sharma</v>
      </c>
      <c r="I436" t="str">
        <f>_xlfn.XLOOKUP(G436,SM[Employee ID],SM[Region])</f>
        <v>North</v>
      </c>
      <c r="J436" t="str">
        <f>_xlfn.XLOOKUP(G436,SM[Employee ID],SM[State/City])</f>
        <v>Lucknow</v>
      </c>
      <c r="K436" s="2">
        <f>_xlfn.XLOOKUP(Sales[[#This Row],[Order ID]],ST[Order ID],ST[Units Sold])</f>
        <v>2</v>
      </c>
      <c r="L436">
        <f t="shared" si="6"/>
        <v>7820</v>
      </c>
    </row>
    <row r="437" spans="1:12" x14ac:dyDescent="0.35">
      <c r="A437" s="7">
        <v>1431</v>
      </c>
      <c r="B437" s="1">
        <v>45387</v>
      </c>
      <c r="C437" s="2" t="s">
        <v>12</v>
      </c>
      <c r="D437" t="str">
        <f>_xlfn.XLOOKUP(Merged_Sales_Data!C437,PM[Product ID],PM[Product Name])</f>
        <v>Bookshelf Unit</v>
      </c>
      <c r="E437" t="str">
        <f>VLOOKUP(C437,PM[],3,FALSE)</f>
        <v>Furniture</v>
      </c>
      <c r="F437">
        <f>_xlfn.XLOOKUP(C437,PM[Product ID],PM[Unit Price (₹)])</f>
        <v>3910</v>
      </c>
      <c r="G437" t="str">
        <f>_xlfn.XLOOKUP(Sales[[#This Row],[Order ID]],ST[Order ID],ST[Employee ID])</f>
        <v>E02</v>
      </c>
      <c r="H437" t="str">
        <f>_xlfn.XLOOKUP(G437,SM[Employee ID],SM[Salesperson])</f>
        <v>Ishita Verma</v>
      </c>
      <c r="I437" t="str">
        <f>_xlfn.XLOOKUP(G437,SM[Employee ID],SM[Region])</f>
        <v>North</v>
      </c>
      <c r="J437" t="str">
        <f>_xlfn.XLOOKUP(G437,SM[Employee ID],SM[State/City])</f>
        <v>Chandigarh</v>
      </c>
      <c r="K437" s="2">
        <f>_xlfn.XLOOKUP(Sales[[#This Row],[Order ID]],ST[Order ID],ST[Units Sold])</f>
        <v>1</v>
      </c>
      <c r="L437">
        <f t="shared" si="6"/>
        <v>3910</v>
      </c>
    </row>
    <row r="438" spans="1:12" x14ac:dyDescent="0.35">
      <c r="A438" s="7">
        <v>1458</v>
      </c>
      <c r="B438" s="1">
        <v>45388</v>
      </c>
      <c r="C438" s="2" t="s">
        <v>10</v>
      </c>
      <c r="D438" t="str">
        <f>_xlfn.XLOOKUP(Merged_Sales_Data!C438,PM[Product ID],PM[Product Name])</f>
        <v>Filing Cabinet</v>
      </c>
      <c r="E438" t="str">
        <f>VLOOKUP(C438,PM[],3,FALSE)</f>
        <v>Furniture</v>
      </c>
      <c r="F438">
        <f>_xlfn.XLOOKUP(C438,PM[Product ID],PM[Unit Price (₹)])</f>
        <v>4070</v>
      </c>
      <c r="G438" t="str">
        <f>_xlfn.XLOOKUP(Sales[[#This Row],[Order ID]],ST[Order ID],ST[Employee ID])</f>
        <v>E08</v>
      </c>
      <c r="H438" t="str">
        <f>_xlfn.XLOOKUP(G438,SM[Employee ID],SM[Salesperson])</f>
        <v>Neha Joshi</v>
      </c>
      <c r="I438" t="str">
        <f>_xlfn.XLOOKUP(G438,SM[Employee ID],SM[Region])</f>
        <v>West</v>
      </c>
      <c r="J438" t="str">
        <f>_xlfn.XLOOKUP(G438,SM[Employee ID],SM[State/City])</f>
        <v>Ahmedabad</v>
      </c>
      <c r="K438" s="2">
        <f>_xlfn.XLOOKUP(Sales[[#This Row],[Order ID]],ST[Order ID],ST[Units Sold])</f>
        <v>3</v>
      </c>
      <c r="L438">
        <f t="shared" si="6"/>
        <v>12210</v>
      </c>
    </row>
    <row r="439" spans="1:12" x14ac:dyDescent="0.35">
      <c r="A439" s="7">
        <v>1451</v>
      </c>
      <c r="B439" s="1">
        <v>45389</v>
      </c>
      <c r="C439" s="2" t="s">
        <v>21</v>
      </c>
      <c r="D439" t="str">
        <f>_xlfn.XLOOKUP(Merged_Sales_Data!C439,PM[Product ID],PM[Product Name])</f>
        <v>Wireless Mouse</v>
      </c>
      <c r="E439" t="str">
        <f>VLOOKUP(C439,PM[],3,FALSE)</f>
        <v>Electronics</v>
      </c>
      <c r="F439">
        <f>_xlfn.XLOOKUP(C439,PM[Product ID],PM[Unit Price (₹)])</f>
        <v>780</v>
      </c>
      <c r="G439" t="str">
        <f>_xlfn.XLOOKUP(Sales[[#This Row],[Order ID]],ST[Order ID],ST[Employee ID])</f>
        <v>E08</v>
      </c>
      <c r="H439" t="str">
        <f>_xlfn.XLOOKUP(G439,SM[Employee ID],SM[Salesperson])</f>
        <v>Neha Joshi</v>
      </c>
      <c r="I439" t="str">
        <f>_xlfn.XLOOKUP(G439,SM[Employee ID],SM[Region])</f>
        <v>West</v>
      </c>
      <c r="J439" t="str">
        <f>_xlfn.XLOOKUP(G439,SM[Employee ID],SM[State/City])</f>
        <v>Ahmedabad</v>
      </c>
      <c r="K439" s="2">
        <f>_xlfn.XLOOKUP(Sales[[#This Row],[Order ID]],ST[Order ID],ST[Units Sold])</f>
        <v>2</v>
      </c>
      <c r="L439">
        <f t="shared" si="6"/>
        <v>1560</v>
      </c>
    </row>
    <row r="440" spans="1:12" x14ac:dyDescent="0.35">
      <c r="A440" s="7">
        <v>1436</v>
      </c>
      <c r="B440" s="1">
        <v>45390</v>
      </c>
      <c r="C440" s="2" t="s">
        <v>11</v>
      </c>
      <c r="D440" t="str">
        <f>_xlfn.XLOOKUP(Merged_Sales_Data!C440,PM[Product ID],PM[Product Name])</f>
        <v>Bluetooth Speaker</v>
      </c>
      <c r="E440" t="str">
        <f>VLOOKUP(C440,PM[],3,FALSE)</f>
        <v>Electronics</v>
      </c>
      <c r="F440">
        <f>_xlfn.XLOOKUP(C440,PM[Product ID],PM[Unit Price (₹)])</f>
        <v>1430</v>
      </c>
      <c r="G440" t="str">
        <f>_xlfn.XLOOKUP(Sales[[#This Row],[Order ID]],ST[Order ID],ST[Employee ID])</f>
        <v>E07</v>
      </c>
      <c r="H440" t="str">
        <f>_xlfn.XLOOKUP(G440,SM[Employee ID],SM[Salesperson])</f>
        <v>Aditya Kapoor</v>
      </c>
      <c r="I440" t="str">
        <f>_xlfn.XLOOKUP(G440,SM[Employee ID],SM[Region])</f>
        <v>West</v>
      </c>
      <c r="J440" t="str">
        <f>_xlfn.XLOOKUP(G440,SM[Employee ID],SM[State/City])</f>
        <v>Mumbai</v>
      </c>
      <c r="K440" s="2">
        <f>_xlfn.XLOOKUP(Sales[[#This Row],[Order ID]],ST[Order ID],ST[Units Sold])</f>
        <v>2</v>
      </c>
      <c r="L440">
        <f t="shared" si="6"/>
        <v>2860</v>
      </c>
    </row>
    <row r="441" spans="1:12" x14ac:dyDescent="0.35">
      <c r="A441" s="7">
        <v>1437</v>
      </c>
      <c r="B441" s="1">
        <v>45390</v>
      </c>
      <c r="C441" s="2" t="s">
        <v>11</v>
      </c>
      <c r="D441" t="str">
        <f>_xlfn.XLOOKUP(Merged_Sales_Data!C441,PM[Product ID],PM[Product Name])</f>
        <v>Bluetooth Speaker</v>
      </c>
      <c r="E441" t="str">
        <f>VLOOKUP(C441,PM[],3,FALSE)</f>
        <v>Electronics</v>
      </c>
      <c r="F441">
        <f>_xlfn.XLOOKUP(C441,PM[Product ID],PM[Unit Price (₹)])</f>
        <v>1430</v>
      </c>
      <c r="G441" t="str">
        <f>_xlfn.XLOOKUP(Sales[[#This Row],[Order ID]],ST[Order ID],ST[Employee ID])</f>
        <v>E05</v>
      </c>
      <c r="H441" t="str">
        <f>_xlfn.XLOOKUP(G441,SM[Employee ID],SM[Salesperson])</f>
        <v>Karan Malhotra</v>
      </c>
      <c r="I441" t="str">
        <f>_xlfn.XLOOKUP(G441,SM[Employee ID],SM[Region])</f>
        <v>East</v>
      </c>
      <c r="J441" t="str">
        <f>_xlfn.XLOOKUP(G441,SM[Employee ID],SM[State/City])</f>
        <v>Kolkata</v>
      </c>
      <c r="K441" s="2">
        <f>_xlfn.XLOOKUP(Sales[[#This Row],[Order ID]],ST[Order ID],ST[Units Sold])</f>
        <v>1</v>
      </c>
      <c r="L441">
        <f t="shared" si="6"/>
        <v>1430</v>
      </c>
    </row>
    <row r="442" spans="1:12" x14ac:dyDescent="0.35">
      <c r="A442" s="7">
        <v>1434</v>
      </c>
      <c r="B442" s="1">
        <v>45391</v>
      </c>
      <c r="C442" s="2" t="s">
        <v>11</v>
      </c>
      <c r="D442" t="str">
        <f>_xlfn.XLOOKUP(Merged_Sales_Data!C442,PM[Product ID],PM[Product Name])</f>
        <v>Bluetooth Speaker</v>
      </c>
      <c r="E442" t="str">
        <f>VLOOKUP(C442,PM[],3,FALSE)</f>
        <v>Electronics</v>
      </c>
      <c r="F442">
        <f>_xlfn.XLOOKUP(C442,PM[Product ID],PM[Unit Price (₹)])</f>
        <v>1430</v>
      </c>
      <c r="G442" t="str">
        <f>_xlfn.XLOOKUP(Sales[[#This Row],[Order ID]],ST[Order ID],ST[Employee ID])</f>
        <v>E01</v>
      </c>
      <c r="H442" t="str">
        <f>_xlfn.XLOOKUP(G442,SM[Employee ID],SM[Salesperson])</f>
        <v>Aarav Sharma</v>
      </c>
      <c r="I442" t="str">
        <f>_xlfn.XLOOKUP(G442,SM[Employee ID],SM[Region])</f>
        <v>North</v>
      </c>
      <c r="J442" t="str">
        <f>_xlfn.XLOOKUP(G442,SM[Employee ID],SM[State/City])</f>
        <v>Lucknow</v>
      </c>
      <c r="K442" s="2">
        <f>_xlfn.XLOOKUP(Sales[[#This Row],[Order ID]],ST[Order ID],ST[Units Sold])</f>
        <v>1</v>
      </c>
      <c r="L442">
        <f t="shared" si="6"/>
        <v>1430</v>
      </c>
    </row>
    <row r="443" spans="1:12" x14ac:dyDescent="0.35">
      <c r="A443" s="7">
        <v>1461</v>
      </c>
      <c r="B443" s="1">
        <v>45392</v>
      </c>
      <c r="C443" s="2" t="s">
        <v>18</v>
      </c>
      <c r="D443" t="str">
        <f>_xlfn.XLOOKUP(Merged_Sales_Data!C443,PM[Product ID],PM[Product Name])</f>
        <v>LED Monitor 24"</v>
      </c>
      <c r="E443" t="str">
        <f>VLOOKUP(C443,PM[],3,FALSE)</f>
        <v>Electronics</v>
      </c>
      <c r="F443">
        <f>_xlfn.XLOOKUP(C443,PM[Product ID],PM[Unit Price (₹)])</f>
        <v>7700</v>
      </c>
      <c r="G443" t="str">
        <f>_xlfn.XLOOKUP(Sales[[#This Row],[Order ID]],ST[Order ID],ST[Employee ID])</f>
        <v>E07</v>
      </c>
      <c r="H443" t="str">
        <f>_xlfn.XLOOKUP(G443,SM[Employee ID],SM[Salesperson])</f>
        <v>Aditya Kapoor</v>
      </c>
      <c r="I443" t="str">
        <f>_xlfn.XLOOKUP(G443,SM[Employee ID],SM[Region])</f>
        <v>West</v>
      </c>
      <c r="J443" t="str">
        <f>_xlfn.XLOOKUP(G443,SM[Employee ID],SM[State/City])</f>
        <v>Mumbai</v>
      </c>
      <c r="K443" s="2">
        <f>_xlfn.XLOOKUP(Sales[[#This Row],[Order ID]],ST[Order ID],ST[Units Sold])</f>
        <v>6</v>
      </c>
      <c r="L443">
        <f t="shared" si="6"/>
        <v>46200</v>
      </c>
    </row>
    <row r="444" spans="1:12" x14ac:dyDescent="0.35">
      <c r="A444" s="7">
        <v>1430</v>
      </c>
      <c r="B444" s="1">
        <v>45393</v>
      </c>
      <c r="C444" s="2" t="s">
        <v>5</v>
      </c>
      <c r="D444" t="str">
        <f>_xlfn.XLOOKUP(Merged_Sales_Data!C444,PM[Product ID],PM[Product Name])</f>
        <v>Ergo Office Chair</v>
      </c>
      <c r="E444" t="str">
        <f>VLOOKUP(C444,PM[],3,FALSE)</f>
        <v>Office Supplies</v>
      </c>
      <c r="F444">
        <f>_xlfn.XLOOKUP(C444,PM[Product ID],PM[Unit Price (₹)])</f>
        <v>6750</v>
      </c>
      <c r="G444" t="str">
        <f>_xlfn.XLOOKUP(Sales[[#This Row],[Order ID]],ST[Order ID],ST[Employee ID])</f>
        <v>E06</v>
      </c>
      <c r="H444" t="str">
        <f>_xlfn.XLOOKUP(G444,SM[Employee ID],SM[Salesperson])</f>
        <v>Sneha Roy</v>
      </c>
      <c r="I444" t="str">
        <f>_xlfn.XLOOKUP(G444,SM[Employee ID],SM[Region])</f>
        <v>East</v>
      </c>
      <c r="J444" t="str">
        <f>_xlfn.XLOOKUP(G444,SM[Employee ID],SM[State/City])</f>
        <v>Kolkata</v>
      </c>
      <c r="K444" s="2">
        <f>_xlfn.XLOOKUP(Sales[[#This Row],[Order ID]],ST[Order ID],ST[Units Sold])</f>
        <v>1</v>
      </c>
      <c r="L444">
        <f t="shared" si="6"/>
        <v>6750</v>
      </c>
    </row>
    <row r="445" spans="1:12" x14ac:dyDescent="0.35">
      <c r="A445" s="7">
        <v>1452</v>
      </c>
      <c r="B445" s="1">
        <v>45393</v>
      </c>
      <c r="C445" s="2" t="s">
        <v>5</v>
      </c>
      <c r="D445" t="str">
        <f>_xlfn.XLOOKUP(Merged_Sales_Data!C445,PM[Product ID],PM[Product Name])</f>
        <v>Ergo Office Chair</v>
      </c>
      <c r="E445" t="str">
        <f>VLOOKUP(C445,PM[],3,FALSE)</f>
        <v>Office Supplies</v>
      </c>
      <c r="F445">
        <f>_xlfn.XLOOKUP(C445,PM[Product ID],PM[Unit Price (₹)])</f>
        <v>6750</v>
      </c>
      <c r="G445" t="str">
        <f>_xlfn.XLOOKUP(Sales[[#This Row],[Order ID]],ST[Order ID],ST[Employee ID])</f>
        <v>E01</v>
      </c>
      <c r="H445" t="str">
        <f>_xlfn.XLOOKUP(G445,SM[Employee ID],SM[Salesperson])</f>
        <v>Aarav Sharma</v>
      </c>
      <c r="I445" t="str">
        <f>_xlfn.XLOOKUP(G445,SM[Employee ID],SM[Region])</f>
        <v>North</v>
      </c>
      <c r="J445" t="str">
        <f>_xlfn.XLOOKUP(G445,SM[Employee ID],SM[State/City])</f>
        <v>Lucknow</v>
      </c>
      <c r="K445" s="2">
        <f>_xlfn.XLOOKUP(Sales[[#This Row],[Order ID]],ST[Order ID],ST[Units Sold])</f>
        <v>1</v>
      </c>
      <c r="L445">
        <f t="shared" si="6"/>
        <v>6750</v>
      </c>
    </row>
    <row r="446" spans="1:12" x14ac:dyDescent="0.35">
      <c r="A446" s="7">
        <v>1462</v>
      </c>
      <c r="B446" s="1">
        <v>45393</v>
      </c>
      <c r="C446" s="2" t="s">
        <v>11</v>
      </c>
      <c r="D446" t="str">
        <f>_xlfn.XLOOKUP(Merged_Sales_Data!C446,PM[Product ID],PM[Product Name])</f>
        <v>Bluetooth Speaker</v>
      </c>
      <c r="E446" t="str">
        <f>VLOOKUP(C446,PM[],3,FALSE)</f>
        <v>Electronics</v>
      </c>
      <c r="F446">
        <f>_xlfn.XLOOKUP(C446,PM[Product ID],PM[Unit Price (₹)])</f>
        <v>1430</v>
      </c>
      <c r="G446" t="str">
        <f>_xlfn.XLOOKUP(Sales[[#This Row],[Order ID]],ST[Order ID],ST[Employee ID])</f>
        <v>E06</v>
      </c>
      <c r="H446" t="str">
        <f>_xlfn.XLOOKUP(G446,SM[Employee ID],SM[Salesperson])</f>
        <v>Sneha Roy</v>
      </c>
      <c r="I446" t="str">
        <f>_xlfn.XLOOKUP(G446,SM[Employee ID],SM[Region])</f>
        <v>East</v>
      </c>
      <c r="J446" t="str">
        <f>_xlfn.XLOOKUP(G446,SM[Employee ID],SM[State/City])</f>
        <v>Kolkata</v>
      </c>
      <c r="K446" s="2">
        <f>_xlfn.XLOOKUP(Sales[[#This Row],[Order ID]],ST[Order ID],ST[Units Sold])</f>
        <v>1</v>
      </c>
      <c r="L446">
        <f t="shared" si="6"/>
        <v>1430</v>
      </c>
    </row>
    <row r="447" spans="1:12" x14ac:dyDescent="0.35">
      <c r="A447" s="7">
        <v>1446</v>
      </c>
      <c r="B447" s="1">
        <v>45394</v>
      </c>
      <c r="C447" s="2" t="s">
        <v>12</v>
      </c>
      <c r="D447" t="str">
        <f>_xlfn.XLOOKUP(Merged_Sales_Data!C447,PM[Product ID],PM[Product Name])</f>
        <v>Bookshelf Unit</v>
      </c>
      <c r="E447" t="str">
        <f>VLOOKUP(C447,PM[],3,FALSE)</f>
        <v>Furniture</v>
      </c>
      <c r="F447">
        <f>_xlfn.XLOOKUP(C447,PM[Product ID],PM[Unit Price (₹)])</f>
        <v>3910</v>
      </c>
      <c r="G447" t="str">
        <f>_xlfn.XLOOKUP(Sales[[#This Row],[Order ID]],ST[Order ID],ST[Employee ID])</f>
        <v>E01</v>
      </c>
      <c r="H447" t="str">
        <f>_xlfn.XLOOKUP(G447,SM[Employee ID],SM[Salesperson])</f>
        <v>Aarav Sharma</v>
      </c>
      <c r="I447" t="str">
        <f>_xlfn.XLOOKUP(G447,SM[Employee ID],SM[Region])</f>
        <v>North</v>
      </c>
      <c r="J447" t="str">
        <f>_xlfn.XLOOKUP(G447,SM[Employee ID],SM[State/City])</f>
        <v>Lucknow</v>
      </c>
      <c r="K447" s="2">
        <f>_xlfn.XLOOKUP(Sales[[#This Row],[Order ID]],ST[Order ID],ST[Units Sold])</f>
        <v>1</v>
      </c>
      <c r="L447">
        <f t="shared" si="6"/>
        <v>3910</v>
      </c>
    </row>
    <row r="448" spans="1:12" x14ac:dyDescent="0.35">
      <c r="A448" s="7">
        <v>1448</v>
      </c>
      <c r="B448" s="1">
        <v>45394</v>
      </c>
      <c r="C448" s="2" t="s">
        <v>18</v>
      </c>
      <c r="D448" t="str">
        <f>_xlfn.XLOOKUP(Merged_Sales_Data!C448,PM[Product ID],PM[Product Name])</f>
        <v>LED Monitor 24"</v>
      </c>
      <c r="E448" t="str">
        <f>VLOOKUP(C448,PM[],3,FALSE)</f>
        <v>Electronics</v>
      </c>
      <c r="F448">
        <f>_xlfn.XLOOKUP(C448,PM[Product ID],PM[Unit Price (₹)])</f>
        <v>7700</v>
      </c>
      <c r="G448" t="str">
        <f>_xlfn.XLOOKUP(Sales[[#This Row],[Order ID]],ST[Order ID],ST[Employee ID])</f>
        <v>E06</v>
      </c>
      <c r="H448" t="str">
        <f>_xlfn.XLOOKUP(G448,SM[Employee ID],SM[Salesperson])</f>
        <v>Sneha Roy</v>
      </c>
      <c r="I448" t="str">
        <f>_xlfn.XLOOKUP(G448,SM[Employee ID],SM[Region])</f>
        <v>East</v>
      </c>
      <c r="J448" t="str">
        <f>_xlfn.XLOOKUP(G448,SM[Employee ID],SM[State/City])</f>
        <v>Kolkata</v>
      </c>
      <c r="K448" s="2">
        <f>_xlfn.XLOOKUP(Sales[[#This Row],[Order ID]],ST[Order ID],ST[Units Sold])</f>
        <v>1</v>
      </c>
      <c r="L448">
        <f t="shared" si="6"/>
        <v>7700</v>
      </c>
    </row>
    <row r="449" spans="1:12" x14ac:dyDescent="0.35">
      <c r="A449" s="7">
        <v>1440</v>
      </c>
      <c r="B449" s="1">
        <v>45396</v>
      </c>
      <c r="C449" s="2" t="s">
        <v>18</v>
      </c>
      <c r="D449" t="str">
        <f>_xlfn.XLOOKUP(Merged_Sales_Data!C449,PM[Product ID],PM[Product Name])</f>
        <v>LED Monitor 24"</v>
      </c>
      <c r="E449" t="str">
        <f>VLOOKUP(C449,PM[],3,FALSE)</f>
        <v>Electronics</v>
      </c>
      <c r="F449">
        <f>_xlfn.XLOOKUP(C449,PM[Product ID],PM[Unit Price (₹)])</f>
        <v>7700</v>
      </c>
      <c r="G449" t="str">
        <f>_xlfn.XLOOKUP(Sales[[#This Row],[Order ID]],ST[Order ID],ST[Employee ID])</f>
        <v>E04</v>
      </c>
      <c r="H449" t="str">
        <f>_xlfn.XLOOKUP(G449,SM[Employee ID],SM[Salesperson])</f>
        <v>Priya Nair</v>
      </c>
      <c r="I449" t="str">
        <f>_xlfn.XLOOKUP(G449,SM[Employee ID],SM[Region])</f>
        <v>South</v>
      </c>
      <c r="J449" t="str">
        <f>_xlfn.XLOOKUP(G449,SM[Employee ID],SM[State/City])</f>
        <v>Bengaluru</v>
      </c>
      <c r="K449" s="2">
        <f>_xlfn.XLOOKUP(Sales[[#This Row],[Order ID]],ST[Order ID],ST[Units Sold])</f>
        <v>2</v>
      </c>
      <c r="L449">
        <f t="shared" si="6"/>
        <v>15400</v>
      </c>
    </row>
    <row r="450" spans="1:12" x14ac:dyDescent="0.35">
      <c r="A450" s="7">
        <v>1449</v>
      </c>
      <c r="B450" s="1">
        <v>45397</v>
      </c>
      <c r="C450" s="2" t="s">
        <v>18</v>
      </c>
      <c r="D450" t="str">
        <f>_xlfn.XLOOKUP(Merged_Sales_Data!C450,PM[Product ID],PM[Product Name])</f>
        <v>LED Monitor 24"</v>
      </c>
      <c r="E450" t="str">
        <f>VLOOKUP(C450,PM[],3,FALSE)</f>
        <v>Electronics</v>
      </c>
      <c r="F450">
        <f>_xlfn.XLOOKUP(C450,PM[Product ID],PM[Unit Price (₹)])</f>
        <v>7700</v>
      </c>
      <c r="G450" t="str">
        <f>_xlfn.XLOOKUP(Sales[[#This Row],[Order ID]],ST[Order ID],ST[Employee ID])</f>
        <v>E06</v>
      </c>
      <c r="H450" t="str">
        <f>_xlfn.XLOOKUP(G450,SM[Employee ID],SM[Salesperson])</f>
        <v>Sneha Roy</v>
      </c>
      <c r="I450" t="str">
        <f>_xlfn.XLOOKUP(G450,SM[Employee ID],SM[Region])</f>
        <v>East</v>
      </c>
      <c r="J450" t="str">
        <f>_xlfn.XLOOKUP(G450,SM[Employee ID],SM[State/City])</f>
        <v>Kolkata</v>
      </c>
      <c r="K450" s="2">
        <f>_xlfn.XLOOKUP(Sales[[#This Row],[Order ID]],ST[Order ID],ST[Units Sold])</f>
        <v>10</v>
      </c>
      <c r="L450">
        <f t="shared" si="6"/>
        <v>77000</v>
      </c>
    </row>
    <row r="451" spans="1:12" x14ac:dyDescent="0.35">
      <c r="A451" s="7">
        <v>1441</v>
      </c>
      <c r="B451" s="1">
        <v>45401</v>
      </c>
      <c r="C451" s="2" t="s">
        <v>12</v>
      </c>
      <c r="D451" t="str">
        <f>_xlfn.XLOOKUP(Merged_Sales_Data!C451,PM[Product ID],PM[Product Name])</f>
        <v>Bookshelf Unit</v>
      </c>
      <c r="E451" t="str">
        <f>VLOOKUP(C451,PM[],3,FALSE)</f>
        <v>Furniture</v>
      </c>
      <c r="F451">
        <f>_xlfn.XLOOKUP(C451,PM[Product ID],PM[Unit Price (₹)])</f>
        <v>3910</v>
      </c>
      <c r="G451" t="str">
        <f>_xlfn.XLOOKUP(Sales[[#This Row],[Order ID]],ST[Order ID],ST[Employee ID])</f>
        <v>E01</v>
      </c>
      <c r="H451" t="str">
        <f>_xlfn.XLOOKUP(G451,SM[Employee ID],SM[Salesperson])</f>
        <v>Aarav Sharma</v>
      </c>
      <c r="I451" t="str">
        <f>_xlfn.XLOOKUP(G451,SM[Employee ID],SM[Region])</f>
        <v>North</v>
      </c>
      <c r="J451" t="str">
        <f>_xlfn.XLOOKUP(G451,SM[Employee ID],SM[State/City])</f>
        <v>Lucknow</v>
      </c>
      <c r="K451" s="2">
        <f>_xlfn.XLOOKUP(Sales[[#This Row],[Order ID]],ST[Order ID],ST[Units Sold])</f>
        <v>2</v>
      </c>
      <c r="L451">
        <f t="shared" ref="L451:L514" si="7">F451*K451</f>
        <v>7820</v>
      </c>
    </row>
    <row r="452" spans="1:12" x14ac:dyDescent="0.35">
      <c r="A452" s="7">
        <v>1433</v>
      </c>
      <c r="B452" s="1">
        <v>45402</v>
      </c>
      <c r="C452" s="2" t="s">
        <v>14</v>
      </c>
      <c r="D452" t="str">
        <f>_xlfn.XLOOKUP(Merged_Sales_Data!C452,PM[Product ID],PM[Product Name])</f>
        <v>Laptop Backpack</v>
      </c>
      <c r="E452" t="str">
        <f>VLOOKUP(C452,PM[],3,FALSE)</f>
        <v>Accessories</v>
      </c>
      <c r="F452">
        <f>_xlfn.XLOOKUP(C452,PM[Product ID],PM[Unit Price (₹)])</f>
        <v>1110</v>
      </c>
      <c r="G452" t="str">
        <f>_xlfn.XLOOKUP(Sales[[#This Row],[Order ID]],ST[Order ID],ST[Employee ID])</f>
        <v>E03</v>
      </c>
      <c r="H452" t="str">
        <f>_xlfn.XLOOKUP(G452,SM[Employee ID],SM[Salesperson])</f>
        <v>Rohan Mehta</v>
      </c>
      <c r="I452" t="str">
        <f>_xlfn.XLOOKUP(G452,SM[Employee ID],SM[Region])</f>
        <v>South</v>
      </c>
      <c r="J452" t="str">
        <f>_xlfn.XLOOKUP(G452,SM[Employee ID],SM[State/City])</f>
        <v>Bengaluru</v>
      </c>
      <c r="K452" s="2">
        <f>_xlfn.XLOOKUP(Sales[[#This Row],[Order ID]],ST[Order ID],ST[Units Sold])</f>
        <v>5</v>
      </c>
      <c r="L452">
        <f t="shared" si="7"/>
        <v>5550</v>
      </c>
    </row>
    <row r="453" spans="1:12" x14ac:dyDescent="0.35">
      <c r="A453" s="7">
        <v>1463</v>
      </c>
      <c r="B453" s="1">
        <v>45402</v>
      </c>
      <c r="C453" s="2" t="s">
        <v>20</v>
      </c>
      <c r="D453" t="str">
        <f>_xlfn.XLOOKUP(Merged_Sales_Data!C453,PM[Product ID],PM[Product Name])</f>
        <v>Standing Desk</v>
      </c>
      <c r="E453" t="str">
        <f>VLOOKUP(C453,PM[],3,FALSE)</f>
        <v>Office Supplies</v>
      </c>
      <c r="F453">
        <f>_xlfn.XLOOKUP(C453,PM[Product ID],PM[Unit Price (₹)])</f>
        <v>11010</v>
      </c>
      <c r="G453" t="str">
        <f>_xlfn.XLOOKUP(Sales[[#This Row],[Order ID]],ST[Order ID],ST[Employee ID])</f>
        <v>E05</v>
      </c>
      <c r="H453" t="str">
        <f>_xlfn.XLOOKUP(G453,SM[Employee ID],SM[Salesperson])</f>
        <v>Karan Malhotra</v>
      </c>
      <c r="I453" t="str">
        <f>_xlfn.XLOOKUP(G453,SM[Employee ID],SM[Region])</f>
        <v>East</v>
      </c>
      <c r="J453" t="str">
        <f>_xlfn.XLOOKUP(G453,SM[Employee ID],SM[State/City])</f>
        <v>Kolkata</v>
      </c>
      <c r="K453" s="2">
        <f>_xlfn.XLOOKUP(Sales[[#This Row],[Order ID]],ST[Order ID],ST[Units Sold])</f>
        <v>5</v>
      </c>
      <c r="L453">
        <f t="shared" si="7"/>
        <v>55050</v>
      </c>
    </row>
    <row r="454" spans="1:12" x14ac:dyDescent="0.35">
      <c r="A454" s="7">
        <v>1439</v>
      </c>
      <c r="B454" s="1">
        <v>45403</v>
      </c>
      <c r="C454" s="2" t="s">
        <v>8</v>
      </c>
      <c r="D454" t="str">
        <f>_xlfn.XLOOKUP(Merged_Sales_Data!C454,PM[Product ID],PM[Product Name])</f>
        <v>USB-C Hub</v>
      </c>
      <c r="E454" t="str">
        <f>VLOOKUP(C454,PM[],3,FALSE)</f>
        <v>Accessories</v>
      </c>
      <c r="F454">
        <f>_xlfn.XLOOKUP(C454,PM[Product ID],PM[Unit Price (₹)])</f>
        <v>880</v>
      </c>
      <c r="G454" t="str">
        <f>_xlfn.XLOOKUP(Sales[[#This Row],[Order ID]],ST[Order ID],ST[Employee ID])</f>
        <v>E08</v>
      </c>
      <c r="H454" t="str">
        <f>_xlfn.XLOOKUP(G454,SM[Employee ID],SM[Salesperson])</f>
        <v>Neha Joshi</v>
      </c>
      <c r="I454" t="str">
        <f>_xlfn.XLOOKUP(G454,SM[Employee ID],SM[Region])</f>
        <v>West</v>
      </c>
      <c r="J454" t="str">
        <f>_xlfn.XLOOKUP(G454,SM[Employee ID],SM[State/City])</f>
        <v>Ahmedabad</v>
      </c>
      <c r="K454" s="2">
        <f>_xlfn.XLOOKUP(Sales[[#This Row],[Order ID]],ST[Order ID],ST[Units Sold])</f>
        <v>1</v>
      </c>
      <c r="L454">
        <f t="shared" si="7"/>
        <v>880</v>
      </c>
    </row>
    <row r="455" spans="1:12" x14ac:dyDescent="0.35">
      <c r="A455" s="7">
        <v>1442</v>
      </c>
      <c r="B455" s="1">
        <v>45404</v>
      </c>
      <c r="C455" s="2" t="s">
        <v>18</v>
      </c>
      <c r="D455" t="str">
        <f>_xlfn.XLOOKUP(Merged_Sales_Data!C455,PM[Product ID],PM[Product Name])</f>
        <v>LED Monitor 24"</v>
      </c>
      <c r="E455" t="str">
        <f>VLOOKUP(C455,PM[],3,FALSE)</f>
        <v>Electronics</v>
      </c>
      <c r="F455">
        <f>_xlfn.XLOOKUP(C455,PM[Product ID],PM[Unit Price (₹)])</f>
        <v>7700</v>
      </c>
      <c r="G455" t="str">
        <f>_xlfn.XLOOKUP(Sales[[#This Row],[Order ID]],ST[Order ID],ST[Employee ID])</f>
        <v>E07</v>
      </c>
      <c r="H455" t="str">
        <f>_xlfn.XLOOKUP(G455,SM[Employee ID],SM[Salesperson])</f>
        <v>Aditya Kapoor</v>
      </c>
      <c r="I455" t="str">
        <f>_xlfn.XLOOKUP(G455,SM[Employee ID],SM[Region])</f>
        <v>West</v>
      </c>
      <c r="J455" t="str">
        <f>_xlfn.XLOOKUP(G455,SM[Employee ID],SM[State/City])</f>
        <v>Mumbai</v>
      </c>
      <c r="K455" s="2">
        <f>_xlfn.XLOOKUP(Sales[[#This Row],[Order ID]],ST[Order ID],ST[Units Sold])</f>
        <v>10</v>
      </c>
      <c r="L455">
        <f t="shared" si="7"/>
        <v>77000</v>
      </c>
    </row>
    <row r="456" spans="1:12" x14ac:dyDescent="0.35">
      <c r="A456" s="7">
        <v>1432</v>
      </c>
      <c r="B456" s="1">
        <v>45405</v>
      </c>
      <c r="C456" s="2" t="s">
        <v>20</v>
      </c>
      <c r="D456" t="str">
        <f>_xlfn.XLOOKUP(Merged_Sales_Data!C456,PM[Product ID],PM[Product Name])</f>
        <v>Standing Desk</v>
      </c>
      <c r="E456" t="str">
        <f>VLOOKUP(C456,PM[],3,FALSE)</f>
        <v>Office Supplies</v>
      </c>
      <c r="F456">
        <f>_xlfn.XLOOKUP(C456,PM[Product ID],PM[Unit Price (₹)])</f>
        <v>11010</v>
      </c>
      <c r="G456" t="str">
        <f>_xlfn.XLOOKUP(Sales[[#This Row],[Order ID]],ST[Order ID],ST[Employee ID])</f>
        <v>E01</v>
      </c>
      <c r="H456" t="str">
        <f>_xlfn.XLOOKUP(G456,SM[Employee ID],SM[Salesperson])</f>
        <v>Aarav Sharma</v>
      </c>
      <c r="I456" t="str">
        <f>_xlfn.XLOOKUP(G456,SM[Employee ID],SM[Region])</f>
        <v>North</v>
      </c>
      <c r="J456" t="str">
        <f>_xlfn.XLOOKUP(G456,SM[Employee ID],SM[State/City])</f>
        <v>Lucknow</v>
      </c>
      <c r="K456" s="2">
        <f>_xlfn.XLOOKUP(Sales[[#This Row],[Order ID]],ST[Order ID],ST[Units Sold])</f>
        <v>5</v>
      </c>
      <c r="L456">
        <f t="shared" si="7"/>
        <v>55050</v>
      </c>
    </row>
    <row r="457" spans="1:12" x14ac:dyDescent="0.35">
      <c r="A457" s="7">
        <v>1435</v>
      </c>
      <c r="B457" s="1">
        <v>45406</v>
      </c>
      <c r="C457" s="2" t="s">
        <v>18</v>
      </c>
      <c r="D457" t="str">
        <f>_xlfn.XLOOKUP(Merged_Sales_Data!C457,PM[Product ID],PM[Product Name])</f>
        <v>LED Monitor 24"</v>
      </c>
      <c r="E457" t="str">
        <f>VLOOKUP(C457,PM[],3,FALSE)</f>
        <v>Electronics</v>
      </c>
      <c r="F457">
        <f>_xlfn.XLOOKUP(C457,PM[Product ID],PM[Unit Price (₹)])</f>
        <v>7700</v>
      </c>
      <c r="G457" t="str">
        <f>_xlfn.XLOOKUP(Sales[[#This Row],[Order ID]],ST[Order ID],ST[Employee ID])</f>
        <v>E04</v>
      </c>
      <c r="H457" t="str">
        <f>_xlfn.XLOOKUP(G457,SM[Employee ID],SM[Salesperson])</f>
        <v>Priya Nair</v>
      </c>
      <c r="I457" t="str">
        <f>_xlfn.XLOOKUP(G457,SM[Employee ID],SM[Region])</f>
        <v>South</v>
      </c>
      <c r="J457" t="str">
        <f>_xlfn.XLOOKUP(G457,SM[Employee ID],SM[State/City])</f>
        <v>Bengaluru</v>
      </c>
      <c r="K457" s="2">
        <f>_xlfn.XLOOKUP(Sales[[#This Row],[Order ID]],ST[Order ID],ST[Units Sold])</f>
        <v>6</v>
      </c>
      <c r="L457">
        <f t="shared" si="7"/>
        <v>46200</v>
      </c>
    </row>
    <row r="458" spans="1:12" x14ac:dyDescent="0.35">
      <c r="A458" s="7">
        <v>1445</v>
      </c>
      <c r="B458" s="1">
        <v>45406</v>
      </c>
      <c r="C458" s="2" t="s">
        <v>12</v>
      </c>
      <c r="D458" t="str">
        <f>_xlfn.XLOOKUP(Merged_Sales_Data!C458,PM[Product ID],PM[Product Name])</f>
        <v>Bookshelf Unit</v>
      </c>
      <c r="E458" t="str">
        <f>VLOOKUP(C458,PM[],3,FALSE)</f>
        <v>Furniture</v>
      </c>
      <c r="F458">
        <f>_xlfn.XLOOKUP(C458,PM[Product ID],PM[Unit Price (₹)])</f>
        <v>3910</v>
      </c>
      <c r="G458" t="str">
        <f>_xlfn.XLOOKUP(Sales[[#This Row],[Order ID]],ST[Order ID],ST[Employee ID])</f>
        <v>E07</v>
      </c>
      <c r="H458" t="str">
        <f>_xlfn.XLOOKUP(G458,SM[Employee ID],SM[Salesperson])</f>
        <v>Aditya Kapoor</v>
      </c>
      <c r="I458" t="str">
        <f>_xlfn.XLOOKUP(G458,SM[Employee ID],SM[Region])</f>
        <v>West</v>
      </c>
      <c r="J458" t="str">
        <f>_xlfn.XLOOKUP(G458,SM[Employee ID],SM[State/City])</f>
        <v>Mumbai</v>
      </c>
      <c r="K458" s="2">
        <f>_xlfn.XLOOKUP(Sales[[#This Row],[Order ID]],ST[Order ID],ST[Units Sold])</f>
        <v>2</v>
      </c>
      <c r="L458">
        <f t="shared" si="7"/>
        <v>7820</v>
      </c>
    </row>
    <row r="459" spans="1:12" x14ac:dyDescent="0.35">
      <c r="A459" s="7">
        <v>1447</v>
      </c>
      <c r="B459" s="1">
        <v>45406</v>
      </c>
      <c r="C459" s="2" t="s">
        <v>11</v>
      </c>
      <c r="D459" t="str">
        <f>_xlfn.XLOOKUP(Merged_Sales_Data!C459,PM[Product ID],PM[Product Name])</f>
        <v>Bluetooth Speaker</v>
      </c>
      <c r="E459" t="str">
        <f>VLOOKUP(C459,PM[],3,FALSE)</f>
        <v>Electronics</v>
      </c>
      <c r="F459">
        <f>_xlfn.XLOOKUP(C459,PM[Product ID],PM[Unit Price (₹)])</f>
        <v>1430</v>
      </c>
      <c r="G459" t="str">
        <f>_xlfn.XLOOKUP(Sales[[#This Row],[Order ID]],ST[Order ID],ST[Employee ID])</f>
        <v>E04</v>
      </c>
      <c r="H459" t="str">
        <f>_xlfn.XLOOKUP(G459,SM[Employee ID],SM[Salesperson])</f>
        <v>Priya Nair</v>
      </c>
      <c r="I459" t="str">
        <f>_xlfn.XLOOKUP(G459,SM[Employee ID],SM[Region])</f>
        <v>South</v>
      </c>
      <c r="J459" t="str">
        <f>_xlfn.XLOOKUP(G459,SM[Employee ID],SM[State/City])</f>
        <v>Bengaluru</v>
      </c>
      <c r="K459" s="2">
        <f>_xlfn.XLOOKUP(Sales[[#This Row],[Order ID]],ST[Order ID],ST[Units Sold])</f>
        <v>8</v>
      </c>
      <c r="L459">
        <f t="shared" si="7"/>
        <v>11440</v>
      </c>
    </row>
    <row r="460" spans="1:12" x14ac:dyDescent="0.35">
      <c r="A460" s="7">
        <v>1457</v>
      </c>
      <c r="B460" s="1">
        <v>45406</v>
      </c>
      <c r="C460" s="2" t="s">
        <v>10</v>
      </c>
      <c r="D460" t="str">
        <f>_xlfn.XLOOKUP(Merged_Sales_Data!C460,PM[Product ID],PM[Product Name])</f>
        <v>Filing Cabinet</v>
      </c>
      <c r="E460" t="str">
        <f>VLOOKUP(C460,PM[],3,FALSE)</f>
        <v>Furniture</v>
      </c>
      <c r="F460">
        <f>_xlfn.XLOOKUP(C460,PM[Product ID],PM[Unit Price (₹)])</f>
        <v>4070</v>
      </c>
      <c r="G460" t="str">
        <f>_xlfn.XLOOKUP(Sales[[#This Row],[Order ID]],ST[Order ID],ST[Employee ID])</f>
        <v>E06</v>
      </c>
      <c r="H460" t="str">
        <f>_xlfn.XLOOKUP(G460,SM[Employee ID],SM[Salesperson])</f>
        <v>Sneha Roy</v>
      </c>
      <c r="I460" t="str">
        <f>_xlfn.XLOOKUP(G460,SM[Employee ID],SM[Region])</f>
        <v>East</v>
      </c>
      <c r="J460" t="str">
        <f>_xlfn.XLOOKUP(G460,SM[Employee ID],SM[State/City])</f>
        <v>Kolkata</v>
      </c>
      <c r="K460" s="2">
        <f>_xlfn.XLOOKUP(Sales[[#This Row],[Order ID]],ST[Order ID],ST[Units Sold])</f>
        <v>4</v>
      </c>
      <c r="L460">
        <f t="shared" si="7"/>
        <v>16280</v>
      </c>
    </row>
    <row r="461" spans="1:12" x14ac:dyDescent="0.35">
      <c r="A461" s="7">
        <v>1454</v>
      </c>
      <c r="B461" s="1">
        <v>45407</v>
      </c>
      <c r="C461" s="2" t="s">
        <v>20</v>
      </c>
      <c r="D461" t="str">
        <f>_xlfn.XLOOKUP(Merged_Sales_Data!C461,PM[Product ID],PM[Product Name])</f>
        <v>Standing Desk</v>
      </c>
      <c r="E461" t="str">
        <f>VLOOKUP(C461,PM[],3,FALSE)</f>
        <v>Office Supplies</v>
      </c>
      <c r="F461">
        <f>_xlfn.XLOOKUP(C461,PM[Product ID],PM[Unit Price (₹)])</f>
        <v>11010</v>
      </c>
      <c r="G461" t="str">
        <f>_xlfn.XLOOKUP(Sales[[#This Row],[Order ID]],ST[Order ID],ST[Employee ID])</f>
        <v>E08</v>
      </c>
      <c r="H461" t="str">
        <f>_xlfn.XLOOKUP(G461,SM[Employee ID],SM[Salesperson])</f>
        <v>Neha Joshi</v>
      </c>
      <c r="I461" t="str">
        <f>_xlfn.XLOOKUP(G461,SM[Employee ID],SM[Region])</f>
        <v>West</v>
      </c>
      <c r="J461" t="str">
        <f>_xlfn.XLOOKUP(G461,SM[Employee ID],SM[State/City])</f>
        <v>Ahmedabad</v>
      </c>
      <c r="K461" s="2">
        <f>_xlfn.XLOOKUP(Sales[[#This Row],[Order ID]],ST[Order ID],ST[Units Sold])</f>
        <v>1</v>
      </c>
      <c r="L461">
        <f t="shared" si="7"/>
        <v>11010</v>
      </c>
    </row>
    <row r="462" spans="1:12" x14ac:dyDescent="0.35">
      <c r="A462" s="7">
        <v>1453</v>
      </c>
      <c r="B462" s="1">
        <v>45409</v>
      </c>
      <c r="C462" s="2" t="s">
        <v>8</v>
      </c>
      <c r="D462" t="str">
        <f>_xlfn.XLOOKUP(Merged_Sales_Data!C462,PM[Product ID],PM[Product Name])</f>
        <v>USB-C Hub</v>
      </c>
      <c r="E462" t="str">
        <f>VLOOKUP(C462,PM[],3,FALSE)</f>
        <v>Accessories</v>
      </c>
      <c r="F462">
        <f>_xlfn.XLOOKUP(C462,PM[Product ID],PM[Unit Price (₹)])</f>
        <v>880</v>
      </c>
      <c r="G462" t="str">
        <f>_xlfn.XLOOKUP(Sales[[#This Row],[Order ID]],ST[Order ID],ST[Employee ID])</f>
        <v>E05</v>
      </c>
      <c r="H462" t="str">
        <f>_xlfn.XLOOKUP(G462,SM[Employee ID],SM[Salesperson])</f>
        <v>Karan Malhotra</v>
      </c>
      <c r="I462" t="str">
        <f>_xlfn.XLOOKUP(G462,SM[Employee ID],SM[Region])</f>
        <v>East</v>
      </c>
      <c r="J462" t="str">
        <f>_xlfn.XLOOKUP(G462,SM[Employee ID],SM[State/City])</f>
        <v>Kolkata</v>
      </c>
      <c r="K462" s="2">
        <f>_xlfn.XLOOKUP(Sales[[#This Row],[Order ID]],ST[Order ID],ST[Units Sold])</f>
        <v>4</v>
      </c>
      <c r="L462">
        <f t="shared" si="7"/>
        <v>3520</v>
      </c>
    </row>
    <row r="463" spans="1:12" x14ac:dyDescent="0.35">
      <c r="A463" s="7">
        <v>1455</v>
      </c>
      <c r="B463" s="1">
        <v>45410</v>
      </c>
      <c r="C463" s="2" t="s">
        <v>20</v>
      </c>
      <c r="D463" t="str">
        <f>_xlfn.XLOOKUP(Merged_Sales_Data!C463,PM[Product ID],PM[Product Name])</f>
        <v>Standing Desk</v>
      </c>
      <c r="E463" t="str">
        <f>VLOOKUP(C463,PM[],3,FALSE)</f>
        <v>Office Supplies</v>
      </c>
      <c r="F463">
        <f>_xlfn.XLOOKUP(C463,PM[Product ID],PM[Unit Price (₹)])</f>
        <v>11010</v>
      </c>
      <c r="G463" t="str">
        <f>_xlfn.XLOOKUP(Sales[[#This Row],[Order ID]],ST[Order ID],ST[Employee ID])</f>
        <v>E04</v>
      </c>
      <c r="H463" t="str">
        <f>_xlfn.XLOOKUP(G463,SM[Employee ID],SM[Salesperson])</f>
        <v>Priya Nair</v>
      </c>
      <c r="I463" t="str">
        <f>_xlfn.XLOOKUP(G463,SM[Employee ID],SM[Region])</f>
        <v>South</v>
      </c>
      <c r="J463" t="str">
        <f>_xlfn.XLOOKUP(G463,SM[Employee ID],SM[State/City])</f>
        <v>Bengaluru</v>
      </c>
      <c r="K463" s="2">
        <f>_xlfn.XLOOKUP(Sales[[#This Row],[Order ID]],ST[Order ID],ST[Units Sold])</f>
        <v>3</v>
      </c>
      <c r="L463">
        <f t="shared" si="7"/>
        <v>33030</v>
      </c>
    </row>
    <row r="464" spans="1:12" x14ac:dyDescent="0.35">
      <c r="A464" s="7">
        <v>1459</v>
      </c>
      <c r="B464" s="1">
        <v>45412</v>
      </c>
      <c r="C464" s="2" t="s">
        <v>14</v>
      </c>
      <c r="D464" t="str">
        <f>_xlfn.XLOOKUP(Merged_Sales_Data!C464,PM[Product ID],PM[Product Name])</f>
        <v>Laptop Backpack</v>
      </c>
      <c r="E464" t="str">
        <f>VLOOKUP(C464,PM[],3,FALSE)</f>
        <v>Accessories</v>
      </c>
      <c r="F464">
        <f>_xlfn.XLOOKUP(C464,PM[Product ID],PM[Unit Price (₹)])</f>
        <v>1110</v>
      </c>
      <c r="G464" t="str">
        <f>_xlfn.XLOOKUP(Sales[[#This Row],[Order ID]],ST[Order ID],ST[Employee ID])</f>
        <v>E08</v>
      </c>
      <c r="H464" t="str">
        <f>_xlfn.XLOOKUP(G464,SM[Employee ID],SM[Salesperson])</f>
        <v>Neha Joshi</v>
      </c>
      <c r="I464" t="str">
        <f>_xlfn.XLOOKUP(G464,SM[Employee ID],SM[Region])</f>
        <v>West</v>
      </c>
      <c r="J464" t="str">
        <f>_xlfn.XLOOKUP(G464,SM[Employee ID],SM[State/City])</f>
        <v>Ahmedabad</v>
      </c>
      <c r="K464" s="2">
        <f>_xlfn.XLOOKUP(Sales[[#This Row],[Order ID]],ST[Order ID],ST[Units Sold])</f>
        <v>3</v>
      </c>
      <c r="L464">
        <f t="shared" si="7"/>
        <v>3330</v>
      </c>
    </row>
    <row r="465" spans="1:12" x14ac:dyDescent="0.35">
      <c r="A465" s="7">
        <v>1469</v>
      </c>
      <c r="B465" s="1">
        <v>45415</v>
      </c>
      <c r="C465" s="2" t="s">
        <v>21</v>
      </c>
      <c r="D465" t="str">
        <f>_xlfn.XLOOKUP(Merged_Sales_Data!C465,PM[Product ID],PM[Product Name])</f>
        <v>Wireless Mouse</v>
      </c>
      <c r="E465" t="str">
        <f>VLOOKUP(C465,PM[],3,FALSE)</f>
        <v>Electronics</v>
      </c>
      <c r="F465">
        <f>_xlfn.XLOOKUP(C465,PM[Product ID],PM[Unit Price (₹)])</f>
        <v>780</v>
      </c>
      <c r="G465" t="str">
        <f>_xlfn.XLOOKUP(Sales[[#This Row],[Order ID]],ST[Order ID],ST[Employee ID])</f>
        <v>E08</v>
      </c>
      <c r="H465" t="str">
        <f>_xlfn.XLOOKUP(G465,SM[Employee ID],SM[Salesperson])</f>
        <v>Neha Joshi</v>
      </c>
      <c r="I465" t="str">
        <f>_xlfn.XLOOKUP(G465,SM[Employee ID],SM[Region])</f>
        <v>West</v>
      </c>
      <c r="J465" t="str">
        <f>_xlfn.XLOOKUP(G465,SM[Employee ID],SM[State/City])</f>
        <v>Ahmedabad</v>
      </c>
      <c r="K465" s="2">
        <f>_xlfn.XLOOKUP(Sales[[#This Row],[Order ID]],ST[Order ID],ST[Units Sold])</f>
        <v>1</v>
      </c>
      <c r="L465">
        <f t="shared" si="7"/>
        <v>780</v>
      </c>
    </row>
    <row r="466" spans="1:12" x14ac:dyDescent="0.35">
      <c r="A466" s="7">
        <v>1479</v>
      </c>
      <c r="B466" s="1">
        <v>45417</v>
      </c>
      <c r="C466" s="2" t="s">
        <v>5</v>
      </c>
      <c r="D466" t="str">
        <f>_xlfn.XLOOKUP(Merged_Sales_Data!C466,PM[Product ID],PM[Product Name])</f>
        <v>Ergo Office Chair</v>
      </c>
      <c r="E466" t="str">
        <f>VLOOKUP(C466,PM[],3,FALSE)</f>
        <v>Office Supplies</v>
      </c>
      <c r="F466">
        <f>_xlfn.XLOOKUP(C466,PM[Product ID],PM[Unit Price (₹)])</f>
        <v>6750</v>
      </c>
      <c r="G466" t="str">
        <f>_xlfn.XLOOKUP(Sales[[#This Row],[Order ID]],ST[Order ID],ST[Employee ID])</f>
        <v>E08</v>
      </c>
      <c r="H466" t="str">
        <f>_xlfn.XLOOKUP(G466,SM[Employee ID],SM[Salesperson])</f>
        <v>Neha Joshi</v>
      </c>
      <c r="I466" t="str">
        <f>_xlfn.XLOOKUP(G466,SM[Employee ID],SM[Region])</f>
        <v>West</v>
      </c>
      <c r="J466" t="str">
        <f>_xlfn.XLOOKUP(G466,SM[Employee ID],SM[State/City])</f>
        <v>Ahmedabad</v>
      </c>
      <c r="K466" s="2">
        <f>_xlfn.XLOOKUP(Sales[[#This Row],[Order ID]],ST[Order ID],ST[Units Sold])</f>
        <v>1</v>
      </c>
      <c r="L466">
        <f t="shared" si="7"/>
        <v>6750</v>
      </c>
    </row>
    <row r="467" spans="1:12" x14ac:dyDescent="0.35">
      <c r="A467" s="7">
        <v>1487</v>
      </c>
      <c r="B467" s="1">
        <v>45417</v>
      </c>
      <c r="C467" s="2" t="s">
        <v>14</v>
      </c>
      <c r="D467" t="str">
        <f>_xlfn.XLOOKUP(Merged_Sales_Data!C467,PM[Product ID],PM[Product Name])</f>
        <v>Laptop Backpack</v>
      </c>
      <c r="E467" t="str">
        <f>VLOOKUP(C467,PM[],3,FALSE)</f>
        <v>Accessories</v>
      </c>
      <c r="F467">
        <f>_xlfn.XLOOKUP(C467,PM[Product ID],PM[Unit Price (₹)])</f>
        <v>1110</v>
      </c>
      <c r="G467" t="str">
        <f>_xlfn.XLOOKUP(Sales[[#This Row],[Order ID]],ST[Order ID],ST[Employee ID])</f>
        <v>E06</v>
      </c>
      <c r="H467" t="str">
        <f>_xlfn.XLOOKUP(G467,SM[Employee ID],SM[Salesperson])</f>
        <v>Sneha Roy</v>
      </c>
      <c r="I467" t="str">
        <f>_xlfn.XLOOKUP(G467,SM[Employee ID],SM[Region])</f>
        <v>East</v>
      </c>
      <c r="J467" t="str">
        <f>_xlfn.XLOOKUP(G467,SM[Employee ID],SM[State/City])</f>
        <v>Kolkata</v>
      </c>
      <c r="K467" s="2">
        <f>_xlfn.XLOOKUP(Sales[[#This Row],[Order ID]],ST[Order ID],ST[Units Sold])</f>
        <v>6</v>
      </c>
      <c r="L467">
        <f t="shared" si="7"/>
        <v>6660</v>
      </c>
    </row>
    <row r="468" spans="1:12" x14ac:dyDescent="0.35">
      <c r="A468" s="7">
        <v>1484</v>
      </c>
      <c r="B468" s="1">
        <v>45420</v>
      </c>
      <c r="C468" s="2" t="s">
        <v>12</v>
      </c>
      <c r="D468" t="str">
        <f>_xlfn.XLOOKUP(Merged_Sales_Data!C468,PM[Product ID],PM[Product Name])</f>
        <v>Bookshelf Unit</v>
      </c>
      <c r="E468" t="str">
        <f>VLOOKUP(C468,PM[],3,FALSE)</f>
        <v>Furniture</v>
      </c>
      <c r="F468">
        <f>_xlfn.XLOOKUP(C468,PM[Product ID],PM[Unit Price (₹)])</f>
        <v>3910</v>
      </c>
      <c r="G468" t="str">
        <f>_xlfn.XLOOKUP(Sales[[#This Row],[Order ID]],ST[Order ID],ST[Employee ID])</f>
        <v>E03</v>
      </c>
      <c r="H468" t="str">
        <f>_xlfn.XLOOKUP(G468,SM[Employee ID],SM[Salesperson])</f>
        <v>Rohan Mehta</v>
      </c>
      <c r="I468" t="str">
        <f>_xlfn.XLOOKUP(G468,SM[Employee ID],SM[Region])</f>
        <v>South</v>
      </c>
      <c r="J468" t="str">
        <f>_xlfn.XLOOKUP(G468,SM[Employee ID],SM[State/City])</f>
        <v>Bengaluru</v>
      </c>
      <c r="K468" s="2">
        <f>_xlfn.XLOOKUP(Sales[[#This Row],[Order ID]],ST[Order ID],ST[Units Sold])</f>
        <v>6</v>
      </c>
      <c r="L468">
        <f t="shared" si="7"/>
        <v>23460</v>
      </c>
    </row>
    <row r="469" spans="1:12" x14ac:dyDescent="0.35">
      <c r="A469" s="7">
        <v>1485</v>
      </c>
      <c r="B469" s="1">
        <v>45420</v>
      </c>
      <c r="C469" s="2" t="s">
        <v>5</v>
      </c>
      <c r="D469" t="str">
        <f>_xlfn.XLOOKUP(Merged_Sales_Data!C469,PM[Product ID],PM[Product Name])</f>
        <v>Ergo Office Chair</v>
      </c>
      <c r="E469" t="str">
        <f>VLOOKUP(C469,PM[],3,FALSE)</f>
        <v>Office Supplies</v>
      </c>
      <c r="F469">
        <f>_xlfn.XLOOKUP(C469,PM[Product ID],PM[Unit Price (₹)])</f>
        <v>6750</v>
      </c>
      <c r="G469" t="str">
        <f>_xlfn.XLOOKUP(Sales[[#This Row],[Order ID]],ST[Order ID],ST[Employee ID])</f>
        <v>E02</v>
      </c>
      <c r="H469" t="str">
        <f>_xlfn.XLOOKUP(G469,SM[Employee ID],SM[Salesperson])</f>
        <v>Ishita Verma</v>
      </c>
      <c r="I469" t="str">
        <f>_xlfn.XLOOKUP(G469,SM[Employee ID],SM[Region])</f>
        <v>North</v>
      </c>
      <c r="J469" t="str">
        <f>_xlfn.XLOOKUP(G469,SM[Employee ID],SM[State/City])</f>
        <v>Chandigarh</v>
      </c>
      <c r="K469" s="2">
        <f>_xlfn.XLOOKUP(Sales[[#This Row],[Order ID]],ST[Order ID],ST[Units Sold])</f>
        <v>1</v>
      </c>
      <c r="L469">
        <f t="shared" si="7"/>
        <v>6750</v>
      </c>
    </row>
    <row r="470" spans="1:12" x14ac:dyDescent="0.35">
      <c r="A470" s="7">
        <v>1474</v>
      </c>
      <c r="B470" s="1">
        <v>45421</v>
      </c>
      <c r="C470" s="2" t="s">
        <v>12</v>
      </c>
      <c r="D470" t="str">
        <f>_xlfn.XLOOKUP(Merged_Sales_Data!C470,PM[Product ID],PM[Product Name])</f>
        <v>Bookshelf Unit</v>
      </c>
      <c r="E470" t="str">
        <f>VLOOKUP(C470,PM[],3,FALSE)</f>
        <v>Furniture</v>
      </c>
      <c r="F470">
        <f>_xlfn.XLOOKUP(C470,PM[Product ID],PM[Unit Price (₹)])</f>
        <v>3910</v>
      </c>
      <c r="G470" t="str">
        <f>_xlfn.XLOOKUP(Sales[[#This Row],[Order ID]],ST[Order ID],ST[Employee ID])</f>
        <v>E07</v>
      </c>
      <c r="H470" t="str">
        <f>_xlfn.XLOOKUP(G470,SM[Employee ID],SM[Salesperson])</f>
        <v>Aditya Kapoor</v>
      </c>
      <c r="I470" t="str">
        <f>_xlfn.XLOOKUP(G470,SM[Employee ID],SM[Region])</f>
        <v>West</v>
      </c>
      <c r="J470" t="str">
        <f>_xlfn.XLOOKUP(G470,SM[Employee ID],SM[State/City])</f>
        <v>Mumbai</v>
      </c>
      <c r="K470" s="2">
        <f>_xlfn.XLOOKUP(Sales[[#This Row],[Order ID]],ST[Order ID],ST[Units Sold])</f>
        <v>10</v>
      </c>
      <c r="L470">
        <f t="shared" si="7"/>
        <v>39100</v>
      </c>
    </row>
    <row r="471" spans="1:12" x14ac:dyDescent="0.35">
      <c r="A471" s="7">
        <v>1478</v>
      </c>
      <c r="B471" s="1">
        <v>45422</v>
      </c>
      <c r="C471" s="2" t="s">
        <v>5</v>
      </c>
      <c r="D471" t="str">
        <f>_xlfn.XLOOKUP(Merged_Sales_Data!C471,PM[Product ID],PM[Product Name])</f>
        <v>Ergo Office Chair</v>
      </c>
      <c r="E471" t="str">
        <f>VLOOKUP(C471,PM[],3,FALSE)</f>
        <v>Office Supplies</v>
      </c>
      <c r="F471">
        <f>_xlfn.XLOOKUP(C471,PM[Product ID],PM[Unit Price (₹)])</f>
        <v>6750</v>
      </c>
      <c r="G471" t="str">
        <f>_xlfn.XLOOKUP(Sales[[#This Row],[Order ID]],ST[Order ID],ST[Employee ID])</f>
        <v>E08</v>
      </c>
      <c r="H471" t="str">
        <f>_xlfn.XLOOKUP(G471,SM[Employee ID],SM[Salesperson])</f>
        <v>Neha Joshi</v>
      </c>
      <c r="I471" t="str">
        <f>_xlfn.XLOOKUP(G471,SM[Employee ID],SM[Region])</f>
        <v>West</v>
      </c>
      <c r="J471" t="str">
        <f>_xlfn.XLOOKUP(G471,SM[Employee ID],SM[State/City])</f>
        <v>Ahmedabad</v>
      </c>
      <c r="K471" s="2">
        <f>_xlfn.XLOOKUP(Sales[[#This Row],[Order ID]],ST[Order ID],ST[Units Sold])</f>
        <v>8</v>
      </c>
      <c r="L471">
        <f t="shared" si="7"/>
        <v>54000</v>
      </c>
    </row>
    <row r="472" spans="1:12" x14ac:dyDescent="0.35">
      <c r="A472" s="7">
        <v>1490</v>
      </c>
      <c r="B472" s="1">
        <v>45423</v>
      </c>
      <c r="C472" s="2" t="s">
        <v>11</v>
      </c>
      <c r="D472" t="str">
        <f>_xlfn.XLOOKUP(Merged_Sales_Data!C472,PM[Product ID],PM[Product Name])</f>
        <v>Bluetooth Speaker</v>
      </c>
      <c r="E472" t="str">
        <f>VLOOKUP(C472,PM[],3,FALSE)</f>
        <v>Electronics</v>
      </c>
      <c r="F472">
        <f>_xlfn.XLOOKUP(C472,PM[Product ID],PM[Unit Price (₹)])</f>
        <v>1430</v>
      </c>
      <c r="G472" t="str">
        <f>_xlfn.XLOOKUP(Sales[[#This Row],[Order ID]],ST[Order ID],ST[Employee ID])</f>
        <v>E07</v>
      </c>
      <c r="H472" t="str">
        <f>_xlfn.XLOOKUP(G472,SM[Employee ID],SM[Salesperson])</f>
        <v>Aditya Kapoor</v>
      </c>
      <c r="I472" t="str">
        <f>_xlfn.XLOOKUP(G472,SM[Employee ID],SM[Region])</f>
        <v>West</v>
      </c>
      <c r="J472" t="str">
        <f>_xlfn.XLOOKUP(G472,SM[Employee ID],SM[State/City])</f>
        <v>Mumbai</v>
      </c>
      <c r="K472" s="2">
        <f>_xlfn.XLOOKUP(Sales[[#This Row],[Order ID]],ST[Order ID],ST[Units Sold])</f>
        <v>1</v>
      </c>
      <c r="L472">
        <f t="shared" si="7"/>
        <v>1430</v>
      </c>
    </row>
    <row r="473" spans="1:12" x14ac:dyDescent="0.35">
      <c r="A473" s="7">
        <v>1473</v>
      </c>
      <c r="B473" s="1">
        <v>45424</v>
      </c>
      <c r="C473" s="2" t="s">
        <v>18</v>
      </c>
      <c r="D473" t="str">
        <f>_xlfn.XLOOKUP(Merged_Sales_Data!C473,PM[Product ID],PM[Product Name])</f>
        <v>LED Monitor 24"</v>
      </c>
      <c r="E473" t="str">
        <f>VLOOKUP(C473,PM[],3,FALSE)</f>
        <v>Electronics</v>
      </c>
      <c r="F473">
        <f>_xlfn.XLOOKUP(C473,PM[Product ID],PM[Unit Price (₹)])</f>
        <v>7700</v>
      </c>
      <c r="G473" t="str">
        <f>_xlfn.XLOOKUP(Sales[[#This Row],[Order ID]],ST[Order ID],ST[Employee ID])</f>
        <v>E02</v>
      </c>
      <c r="H473" t="str">
        <f>_xlfn.XLOOKUP(G473,SM[Employee ID],SM[Salesperson])</f>
        <v>Ishita Verma</v>
      </c>
      <c r="I473" t="str">
        <f>_xlfn.XLOOKUP(G473,SM[Employee ID],SM[Region])</f>
        <v>North</v>
      </c>
      <c r="J473" t="str">
        <f>_xlfn.XLOOKUP(G473,SM[Employee ID],SM[State/City])</f>
        <v>Chandigarh</v>
      </c>
      <c r="K473" s="2">
        <f>_xlfn.XLOOKUP(Sales[[#This Row],[Order ID]],ST[Order ID],ST[Units Sold])</f>
        <v>6</v>
      </c>
      <c r="L473">
        <f t="shared" si="7"/>
        <v>46200</v>
      </c>
    </row>
    <row r="474" spans="1:12" x14ac:dyDescent="0.35">
      <c r="A474" s="7">
        <v>1470</v>
      </c>
      <c r="B474" s="1">
        <v>45425</v>
      </c>
      <c r="C474" s="2" t="s">
        <v>12</v>
      </c>
      <c r="D474" t="str">
        <f>_xlfn.XLOOKUP(Merged_Sales_Data!C474,PM[Product ID],PM[Product Name])</f>
        <v>Bookshelf Unit</v>
      </c>
      <c r="E474" t="str">
        <f>VLOOKUP(C474,PM[],3,FALSE)</f>
        <v>Furniture</v>
      </c>
      <c r="F474">
        <f>_xlfn.XLOOKUP(C474,PM[Product ID],PM[Unit Price (₹)])</f>
        <v>3910</v>
      </c>
      <c r="G474" t="str">
        <f>_xlfn.XLOOKUP(Sales[[#This Row],[Order ID]],ST[Order ID],ST[Employee ID])</f>
        <v>E04</v>
      </c>
      <c r="H474" t="str">
        <f>_xlfn.XLOOKUP(G474,SM[Employee ID],SM[Salesperson])</f>
        <v>Priya Nair</v>
      </c>
      <c r="I474" t="str">
        <f>_xlfn.XLOOKUP(G474,SM[Employee ID],SM[Region])</f>
        <v>South</v>
      </c>
      <c r="J474" t="str">
        <f>_xlfn.XLOOKUP(G474,SM[Employee ID],SM[State/City])</f>
        <v>Bengaluru</v>
      </c>
      <c r="K474" s="2">
        <f>_xlfn.XLOOKUP(Sales[[#This Row],[Order ID]],ST[Order ID],ST[Units Sold])</f>
        <v>3</v>
      </c>
      <c r="L474">
        <f t="shared" si="7"/>
        <v>11730</v>
      </c>
    </row>
    <row r="475" spans="1:12" x14ac:dyDescent="0.35">
      <c r="A475" s="7">
        <v>1476</v>
      </c>
      <c r="B475" s="1">
        <v>45425</v>
      </c>
      <c r="C475" s="2" t="s">
        <v>14</v>
      </c>
      <c r="D475" t="str">
        <f>_xlfn.XLOOKUP(Merged_Sales_Data!C475,PM[Product ID],PM[Product Name])</f>
        <v>Laptop Backpack</v>
      </c>
      <c r="E475" t="str">
        <f>VLOOKUP(C475,PM[],3,FALSE)</f>
        <v>Accessories</v>
      </c>
      <c r="F475">
        <f>_xlfn.XLOOKUP(C475,PM[Product ID],PM[Unit Price (₹)])</f>
        <v>1110</v>
      </c>
      <c r="G475" t="str">
        <f>_xlfn.XLOOKUP(Sales[[#This Row],[Order ID]],ST[Order ID],ST[Employee ID])</f>
        <v>E03</v>
      </c>
      <c r="H475" t="str">
        <f>_xlfn.XLOOKUP(G475,SM[Employee ID],SM[Salesperson])</f>
        <v>Rohan Mehta</v>
      </c>
      <c r="I475" t="str">
        <f>_xlfn.XLOOKUP(G475,SM[Employee ID],SM[Region])</f>
        <v>South</v>
      </c>
      <c r="J475" t="str">
        <f>_xlfn.XLOOKUP(G475,SM[Employee ID],SM[State/City])</f>
        <v>Bengaluru</v>
      </c>
      <c r="K475" s="2">
        <f>_xlfn.XLOOKUP(Sales[[#This Row],[Order ID]],ST[Order ID],ST[Units Sold])</f>
        <v>6</v>
      </c>
      <c r="L475">
        <f t="shared" si="7"/>
        <v>6660</v>
      </c>
    </row>
    <row r="476" spans="1:12" x14ac:dyDescent="0.35">
      <c r="A476" s="7">
        <v>1488</v>
      </c>
      <c r="B476" s="1">
        <v>45425</v>
      </c>
      <c r="C476" s="2" t="s">
        <v>11</v>
      </c>
      <c r="D476" t="str">
        <f>_xlfn.XLOOKUP(Merged_Sales_Data!C476,PM[Product ID],PM[Product Name])</f>
        <v>Bluetooth Speaker</v>
      </c>
      <c r="E476" t="str">
        <f>VLOOKUP(C476,PM[],3,FALSE)</f>
        <v>Electronics</v>
      </c>
      <c r="F476">
        <f>_xlfn.XLOOKUP(C476,PM[Product ID],PM[Unit Price (₹)])</f>
        <v>1430</v>
      </c>
      <c r="G476" t="str">
        <f>_xlfn.XLOOKUP(Sales[[#This Row],[Order ID]],ST[Order ID],ST[Employee ID])</f>
        <v>E02</v>
      </c>
      <c r="H476" t="str">
        <f>_xlfn.XLOOKUP(G476,SM[Employee ID],SM[Salesperson])</f>
        <v>Ishita Verma</v>
      </c>
      <c r="I476" t="str">
        <f>_xlfn.XLOOKUP(G476,SM[Employee ID],SM[Region])</f>
        <v>North</v>
      </c>
      <c r="J476" t="str">
        <f>_xlfn.XLOOKUP(G476,SM[Employee ID],SM[State/City])</f>
        <v>Chandigarh</v>
      </c>
      <c r="K476" s="2">
        <f>_xlfn.XLOOKUP(Sales[[#This Row],[Order ID]],ST[Order ID],ST[Units Sold])</f>
        <v>2</v>
      </c>
      <c r="L476">
        <f t="shared" si="7"/>
        <v>2860</v>
      </c>
    </row>
    <row r="477" spans="1:12" x14ac:dyDescent="0.35">
      <c r="A477" s="7">
        <v>1465</v>
      </c>
      <c r="B477" s="1">
        <v>45426</v>
      </c>
      <c r="C477" s="2" t="s">
        <v>12</v>
      </c>
      <c r="D477" t="str">
        <f>_xlfn.XLOOKUP(Merged_Sales_Data!C477,PM[Product ID],PM[Product Name])</f>
        <v>Bookshelf Unit</v>
      </c>
      <c r="E477" t="str">
        <f>VLOOKUP(C477,PM[],3,FALSE)</f>
        <v>Furniture</v>
      </c>
      <c r="F477">
        <f>_xlfn.XLOOKUP(C477,PM[Product ID],PM[Unit Price (₹)])</f>
        <v>3910</v>
      </c>
      <c r="G477" t="str">
        <f>_xlfn.XLOOKUP(Sales[[#This Row],[Order ID]],ST[Order ID],ST[Employee ID])</f>
        <v>E01</v>
      </c>
      <c r="H477" t="str">
        <f>_xlfn.XLOOKUP(G477,SM[Employee ID],SM[Salesperson])</f>
        <v>Aarav Sharma</v>
      </c>
      <c r="I477" t="str">
        <f>_xlfn.XLOOKUP(G477,SM[Employee ID],SM[Region])</f>
        <v>North</v>
      </c>
      <c r="J477" t="str">
        <f>_xlfn.XLOOKUP(G477,SM[Employee ID],SM[State/City])</f>
        <v>Lucknow</v>
      </c>
      <c r="K477" s="2">
        <f>_xlfn.XLOOKUP(Sales[[#This Row],[Order ID]],ST[Order ID],ST[Units Sold])</f>
        <v>8</v>
      </c>
      <c r="L477">
        <f t="shared" si="7"/>
        <v>31280</v>
      </c>
    </row>
    <row r="478" spans="1:12" x14ac:dyDescent="0.35">
      <c r="A478" s="7">
        <v>1464</v>
      </c>
      <c r="B478" s="1">
        <v>45427</v>
      </c>
      <c r="C478" s="2" t="s">
        <v>14</v>
      </c>
      <c r="D478" t="str">
        <f>_xlfn.XLOOKUP(Merged_Sales_Data!C478,PM[Product ID],PM[Product Name])</f>
        <v>Laptop Backpack</v>
      </c>
      <c r="E478" t="str">
        <f>VLOOKUP(C478,PM[],3,FALSE)</f>
        <v>Accessories</v>
      </c>
      <c r="F478">
        <f>_xlfn.XLOOKUP(C478,PM[Product ID],PM[Unit Price (₹)])</f>
        <v>1110</v>
      </c>
      <c r="G478" t="str">
        <f>_xlfn.XLOOKUP(Sales[[#This Row],[Order ID]],ST[Order ID],ST[Employee ID])</f>
        <v>E03</v>
      </c>
      <c r="H478" t="str">
        <f>_xlfn.XLOOKUP(G478,SM[Employee ID],SM[Salesperson])</f>
        <v>Rohan Mehta</v>
      </c>
      <c r="I478" t="str">
        <f>_xlfn.XLOOKUP(G478,SM[Employee ID],SM[Region])</f>
        <v>South</v>
      </c>
      <c r="J478" t="str">
        <f>_xlfn.XLOOKUP(G478,SM[Employee ID],SM[State/City])</f>
        <v>Bengaluru</v>
      </c>
      <c r="K478" s="2">
        <f>_xlfn.XLOOKUP(Sales[[#This Row],[Order ID]],ST[Order ID],ST[Units Sold])</f>
        <v>3</v>
      </c>
      <c r="L478">
        <f t="shared" si="7"/>
        <v>3330</v>
      </c>
    </row>
    <row r="479" spans="1:12" x14ac:dyDescent="0.35">
      <c r="A479" s="7">
        <v>1471</v>
      </c>
      <c r="B479" s="1">
        <v>45427</v>
      </c>
      <c r="C479" s="2" t="s">
        <v>18</v>
      </c>
      <c r="D479" t="str">
        <f>_xlfn.XLOOKUP(Merged_Sales_Data!C479,PM[Product ID],PM[Product Name])</f>
        <v>LED Monitor 24"</v>
      </c>
      <c r="E479" t="str">
        <f>VLOOKUP(C479,PM[],3,FALSE)</f>
        <v>Electronics</v>
      </c>
      <c r="F479">
        <f>_xlfn.XLOOKUP(C479,PM[Product ID],PM[Unit Price (₹)])</f>
        <v>7700</v>
      </c>
      <c r="G479" t="str">
        <f>_xlfn.XLOOKUP(Sales[[#This Row],[Order ID]],ST[Order ID],ST[Employee ID])</f>
        <v>E01</v>
      </c>
      <c r="H479" t="str">
        <f>_xlfn.XLOOKUP(G479,SM[Employee ID],SM[Salesperson])</f>
        <v>Aarav Sharma</v>
      </c>
      <c r="I479" t="str">
        <f>_xlfn.XLOOKUP(G479,SM[Employee ID],SM[Region])</f>
        <v>North</v>
      </c>
      <c r="J479" t="str">
        <f>_xlfn.XLOOKUP(G479,SM[Employee ID],SM[State/City])</f>
        <v>Lucknow</v>
      </c>
      <c r="K479" s="2">
        <f>_xlfn.XLOOKUP(Sales[[#This Row],[Order ID]],ST[Order ID],ST[Units Sold])</f>
        <v>10</v>
      </c>
      <c r="L479">
        <f t="shared" si="7"/>
        <v>77000</v>
      </c>
    </row>
    <row r="480" spans="1:12" x14ac:dyDescent="0.35">
      <c r="A480" s="7">
        <v>1482</v>
      </c>
      <c r="B480" s="1">
        <v>45430</v>
      </c>
      <c r="C480" s="2" t="s">
        <v>12</v>
      </c>
      <c r="D480" t="str">
        <f>_xlfn.XLOOKUP(Merged_Sales_Data!C480,PM[Product ID],PM[Product Name])</f>
        <v>Bookshelf Unit</v>
      </c>
      <c r="E480" t="str">
        <f>VLOOKUP(C480,PM[],3,FALSE)</f>
        <v>Furniture</v>
      </c>
      <c r="F480">
        <f>_xlfn.XLOOKUP(C480,PM[Product ID],PM[Unit Price (₹)])</f>
        <v>3910</v>
      </c>
      <c r="G480" t="str">
        <f>_xlfn.XLOOKUP(Sales[[#This Row],[Order ID]],ST[Order ID],ST[Employee ID])</f>
        <v>E06</v>
      </c>
      <c r="H480" t="str">
        <f>_xlfn.XLOOKUP(G480,SM[Employee ID],SM[Salesperson])</f>
        <v>Sneha Roy</v>
      </c>
      <c r="I480" t="str">
        <f>_xlfn.XLOOKUP(G480,SM[Employee ID],SM[Region])</f>
        <v>East</v>
      </c>
      <c r="J480" t="str">
        <f>_xlfn.XLOOKUP(G480,SM[Employee ID],SM[State/City])</f>
        <v>Kolkata</v>
      </c>
      <c r="K480" s="2">
        <f>_xlfn.XLOOKUP(Sales[[#This Row],[Order ID]],ST[Order ID],ST[Units Sold])</f>
        <v>1</v>
      </c>
      <c r="L480">
        <f t="shared" si="7"/>
        <v>3910</v>
      </c>
    </row>
    <row r="481" spans="1:12" x14ac:dyDescent="0.35">
      <c r="A481" s="7">
        <v>1486</v>
      </c>
      <c r="B481" s="1">
        <v>45430</v>
      </c>
      <c r="C481" s="2" t="s">
        <v>21</v>
      </c>
      <c r="D481" t="str">
        <f>_xlfn.XLOOKUP(Merged_Sales_Data!C481,PM[Product ID],PM[Product Name])</f>
        <v>Wireless Mouse</v>
      </c>
      <c r="E481" t="str">
        <f>VLOOKUP(C481,PM[],3,FALSE)</f>
        <v>Electronics</v>
      </c>
      <c r="F481">
        <f>_xlfn.XLOOKUP(C481,PM[Product ID],PM[Unit Price (₹)])</f>
        <v>780</v>
      </c>
      <c r="G481" t="str">
        <f>_xlfn.XLOOKUP(Sales[[#This Row],[Order ID]],ST[Order ID],ST[Employee ID])</f>
        <v>E08</v>
      </c>
      <c r="H481" t="str">
        <f>_xlfn.XLOOKUP(G481,SM[Employee ID],SM[Salesperson])</f>
        <v>Neha Joshi</v>
      </c>
      <c r="I481" t="str">
        <f>_xlfn.XLOOKUP(G481,SM[Employee ID],SM[Region])</f>
        <v>West</v>
      </c>
      <c r="J481" t="str">
        <f>_xlfn.XLOOKUP(G481,SM[Employee ID],SM[State/City])</f>
        <v>Ahmedabad</v>
      </c>
      <c r="K481" s="2">
        <f>_xlfn.XLOOKUP(Sales[[#This Row],[Order ID]],ST[Order ID],ST[Units Sold])</f>
        <v>3</v>
      </c>
      <c r="L481">
        <f t="shared" si="7"/>
        <v>2340</v>
      </c>
    </row>
    <row r="482" spans="1:12" x14ac:dyDescent="0.35">
      <c r="A482" s="7">
        <v>1466</v>
      </c>
      <c r="B482" s="1">
        <v>45434</v>
      </c>
      <c r="C482" s="2" t="s">
        <v>21</v>
      </c>
      <c r="D482" t="str">
        <f>_xlfn.XLOOKUP(Merged_Sales_Data!C482,PM[Product ID],PM[Product Name])</f>
        <v>Wireless Mouse</v>
      </c>
      <c r="E482" t="str">
        <f>VLOOKUP(C482,PM[],3,FALSE)</f>
        <v>Electronics</v>
      </c>
      <c r="F482">
        <f>_xlfn.XLOOKUP(C482,PM[Product ID],PM[Unit Price (₹)])</f>
        <v>780</v>
      </c>
      <c r="G482" t="str">
        <f>_xlfn.XLOOKUP(Sales[[#This Row],[Order ID]],ST[Order ID],ST[Employee ID])</f>
        <v>E05</v>
      </c>
      <c r="H482" t="str">
        <f>_xlfn.XLOOKUP(G482,SM[Employee ID],SM[Salesperson])</f>
        <v>Karan Malhotra</v>
      </c>
      <c r="I482" t="str">
        <f>_xlfn.XLOOKUP(G482,SM[Employee ID],SM[Region])</f>
        <v>East</v>
      </c>
      <c r="J482" t="str">
        <f>_xlfn.XLOOKUP(G482,SM[Employee ID],SM[State/City])</f>
        <v>Kolkata</v>
      </c>
      <c r="K482" s="2">
        <f>_xlfn.XLOOKUP(Sales[[#This Row],[Order ID]],ST[Order ID],ST[Units Sold])</f>
        <v>1</v>
      </c>
      <c r="L482">
        <f t="shared" si="7"/>
        <v>780</v>
      </c>
    </row>
    <row r="483" spans="1:12" x14ac:dyDescent="0.35">
      <c r="A483" s="7">
        <v>1491</v>
      </c>
      <c r="B483" s="1">
        <v>45434</v>
      </c>
      <c r="C483" s="2" t="s">
        <v>14</v>
      </c>
      <c r="D483" t="str">
        <f>_xlfn.XLOOKUP(Merged_Sales_Data!C483,PM[Product ID],PM[Product Name])</f>
        <v>Laptop Backpack</v>
      </c>
      <c r="E483" t="str">
        <f>VLOOKUP(C483,PM[],3,FALSE)</f>
        <v>Accessories</v>
      </c>
      <c r="F483">
        <f>_xlfn.XLOOKUP(C483,PM[Product ID],PM[Unit Price (₹)])</f>
        <v>1110</v>
      </c>
      <c r="G483" t="str">
        <f>_xlfn.XLOOKUP(Sales[[#This Row],[Order ID]],ST[Order ID],ST[Employee ID])</f>
        <v>E02</v>
      </c>
      <c r="H483" t="str">
        <f>_xlfn.XLOOKUP(G483,SM[Employee ID],SM[Salesperson])</f>
        <v>Ishita Verma</v>
      </c>
      <c r="I483" t="str">
        <f>_xlfn.XLOOKUP(G483,SM[Employee ID],SM[Region])</f>
        <v>North</v>
      </c>
      <c r="J483" t="str">
        <f>_xlfn.XLOOKUP(G483,SM[Employee ID],SM[State/City])</f>
        <v>Chandigarh</v>
      </c>
      <c r="K483" s="2">
        <f>_xlfn.XLOOKUP(Sales[[#This Row],[Order ID]],ST[Order ID],ST[Units Sold])</f>
        <v>5</v>
      </c>
      <c r="L483">
        <f t="shared" si="7"/>
        <v>5550</v>
      </c>
    </row>
    <row r="484" spans="1:12" x14ac:dyDescent="0.35">
      <c r="A484" s="7">
        <v>1477</v>
      </c>
      <c r="B484" s="1">
        <v>45435</v>
      </c>
      <c r="C484" s="2" t="s">
        <v>20</v>
      </c>
      <c r="D484" t="str">
        <f>_xlfn.XLOOKUP(Merged_Sales_Data!C484,PM[Product ID],PM[Product Name])</f>
        <v>Standing Desk</v>
      </c>
      <c r="E484" t="str">
        <f>VLOOKUP(C484,PM[],3,FALSE)</f>
        <v>Office Supplies</v>
      </c>
      <c r="F484">
        <f>_xlfn.XLOOKUP(C484,PM[Product ID],PM[Unit Price (₹)])</f>
        <v>11010</v>
      </c>
      <c r="G484" t="str">
        <f>_xlfn.XLOOKUP(Sales[[#This Row],[Order ID]],ST[Order ID],ST[Employee ID])</f>
        <v>E02</v>
      </c>
      <c r="H484" t="str">
        <f>_xlfn.XLOOKUP(G484,SM[Employee ID],SM[Salesperson])</f>
        <v>Ishita Verma</v>
      </c>
      <c r="I484" t="str">
        <f>_xlfn.XLOOKUP(G484,SM[Employee ID],SM[Region])</f>
        <v>North</v>
      </c>
      <c r="J484" t="str">
        <f>_xlfn.XLOOKUP(G484,SM[Employee ID],SM[State/City])</f>
        <v>Chandigarh</v>
      </c>
      <c r="K484" s="2">
        <f>_xlfn.XLOOKUP(Sales[[#This Row],[Order ID]],ST[Order ID],ST[Units Sold])</f>
        <v>2</v>
      </c>
      <c r="L484">
        <f t="shared" si="7"/>
        <v>22020</v>
      </c>
    </row>
    <row r="485" spans="1:12" x14ac:dyDescent="0.35">
      <c r="A485" s="7">
        <v>1483</v>
      </c>
      <c r="B485" s="1">
        <v>45435</v>
      </c>
      <c r="C485" s="2" t="s">
        <v>20</v>
      </c>
      <c r="D485" t="str">
        <f>_xlfn.XLOOKUP(Merged_Sales_Data!C485,PM[Product ID],PM[Product Name])</f>
        <v>Standing Desk</v>
      </c>
      <c r="E485" t="str">
        <f>VLOOKUP(C485,PM[],3,FALSE)</f>
        <v>Office Supplies</v>
      </c>
      <c r="F485">
        <f>_xlfn.XLOOKUP(C485,PM[Product ID],PM[Unit Price (₹)])</f>
        <v>11010</v>
      </c>
      <c r="G485" t="str">
        <f>_xlfn.XLOOKUP(Sales[[#This Row],[Order ID]],ST[Order ID],ST[Employee ID])</f>
        <v>E05</v>
      </c>
      <c r="H485" t="str">
        <f>_xlfn.XLOOKUP(G485,SM[Employee ID],SM[Salesperson])</f>
        <v>Karan Malhotra</v>
      </c>
      <c r="I485" t="str">
        <f>_xlfn.XLOOKUP(G485,SM[Employee ID],SM[Region])</f>
        <v>East</v>
      </c>
      <c r="J485" t="str">
        <f>_xlfn.XLOOKUP(G485,SM[Employee ID],SM[State/City])</f>
        <v>Kolkata</v>
      </c>
      <c r="K485" s="2">
        <f>_xlfn.XLOOKUP(Sales[[#This Row],[Order ID]],ST[Order ID],ST[Units Sold])</f>
        <v>1</v>
      </c>
      <c r="L485">
        <f t="shared" si="7"/>
        <v>11010</v>
      </c>
    </row>
    <row r="486" spans="1:12" x14ac:dyDescent="0.35">
      <c r="A486" s="7">
        <v>1475</v>
      </c>
      <c r="B486" s="1">
        <v>45436</v>
      </c>
      <c r="C486" s="2" t="s">
        <v>11</v>
      </c>
      <c r="D486" t="str">
        <f>_xlfn.XLOOKUP(Merged_Sales_Data!C486,PM[Product ID],PM[Product Name])</f>
        <v>Bluetooth Speaker</v>
      </c>
      <c r="E486" t="str">
        <f>VLOOKUP(C486,PM[],3,FALSE)</f>
        <v>Electronics</v>
      </c>
      <c r="F486">
        <f>_xlfn.XLOOKUP(C486,PM[Product ID],PM[Unit Price (₹)])</f>
        <v>1430</v>
      </c>
      <c r="G486" t="str">
        <f>_xlfn.XLOOKUP(Sales[[#This Row],[Order ID]],ST[Order ID],ST[Employee ID])</f>
        <v>E04</v>
      </c>
      <c r="H486" t="str">
        <f>_xlfn.XLOOKUP(G486,SM[Employee ID],SM[Salesperson])</f>
        <v>Priya Nair</v>
      </c>
      <c r="I486" t="str">
        <f>_xlfn.XLOOKUP(G486,SM[Employee ID],SM[Region])</f>
        <v>South</v>
      </c>
      <c r="J486" t="str">
        <f>_xlfn.XLOOKUP(G486,SM[Employee ID],SM[State/City])</f>
        <v>Bengaluru</v>
      </c>
      <c r="K486" s="2">
        <f>_xlfn.XLOOKUP(Sales[[#This Row],[Order ID]],ST[Order ID],ST[Units Sold])</f>
        <v>1</v>
      </c>
      <c r="L486">
        <f t="shared" si="7"/>
        <v>1430</v>
      </c>
    </row>
    <row r="487" spans="1:12" x14ac:dyDescent="0.35">
      <c r="A487" s="7">
        <v>1472</v>
      </c>
      <c r="B487" s="1">
        <v>45437</v>
      </c>
      <c r="C487" s="2" t="s">
        <v>12</v>
      </c>
      <c r="D487" t="str">
        <f>_xlfn.XLOOKUP(Merged_Sales_Data!C487,PM[Product ID],PM[Product Name])</f>
        <v>Bookshelf Unit</v>
      </c>
      <c r="E487" t="str">
        <f>VLOOKUP(C487,PM[],3,FALSE)</f>
        <v>Furniture</v>
      </c>
      <c r="F487">
        <f>_xlfn.XLOOKUP(C487,PM[Product ID],PM[Unit Price (₹)])</f>
        <v>3910</v>
      </c>
      <c r="G487" t="str">
        <f>_xlfn.XLOOKUP(Sales[[#This Row],[Order ID]],ST[Order ID],ST[Employee ID])</f>
        <v>E06</v>
      </c>
      <c r="H487" t="str">
        <f>_xlfn.XLOOKUP(G487,SM[Employee ID],SM[Salesperson])</f>
        <v>Sneha Roy</v>
      </c>
      <c r="I487" t="str">
        <f>_xlfn.XLOOKUP(G487,SM[Employee ID],SM[Region])</f>
        <v>East</v>
      </c>
      <c r="J487" t="str">
        <f>_xlfn.XLOOKUP(G487,SM[Employee ID],SM[State/City])</f>
        <v>Kolkata</v>
      </c>
      <c r="K487" s="2">
        <f>_xlfn.XLOOKUP(Sales[[#This Row],[Order ID]],ST[Order ID],ST[Units Sold])</f>
        <v>5</v>
      </c>
      <c r="L487">
        <f t="shared" si="7"/>
        <v>19550</v>
      </c>
    </row>
    <row r="488" spans="1:12" x14ac:dyDescent="0.35">
      <c r="A488" s="7">
        <v>1489</v>
      </c>
      <c r="B488" s="1">
        <v>45437</v>
      </c>
      <c r="C488" s="2" t="s">
        <v>8</v>
      </c>
      <c r="D488" t="str">
        <f>_xlfn.XLOOKUP(Merged_Sales_Data!C488,PM[Product ID],PM[Product Name])</f>
        <v>USB-C Hub</v>
      </c>
      <c r="E488" t="str">
        <f>VLOOKUP(C488,PM[],3,FALSE)</f>
        <v>Accessories</v>
      </c>
      <c r="F488">
        <f>_xlfn.XLOOKUP(C488,PM[Product ID],PM[Unit Price (₹)])</f>
        <v>880</v>
      </c>
      <c r="G488" t="str">
        <f>_xlfn.XLOOKUP(Sales[[#This Row],[Order ID]],ST[Order ID],ST[Employee ID])</f>
        <v>E08</v>
      </c>
      <c r="H488" t="str">
        <f>_xlfn.XLOOKUP(G488,SM[Employee ID],SM[Salesperson])</f>
        <v>Neha Joshi</v>
      </c>
      <c r="I488" t="str">
        <f>_xlfn.XLOOKUP(G488,SM[Employee ID],SM[Region])</f>
        <v>West</v>
      </c>
      <c r="J488" t="str">
        <f>_xlfn.XLOOKUP(G488,SM[Employee ID],SM[State/City])</f>
        <v>Ahmedabad</v>
      </c>
      <c r="K488" s="2">
        <f>_xlfn.XLOOKUP(Sales[[#This Row],[Order ID]],ST[Order ID],ST[Units Sold])</f>
        <v>4</v>
      </c>
      <c r="L488">
        <f t="shared" si="7"/>
        <v>3520</v>
      </c>
    </row>
    <row r="489" spans="1:12" x14ac:dyDescent="0.35">
      <c r="A489" s="7">
        <v>1467</v>
      </c>
      <c r="B489" s="1">
        <v>45438</v>
      </c>
      <c r="C489" s="2" t="s">
        <v>12</v>
      </c>
      <c r="D489" t="str">
        <f>_xlfn.XLOOKUP(Merged_Sales_Data!C489,PM[Product ID],PM[Product Name])</f>
        <v>Bookshelf Unit</v>
      </c>
      <c r="E489" t="str">
        <f>VLOOKUP(C489,PM[],3,FALSE)</f>
        <v>Furniture</v>
      </c>
      <c r="F489">
        <f>_xlfn.XLOOKUP(C489,PM[Product ID],PM[Unit Price (₹)])</f>
        <v>3910</v>
      </c>
      <c r="G489" t="str">
        <f>_xlfn.XLOOKUP(Sales[[#This Row],[Order ID]],ST[Order ID],ST[Employee ID])</f>
        <v>E07</v>
      </c>
      <c r="H489" t="str">
        <f>_xlfn.XLOOKUP(G489,SM[Employee ID],SM[Salesperson])</f>
        <v>Aditya Kapoor</v>
      </c>
      <c r="I489" t="str">
        <f>_xlfn.XLOOKUP(G489,SM[Employee ID],SM[Region])</f>
        <v>West</v>
      </c>
      <c r="J489" t="str">
        <f>_xlfn.XLOOKUP(G489,SM[Employee ID],SM[State/City])</f>
        <v>Mumbai</v>
      </c>
      <c r="K489" s="2">
        <f>_xlfn.XLOOKUP(Sales[[#This Row],[Order ID]],ST[Order ID],ST[Units Sold])</f>
        <v>6</v>
      </c>
      <c r="L489">
        <f t="shared" si="7"/>
        <v>23460</v>
      </c>
    </row>
    <row r="490" spans="1:12" x14ac:dyDescent="0.35">
      <c r="A490" s="7">
        <v>1468</v>
      </c>
      <c r="B490" s="1">
        <v>45440</v>
      </c>
      <c r="C490" s="2" t="s">
        <v>21</v>
      </c>
      <c r="D490" t="str">
        <f>_xlfn.XLOOKUP(Merged_Sales_Data!C490,PM[Product ID],PM[Product Name])</f>
        <v>Wireless Mouse</v>
      </c>
      <c r="E490" t="str">
        <f>VLOOKUP(C490,PM[],3,FALSE)</f>
        <v>Electronics</v>
      </c>
      <c r="F490">
        <f>_xlfn.XLOOKUP(C490,PM[Product ID],PM[Unit Price (₹)])</f>
        <v>780</v>
      </c>
      <c r="G490" t="str">
        <f>_xlfn.XLOOKUP(Sales[[#This Row],[Order ID]],ST[Order ID],ST[Employee ID])</f>
        <v>E03</v>
      </c>
      <c r="H490" t="str">
        <f>_xlfn.XLOOKUP(G490,SM[Employee ID],SM[Salesperson])</f>
        <v>Rohan Mehta</v>
      </c>
      <c r="I490" t="str">
        <f>_xlfn.XLOOKUP(G490,SM[Employee ID],SM[Region])</f>
        <v>South</v>
      </c>
      <c r="J490" t="str">
        <f>_xlfn.XLOOKUP(G490,SM[Employee ID],SM[State/City])</f>
        <v>Bengaluru</v>
      </c>
      <c r="K490" s="2">
        <f>_xlfn.XLOOKUP(Sales[[#This Row],[Order ID]],ST[Order ID],ST[Units Sold])</f>
        <v>1</v>
      </c>
      <c r="L490">
        <f t="shared" si="7"/>
        <v>780</v>
      </c>
    </row>
    <row r="491" spans="1:12" x14ac:dyDescent="0.35">
      <c r="A491" s="7">
        <v>1480</v>
      </c>
      <c r="B491" s="1">
        <v>45441</v>
      </c>
      <c r="C491" s="2" t="s">
        <v>14</v>
      </c>
      <c r="D491" t="str">
        <f>_xlfn.XLOOKUP(Merged_Sales_Data!C491,PM[Product ID],PM[Product Name])</f>
        <v>Laptop Backpack</v>
      </c>
      <c r="E491" t="str">
        <f>VLOOKUP(C491,PM[],3,FALSE)</f>
        <v>Accessories</v>
      </c>
      <c r="F491">
        <f>_xlfn.XLOOKUP(C491,PM[Product ID],PM[Unit Price (₹)])</f>
        <v>1110</v>
      </c>
      <c r="G491" t="str">
        <f>_xlfn.XLOOKUP(Sales[[#This Row],[Order ID]],ST[Order ID],ST[Employee ID])</f>
        <v>E02</v>
      </c>
      <c r="H491" t="str">
        <f>_xlfn.XLOOKUP(G491,SM[Employee ID],SM[Salesperson])</f>
        <v>Ishita Verma</v>
      </c>
      <c r="I491" t="str">
        <f>_xlfn.XLOOKUP(G491,SM[Employee ID],SM[Region])</f>
        <v>North</v>
      </c>
      <c r="J491" t="str">
        <f>_xlfn.XLOOKUP(G491,SM[Employee ID],SM[State/City])</f>
        <v>Chandigarh</v>
      </c>
      <c r="K491" s="2">
        <f>_xlfn.XLOOKUP(Sales[[#This Row],[Order ID]],ST[Order ID],ST[Units Sold])</f>
        <v>1</v>
      </c>
      <c r="L491">
        <f t="shared" si="7"/>
        <v>1110</v>
      </c>
    </row>
    <row r="492" spans="1:12" x14ac:dyDescent="0.35">
      <c r="A492" s="7">
        <v>1481</v>
      </c>
      <c r="B492" s="1">
        <v>45443</v>
      </c>
      <c r="C492" s="2" t="s">
        <v>11</v>
      </c>
      <c r="D492" t="str">
        <f>_xlfn.XLOOKUP(Merged_Sales_Data!C492,PM[Product ID],PM[Product Name])</f>
        <v>Bluetooth Speaker</v>
      </c>
      <c r="E492" t="str">
        <f>VLOOKUP(C492,PM[],3,FALSE)</f>
        <v>Electronics</v>
      </c>
      <c r="F492">
        <f>_xlfn.XLOOKUP(C492,PM[Product ID],PM[Unit Price (₹)])</f>
        <v>1430</v>
      </c>
      <c r="G492" t="str">
        <f>_xlfn.XLOOKUP(Sales[[#This Row],[Order ID]],ST[Order ID],ST[Employee ID])</f>
        <v>E08</v>
      </c>
      <c r="H492" t="str">
        <f>_xlfn.XLOOKUP(G492,SM[Employee ID],SM[Salesperson])</f>
        <v>Neha Joshi</v>
      </c>
      <c r="I492" t="str">
        <f>_xlfn.XLOOKUP(G492,SM[Employee ID],SM[Region])</f>
        <v>West</v>
      </c>
      <c r="J492" t="str">
        <f>_xlfn.XLOOKUP(G492,SM[Employee ID],SM[State/City])</f>
        <v>Ahmedabad</v>
      </c>
      <c r="K492" s="2">
        <f>_xlfn.XLOOKUP(Sales[[#This Row],[Order ID]],ST[Order ID],ST[Units Sold])</f>
        <v>10</v>
      </c>
      <c r="L492">
        <f t="shared" si="7"/>
        <v>14300</v>
      </c>
    </row>
    <row r="493" spans="1:12" x14ac:dyDescent="0.35">
      <c r="A493" s="7">
        <v>1517</v>
      </c>
      <c r="B493" s="1">
        <v>45444</v>
      </c>
      <c r="C493" s="2" t="s">
        <v>20</v>
      </c>
      <c r="D493" t="str">
        <f>_xlfn.XLOOKUP(Merged_Sales_Data!C493,PM[Product ID],PM[Product Name])</f>
        <v>Standing Desk</v>
      </c>
      <c r="E493" t="str">
        <f>VLOOKUP(C493,PM[],3,FALSE)</f>
        <v>Office Supplies</v>
      </c>
      <c r="F493">
        <f>_xlfn.XLOOKUP(C493,PM[Product ID],PM[Unit Price (₹)])</f>
        <v>11010</v>
      </c>
      <c r="G493" t="str">
        <f>_xlfn.XLOOKUP(Sales[[#This Row],[Order ID]],ST[Order ID],ST[Employee ID])</f>
        <v>E08</v>
      </c>
      <c r="H493" t="str">
        <f>_xlfn.XLOOKUP(G493,SM[Employee ID],SM[Salesperson])</f>
        <v>Neha Joshi</v>
      </c>
      <c r="I493" t="str">
        <f>_xlfn.XLOOKUP(G493,SM[Employee ID],SM[Region])</f>
        <v>West</v>
      </c>
      <c r="J493" t="str">
        <f>_xlfn.XLOOKUP(G493,SM[Employee ID],SM[State/City])</f>
        <v>Ahmedabad</v>
      </c>
      <c r="K493" s="2">
        <f>_xlfn.XLOOKUP(Sales[[#This Row],[Order ID]],ST[Order ID],ST[Units Sold])</f>
        <v>5</v>
      </c>
      <c r="L493">
        <f t="shared" si="7"/>
        <v>55050</v>
      </c>
    </row>
    <row r="494" spans="1:12" x14ac:dyDescent="0.35">
      <c r="A494" s="7">
        <v>1521</v>
      </c>
      <c r="B494" s="1">
        <v>45444</v>
      </c>
      <c r="C494" s="2" t="s">
        <v>20</v>
      </c>
      <c r="D494" t="str">
        <f>_xlfn.XLOOKUP(Merged_Sales_Data!C494,PM[Product ID],PM[Product Name])</f>
        <v>Standing Desk</v>
      </c>
      <c r="E494" t="str">
        <f>VLOOKUP(C494,PM[],3,FALSE)</f>
        <v>Office Supplies</v>
      </c>
      <c r="F494">
        <f>_xlfn.XLOOKUP(C494,PM[Product ID],PM[Unit Price (₹)])</f>
        <v>11010</v>
      </c>
      <c r="G494" t="str">
        <f>_xlfn.XLOOKUP(Sales[[#This Row],[Order ID]],ST[Order ID],ST[Employee ID])</f>
        <v>E08</v>
      </c>
      <c r="H494" t="str">
        <f>_xlfn.XLOOKUP(G494,SM[Employee ID],SM[Salesperson])</f>
        <v>Neha Joshi</v>
      </c>
      <c r="I494" t="str">
        <f>_xlfn.XLOOKUP(G494,SM[Employee ID],SM[Region])</f>
        <v>West</v>
      </c>
      <c r="J494" t="str">
        <f>_xlfn.XLOOKUP(G494,SM[Employee ID],SM[State/City])</f>
        <v>Ahmedabad</v>
      </c>
      <c r="K494" s="2">
        <f>_xlfn.XLOOKUP(Sales[[#This Row],[Order ID]],ST[Order ID],ST[Units Sold])</f>
        <v>6</v>
      </c>
      <c r="L494">
        <f t="shared" si="7"/>
        <v>66060</v>
      </c>
    </row>
    <row r="495" spans="1:12" x14ac:dyDescent="0.35">
      <c r="A495" s="7">
        <v>1501</v>
      </c>
      <c r="B495" s="1">
        <v>45446</v>
      </c>
      <c r="C495" s="2" t="s">
        <v>21</v>
      </c>
      <c r="D495" t="str">
        <f>_xlfn.XLOOKUP(Merged_Sales_Data!C495,PM[Product ID],PM[Product Name])</f>
        <v>Wireless Mouse</v>
      </c>
      <c r="E495" t="str">
        <f>VLOOKUP(C495,PM[],3,FALSE)</f>
        <v>Electronics</v>
      </c>
      <c r="F495">
        <f>_xlfn.XLOOKUP(C495,PM[Product ID],PM[Unit Price (₹)])</f>
        <v>780</v>
      </c>
      <c r="G495" t="str">
        <f>_xlfn.XLOOKUP(Sales[[#This Row],[Order ID]],ST[Order ID],ST[Employee ID])</f>
        <v>E06</v>
      </c>
      <c r="H495" t="str">
        <f>_xlfn.XLOOKUP(G495,SM[Employee ID],SM[Salesperson])</f>
        <v>Sneha Roy</v>
      </c>
      <c r="I495" t="str">
        <f>_xlfn.XLOOKUP(G495,SM[Employee ID],SM[Region])</f>
        <v>East</v>
      </c>
      <c r="J495" t="str">
        <f>_xlfn.XLOOKUP(G495,SM[Employee ID],SM[State/City])</f>
        <v>Kolkata</v>
      </c>
      <c r="K495" s="2">
        <f>_xlfn.XLOOKUP(Sales[[#This Row],[Order ID]],ST[Order ID],ST[Units Sold])</f>
        <v>1</v>
      </c>
      <c r="L495">
        <f t="shared" si="7"/>
        <v>780</v>
      </c>
    </row>
    <row r="496" spans="1:12" x14ac:dyDescent="0.35">
      <c r="A496" s="7">
        <v>1505</v>
      </c>
      <c r="B496" s="1">
        <v>45446</v>
      </c>
      <c r="C496" s="2" t="s">
        <v>20</v>
      </c>
      <c r="D496" t="str">
        <f>_xlfn.XLOOKUP(Merged_Sales_Data!C496,PM[Product ID],PM[Product Name])</f>
        <v>Standing Desk</v>
      </c>
      <c r="E496" t="str">
        <f>VLOOKUP(C496,PM[],3,FALSE)</f>
        <v>Office Supplies</v>
      </c>
      <c r="F496">
        <f>_xlfn.XLOOKUP(C496,PM[Product ID],PM[Unit Price (₹)])</f>
        <v>11010</v>
      </c>
      <c r="G496" t="str">
        <f>_xlfn.XLOOKUP(Sales[[#This Row],[Order ID]],ST[Order ID],ST[Employee ID])</f>
        <v>E07</v>
      </c>
      <c r="H496" t="str">
        <f>_xlfn.XLOOKUP(G496,SM[Employee ID],SM[Salesperson])</f>
        <v>Aditya Kapoor</v>
      </c>
      <c r="I496" t="str">
        <f>_xlfn.XLOOKUP(G496,SM[Employee ID],SM[Region])</f>
        <v>West</v>
      </c>
      <c r="J496" t="str">
        <f>_xlfn.XLOOKUP(G496,SM[Employee ID],SM[State/City])</f>
        <v>Mumbai</v>
      </c>
      <c r="K496" s="2">
        <f>_xlfn.XLOOKUP(Sales[[#This Row],[Order ID]],ST[Order ID],ST[Units Sold])</f>
        <v>5</v>
      </c>
      <c r="L496">
        <f t="shared" si="7"/>
        <v>55050</v>
      </c>
    </row>
    <row r="497" spans="1:12" x14ac:dyDescent="0.35">
      <c r="A497" s="7">
        <v>1510</v>
      </c>
      <c r="B497" s="1">
        <v>45447</v>
      </c>
      <c r="C497" s="2" t="s">
        <v>8</v>
      </c>
      <c r="D497" t="str">
        <f>_xlfn.XLOOKUP(Merged_Sales_Data!C497,PM[Product ID],PM[Product Name])</f>
        <v>USB-C Hub</v>
      </c>
      <c r="E497" t="str">
        <f>VLOOKUP(C497,PM[],3,FALSE)</f>
        <v>Accessories</v>
      </c>
      <c r="F497">
        <f>_xlfn.XLOOKUP(C497,PM[Product ID],PM[Unit Price (₹)])</f>
        <v>880</v>
      </c>
      <c r="G497" t="str">
        <f>_xlfn.XLOOKUP(Sales[[#This Row],[Order ID]],ST[Order ID],ST[Employee ID])</f>
        <v>E06</v>
      </c>
      <c r="H497" t="str">
        <f>_xlfn.XLOOKUP(G497,SM[Employee ID],SM[Salesperson])</f>
        <v>Sneha Roy</v>
      </c>
      <c r="I497" t="str">
        <f>_xlfn.XLOOKUP(G497,SM[Employee ID],SM[Region])</f>
        <v>East</v>
      </c>
      <c r="J497" t="str">
        <f>_xlfn.XLOOKUP(G497,SM[Employee ID],SM[State/City])</f>
        <v>Kolkata</v>
      </c>
      <c r="K497" s="2">
        <f>_xlfn.XLOOKUP(Sales[[#This Row],[Order ID]],ST[Order ID],ST[Units Sold])</f>
        <v>6</v>
      </c>
      <c r="L497">
        <f t="shared" si="7"/>
        <v>5280</v>
      </c>
    </row>
    <row r="498" spans="1:12" x14ac:dyDescent="0.35">
      <c r="A498" s="7">
        <v>1511</v>
      </c>
      <c r="B498" s="1">
        <v>45447</v>
      </c>
      <c r="C498" s="2" t="s">
        <v>5</v>
      </c>
      <c r="D498" t="str">
        <f>_xlfn.XLOOKUP(Merged_Sales_Data!C498,PM[Product ID],PM[Product Name])</f>
        <v>Ergo Office Chair</v>
      </c>
      <c r="E498" t="str">
        <f>VLOOKUP(C498,PM[],3,FALSE)</f>
        <v>Office Supplies</v>
      </c>
      <c r="F498">
        <f>_xlfn.XLOOKUP(C498,PM[Product ID],PM[Unit Price (₹)])</f>
        <v>6750</v>
      </c>
      <c r="G498" t="str">
        <f>_xlfn.XLOOKUP(Sales[[#This Row],[Order ID]],ST[Order ID],ST[Employee ID])</f>
        <v>E06</v>
      </c>
      <c r="H498" t="str">
        <f>_xlfn.XLOOKUP(G498,SM[Employee ID],SM[Salesperson])</f>
        <v>Sneha Roy</v>
      </c>
      <c r="I498" t="str">
        <f>_xlfn.XLOOKUP(G498,SM[Employee ID],SM[Region])</f>
        <v>East</v>
      </c>
      <c r="J498" t="str">
        <f>_xlfn.XLOOKUP(G498,SM[Employee ID],SM[State/City])</f>
        <v>Kolkata</v>
      </c>
      <c r="K498" s="2">
        <f>_xlfn.XLOOKUP(Sales[[#This Row],[Order ID]],ST[Order ID],ST[Units Sold])</f>
        <v>5</v>
      </c>
      <c r="L498">
        <f t="shared" si="7"/>
        <v>33750</v>
      </c>
    </row>
    <row r="499" spans="1:12" x14ac:dyDescent="0.35">
      <c r="A499" s="7">
        <v>1494</v>
      </c>
      <c r="B499" s="1">
        <v>45448</v>
      </c>
      <c r="C499" s="2" t="s">
        <v>11</v>
      </c>
      <c r="D499" t="str">
        <f>_xlfn.XLOOKUP(Merged_Sales_Data!C499,PM[Product ID],PM[Product Name])</f>
        <v>Bluetooth Speaker</v>
      </c>
      <c r="E499" t="str">
        <f>VLOOKUP(C499,PM[],3,FALSE)</f>
        <v>Electronics</v>
      </c>
      <c r="F499">
        <f>_xlfn.XLOOKUP(C499,PM[Product ID],PM[Unit Price (₹)])</f>
        <v>1430</v>
      </c>
      <c r="G499" t="str">
        <f>_xlfn.XLOOKUP(Sales[[#This Row],[Order ID]],ST[Order ID],ST[Employee ID])</f>
        <v>E01</v>
      </c>
      <c r="H499" t="str">
        <f>_xlfn.XLOOKUP(G499,SM[Employee ID],SM[Salesperson])</f>
        <v>Aarav Sharma</v>
      </c>
      <c r="I499" t="str">
        <f>_xlfn.XLOOKUP(G499,SM[Employee ID],SM[Region])</f>
        <v>North</v>
      </c>
      <c r="J499" t="str">
        <f>_xlfn.XLOOKUP(G499,SM[Employee ID],SM[State/City])</f>
        <v>Lucknow</v>
      </c>
      <c r="K499" s="2">
        <f>_xlfn.XLOOKUP(Sales[[#This Row],[Order ID]],ST[Order ID],ST[Units Sold])</f>
        <v>6</v>
      </c>
      <c r="L499">
        <f t="shared" si="7"/>
        <v>8580</v>
      </c>
    </row>
    <row r="500" spans="1:12" x14ac:dyDescent="0.35">
      <c r="A500" s="7">
        <v>1512</v>
      </c>
      <c r="B500" s="1">
        <v>45448</v>
      </c>
      <c r="C500" s="2" t="s">
        <v>14</v>
      </c>
      <c r="D500" t="str">
        <f>_xlfn.XLOOKUP(Merged_Sales_Data!C500,PM[Product ID],PM[Product Name])</f>
        <v>Laptop Backpack</v>
      </c>
      <c r="E500" t="str">
        <f>VLOOKUP(C500,PM[],3,FALSE)</f>
        <v>Accessories</v>
      </c>
      <c r="F500">
        <f>_xlfn.XLOOKUP(C500,PM[Product ID],PM[Unit Price (₹)])</f>
        <v>1110</v>
      </c>
      <c r="G500" t="str">
        <f>_xlfn.XLOOKUP(Sales[[#This Row],[Order ID]],ST[Order ID],ST[Employee ID])</f>
        <v>E05</v>
      </c>
      <c r="H500" t="str">
        <f>_xlfn.XLOOKUP(G500,SM[Employee ID],SM[Salesperson])</f>
        <v>Karan Malhotra</v>
      </c>
      <c r="I500" t="str">
        <f>_xlfn.XLOOKUP(G500,SM[Employee ID],SM[Region])</f>
        <v>East</v>
      </c>
      <c r="J500" t="str">
        <f>_xlfn.XLOOKUP(G500,SM[Employee ID],SM[State/City])</f>
        <v>Kolkata</v>
      </c>
      <c r="K500" s="2">
        <f>_xlfn.XLOOKUP(Sales[[#This Row],[Order ID]],ST[Order ID],ST[Units Sold])</f>
        <v>2</v>
      </c>
      <c r="L500">
        <f t="shared" si="7"/>
        <v>2220</v>
      </c>
    </row>
    <row r="501" spans="1:12" x14ac:dyDescent="0.35">
      <c r="A501" s="7">
        <v>1499</v>
      </c>
      <c r="B501" s="1">
        <v>45449</v>
      </c>
      <c r="C501" s="2" t="s">
        <v>8</v>
      </c>
      <c r="D501" t="str">
        <f>_xlfn.XLOOKUP(Merged_Sales_Data!C501,PM[Product ID],PM[Product Name])</f>
        <v>USB-C Hub</v>
      </c>
      <c r="E501" t="str">
        <f>VLOOKUP(C501,PM[],3,FALSE)</f>
        <v>Accessories</v>
      </c>
      <c r="F501">
        <f>_xlfn.XLOOKUP(C501,PM[Product ID],PM[Unit Price (₹)])</f>
        <v>880</v>
      </c>
      <c r="G501" t="str">
        <f>_xlfn.XLOOKUP(Sales[[#This Row],[Order ID]],ST[Order ID],ST[Employee ID])</f>
        <v>E02</v>
      </c>
      <c r="H501" t="str">
        <f>_xlfn.XLOOKUP(G501,SM[Employee ID],SM[Salesperson])</f>
        <v>Ishita Verma</v>
      </c>
      <c r="I501" t="str">
        <f>_xlfn.XLOOKUP(G501,SM[Employee ID],SM[Region])</f>
        <v>North</v>
      </c>
      <c r="J501" t="str">
        <f>_xlfn.XLOOKUP(G501,SM[Employee ID],SM[State/City])</f>
        <v>Chandigarh</v>
      </c>
      <c r="K501" s="2">
        <f>_xlfn.XLOOKUP(Sales[[#This Row],[Order ID]],ST[Order ID],ST[Units Sold])</f>
        <v>10</v>
      </c>
      <c r="L501">
        <f t="shared" si="7"/>
        <v>8800</v>
      </c>
    </row>
    <row r="502" spans="1:12" x14ac:dyDescent="0.35">
      <c r="A502" s="7">
        <v>1497</v>
      </c>
      <c r="B502" s="1">
        <v>45450</v>
      </c>
      <c r="C502" s="2" t="s">
        <v>11</v>
      </c>
      <c r="D502" t="str">
        <f>_xlfn.XLOOKUP(Merged_Sales_Data!C502,PM[Product ID],PM[Product Name])</f>
        <v>Bluetooth Speaker</v>
      </c>
      <c r="E502" t="str">
        <f>VLOOKUP(C502,PM[],3,FALSE)</f>
        <v>Electronics</v>
      </c>
      <c r="F502">
        <f>_xlfn.XLOOKUP(C502,PM[Product ID],PM[Unit Price (₹)])</f>
        <v>1430</v>
      </c>
      <c r="G502" t="str">
        <f>_xlfn.XLOOKUP(Sales[[#This Row],[Order ID]],ST[Order ID],ST[Employee ID])</f>
        <v>E05</v>
      </c>
      <c r="H502" t="str">
        <f>_xlfn.XLOOKUP(G502,SM[Employee ID],SM[Salesperson])</f>
        <v>Karan Malhotra</v>
      </c>
      <c r="I502" t="str">
        <f>_xlfn.XLOOKUP(G502,SM[Employee ID],SM[Region])</f>
        <v>East</v>
      </c>
      <c r="J502" t="str">
        <f>_xlfn.XLOOKUP(G502,SM[Employee ID],SM[State/City])</f>
        <v>Kolkata</v>
      </c>
      <c r="K502" s="2">
        <f>_xlfn.XLOOKUP(Sales[[#This Row],[Order ID]],ST[Order ID],ST[Units Sold])</f>
        <v>2</v>
      </c>
      <c r="L502">
        <f t="shared" si="7"/>
        <v>2860</v>
      </c>
    </row>
    <row r="503" spans="1:12" x14ac:dyDescent="0.35">
      <c r="A503" s="7">
        <v>1502</v>
      </c>
      <c r="B503" s="1">
        <v>45450</v>
      </c>
      <c r="C503" s="2" t="s">
        <v>20</v>
      </c>
      <c r="D503" t="str">
        <f>_xlfn.XLOOKUP(Merged_Sales_Data!C503,PM[Product ID],PM[Product Name])</f>
        <v>Standing Desk</v>
      </c>
      <c r="E503" t="str">
        <f>VLOOKUP(C503,PM[],3,FALSE)</f>
        <v>Office Supplies</v>
      </c>
      <c r="F503">
        <f>_xlfn.XLOOKUP(C503,PM[Product ID],PM[Unit Price (₹)])</f>
        <v>11010</v>
      </c>
      <c r="G503" t="str">
        <f>_xlfn.XLOOKUP(Sales[[#This Row],[Order ID]],ST[Order ID],ST[Employee ID])</f>
        <v>E01</v>
      </c>
      <c r="H503" t="str">
        <f>_xlfn.XLOOKUP(G503,SM[Employee ID],SM[Salesperson])</f>
        <v>Aarav Sharma</v>
      </c>
      <c r="I503" t="str">
        <f>_xlfn.XLOOKUP(G503,SM[Employee ID],SM[Region])</f>
        <v>North</v>
      </c>
      <c r="J503" t="str">
        <f>_xlfn.XLOOKUP(G503,SM[Employee ID],SM[State/City])</f>
        <v>Lucknow</v>
      </c>
      <c r="K503" s="2">
        <f>_xlfn.XLOOKUP(Sales[[#This Row],[Order ID]],ST[Order ID],ST[Units Sold])</f>
        <v>10</v>
      </c>
      <c r="L503">
        <f t="shared" si="7"/>
        <v>110100</v>
      </c>
    </row>
    <row r="504" spans="1:12" x14ac:dyDescent="0.35">
      <c r="A504" s="7">
        <v>1504</v>
      </c>
      <c r="B504" s="1">
        <v>45451</v>
      </c>
      <c r="C504" s="2" t="s">
        <v>20</v>
      </c>
      <c r="D504" t="str">
        <f>_xlfn.XLOOKUP(Merged_Sales_Data!C504,PM[Product ID],PM[Product Name])</f>
        <v>Standing Desk</v>
      </c>
      <c r="E504" t="str">
        <f>VLOOKUP(C504,PM[],3,FALSE)</f>
        <v>Office Supplies</v>
      </c>
      <c r="F504">
        <f>_xlfn.XLOOKUP(C504,PM[Product ID],PM[Unit Price (₹)])</f>
        <v>11010</v>
      </c>
      <c r="G504" t="str">
        <f>_xlfn.XLOOKUP(Sales[[#This Row],[Order ID]],ST[Order ID],ST[Employee ID])</f>
        <v>E05</v>
      </c>
      <c r="H504" t="str">
        <f>_xlfn.XLOOKUP(G504,SM[Employee ID],SM[Salesperson])</f>
        <v>Karan Malhotra</v>
      </c>
      <c r="I504" t="str">
        <f>_xlfn.XLOOKUP(G504,SM[Employee ID],SM[Region])</f>
        <v>East</v>
      </c>
      <c r="J504" t="str">
        <f>_xlfn.XLOOKUP(G504,SM[Employee ID],SM[State/City])</f>
        <v>Kolkata</v>
      </c>
      <c r="K504" s="2">
        <f>_xlfn.XLOOKUP(Sales[[#This Row],[Order ID]],ST[Order ID],ST[Units Sold])</f>
        <v>5</v>
      </c>
      <c r="L504">
        <f t="shared" si="7"/>
        <v>55050</v>
      </c>
    </row>
    <row r="505" spans="1:12" x14ac:dyDescent="0.35">
      <c r="A505" s="7">
        <v>1498</v>
      </c>
      <c r="B505" s="1">
        <v>45453</v>
      </c>
      <c r="C505" s="2" t="s">
        <v>18</v>
      </c>
      <c r="D505" t="str">
        <f>_xlfn.XLOOKUP(Merged_Sales_Data!C505,PM[Product ID],PM[Product Name])</f>
        <v>LED Monitor 24"</v>
      </c>
      <c r="E505" t="str">
        <f>VLOOKUP(C505,PM[],3,FALSE)</f>
        <v>Electronics</v>
      </c>
      <c r="F505">
        <f>_xlfn.XLOOKUP(C505,PM[Product ID],PM[Unit Price (₹)])</f>
        <v>7700</v>
      </c>
      <c r="G505" t="str">
        <f>_xlfn.XLOOKUP(Sales[[#This Row],[Order ID]],ST[Order ID],ST[Employee ID])</f>
        <v>E05</v>
      </c>
      <c r="H505" t="str">
        <f>_xlfn.XLOOKUP(G505,SM[Employee ID],SM[Salesperson])</f>
        <v>Karan Malhotra</v>
      </c>
      <c r="I505" t="str">
        <f>_xlfn.XLOOKUP(G505,SM[Employee ID],SM[Region])</f>
        <v>East</v>
      </c>
      <c r="J505" t="str">
        <f>_xlfn.XLOOKUP(G505,SM[Employee ID],SM[State/City])</f>
        <v>Kolkata</v>
      </c>
      <c r="K505" s="2">
        <f>_xlfn.XLOOKUP(Sales[[#This Row],[Order ID]],ST[Order ID],ST[Units Sold])</f>
        <v>10</v>
      </c>
      <c r="L505">
        <f t="shared" si="7"/>
        <v>77000</v>
      </c>
    </row>
    <row r="506" spans="1:12" x14ac:dyDescent="0.35">
      <c r="A506" s="7">
        <v>1495</v>
      </c>
      <c r="B506" s="1">
        <v>45454</v>
      </c>
      <c r="C506" s="2" t="s">
        <v>18</v>
      </c>
      <c r="D506" t="str">
        <f>_xlfn.XLOOKUP(Merged_Sales_Data!C506,PM[Product ID],PM[Product Name])</f>
        <v>LED Monitor 24"</v>
      </c>
      <c r="E506" t="str">
        <f>VLOOKUP(C506,PM[],3,FALSE)</f>
        <v>Electronics</v>
      </c>
      <c r="F506">
        <f>_xlfn.XLOOKUP(C506,PM[Product ID],PM[Unit Price (₹)])</f>
        <v>7700</v>
      </c>
      <c r="G506" t="str">
        <f>_xlfn.XLOOKUP(Sales[[#This Row],[Order ID]],ST[Order ID],ST[Employee ID])</f>
        <v>E05</v>
      </c>
      <c r="H506" t="str">
        <f>_xlfn.XLOOKUP(G506,SM[Employee ID],SM[Salesperson])</f>
        <v>Karan Malhotra</v>
      </c>
      <c r="I506" t="str">
        <f>_xlfn.XLOOKUP(G506,SM[Employee ID],SM[Region])</f>
        <v>East</v>
      </c>
      <c r="J506" t="str">
        <f>_xlfn.XLOOKUP(G506,SM[Employee ID],SM[State/City])</f>
        <v>Kolkata</v>
      </c>
      <c r="K506" s="2">
        <f>_xlfn.XLOOKUP(Sales[[#This Row],[Order ID]],ST[Order ID],ST[Units Sold])</f>
        <v>1</v>
      </c>
      <c r="L506">
        <f t="shared" si="7"/>
        <v>7700</v>
      </c>
    </row>
    <row r="507" spans="1:12" x14ac:dyDescent="0.35">
      <c r="A507" s="7">
        <v>1507</v>
      </c>
      <c r="B507" s="1">
        <v>45454</v>
      </c>
      <c r="C507" s="2" t="s">
        <v>14</v>
      </c>
      <c r="D507" t="str">
        <f>_xlfn.XLOOKUP(Merged_Sales_Data!C507,PM[Product ID],PM[Product Name])</f>
        <v>Laptop Backpack</v>
      </c>
      <c r="E507" t="str">
        <f>VLOOKUP(C507,PM[],3,FALSE)</f>
        <v>Accessories</v>
      </c>
      <c r="F507">
        <f>_xlfn.XLOOKUP(C507,PM[Product ID],PM[Unit Price (₹)])</f>
        <v>1110</v>
      </c>
      <c r="G507" t="str">
        <f>_xlfn.XLOOKUP(Sales[[#This Row],[Order ID]],ST[Order ID],ST[Employee ID])</f>
        <v>E08</v>
      </c>
      <c r="H507" t="str">
        <f>_xlfn.XLOOKUP(G507,SM[Employee ID],SM[Salesperson])</f>
        <v>Neha Joshi</v>
      </c>
      <c r="I507" t="str">
        <f>_xlfn.XLOOKUP(G507,SM[Employee ID],SM[Region])</f>
        <v>West</v>
      </c>
      <c r="J507" t="str">
        <f>_xlfn.XLOOKUP(G507,SM[Employee ID],SM[State/City])</f>
        <v>Ahmedabad</v>
      </c>
      <c r="K507" s="2">
        <f>_xlfn.XLOOKUP(Sales[[#This Row],[Order ID]],ST[Order ID],ST[Units Sold])</f>
        <v>2</v>
      </c>
      <c r="L507">
        <f t="shared" si="7"/>
        <v>2220</v>
      </c>
    </row>
    <row r="508" spans="1:12" x14ac:dyDescent="0.35">
      <c r="A508" s="7">
        <v>1519</v>
      </c>
      <c r="B508" s="1">
        <v>45455</v>
      </c>
      <c r="C508" s="2" t="s">
        <v>5</v>
      </c>
      <c r="D508" t="str">
        <f>_xlfn.XLOOKUP(Merged_Sales_Data!C508,PM[Product ID],PM[Product Name])</f>
        <v>Ergo Office Chair</v>
      </c>
      <c r="E508" t="str">
        <f>VLOOKUP(C508,PM[],3,FALSE)</f>
        <v>Office Supplies</v>
      </c>
      <c r="F508">
        <f>_xlfn.XLOOKUP(C508,PM[Product ID],PM[Unit Price (₹)])</f>
        <v>6750</v>
      </c>
      <c r="G508" t="str">
        <f>_xlfn.XLOOKUP(Sales[[#This Row],[Order ID]],ST[Order ID],ST[Employee ID])</f>
        <v>E04</v>
      </c>
      <c r="H508" t="str">
        <f>_xlfn.XLOOKUP(G508,SM[Employee ID],SM[Salesperson])</f>
        <v>Priya Nair</v>
      </c>
      <c r="I508" t="str">
        <f>_xlfn.XLOOKUP(G508,SM[Employee ID],SM[Region])</f>
        <v>South</v>
      </c>
      <c r="J508" t="str">
        <f>_xlfn.XLOOKUP(G508,SM[Employee ID],SM[State/City])</f>
        <v>Bengaluru</v>
      </c>
      <c r="K508" s="2">
        <f>_xlfn.XLOOKUP(Sales[[#This Row],[Order ID]],ST[Order ID],ST[Units Sold])</f>
        <v>8</v>
      </c>
      <c r="L508">
        <f t="shared" si="7"/>
        <v>54000</v>
      </c>
    </row>
    <row r="509" spans="1:12" x14ac:dyDescent="0.35">
      <c r="A509" s="7">
        <v>1513</v>
      </c>
      <c r="B509" s="1">
        <v>45456</v>
      </c>
      <c r="C509" s="2" t="s">
        <v>21</v>
      </c>
      <c r="D509" t="str">
        <f>_xlfn.XLOOKUP(Merged_Sales_Data!C509,PM[Product ID],PM[Product Name])</f>
        <v>Wireless Mouse</v>
      </c>
      <c r="E509" t="str">
        <f>VLOOKUP(C509,PM[],3,FALSE)</f>
        <v>Electronics</v>
      </c>
      <c r="F509">
        <f>_xlfn.XLOOKUP(C509,PM[Product ID],PM[Unit Price (₹)])</f>
        <v>780</v>
      </c>
      <c r="G509" t="str">
        <f>_xlfn.XLOOKUP(Sales[[#This Row],[Order ID]],ST[Order ID],ST[Employee ID])</f>
        <v>E02</v>
      </c>
      <c r="H509" t="str">
        <f>_xlfn.XLOOKUP(G509,SM[Employee ID],SM[Salesperson])</f>
        <v>Ishita Verma</v>
      </c>
      <c r="I509" t="str">
        <f>_xlfn.XLOOKUP(G509,SM[Employee ID],SM[Region])</f>
        <v>North</v>
      </c>
      <c r="J509" t="str">
        <f>_xlfn.XLOOKUP(G509,SM[Employee ID],SM[State/City])</f>
        <v>Chandigarh</v>
      </c>
      <c r="K509" s="2">
        <f>_xlfn.XLOOKUP(Sales[[#This Row],[Order ID]],ST[Order ID],ST[Units Sold])</f>
        <v>2</v>
      </c>
      <c r="L509">
        <f t="shared" si="7"/>
        <v>1560</v>
      </c>
    </row>
    <row r="510" spans="1:12" x14ac:dyDescent="0.35">
      <c r="A510" s="7">
        <v>1506</v>
      </c>
      <c r="B510" s="1">
        <v>45457</v>
      </c>
      <c r="C510" s="2" t="s">
        <v>18</v>
      </c>
      <c r="D510" t="str">
        <f>_xlfn.XLOOKUP(Merged_Sales_Data!C510,PM[Product ID],PM[Product Name])</f>
        <v>LED Monitor 24"</v>
      </c>
      <c r="E510" t="str">
        <f>VLOOKUP(C510,PM[],3,FALSE)</f>
        <v>Electronics</v>
      </c>
      <c r="F510">
        <f>_xlfn.XLOOKUP(C510,PM[Product ID],PM[Unit Price (₹)])</f>
        <v>7700</v>
      </c>
      <c r="G510" t="str">
        <f>_xlfn.XLOOKUP(Sales[[#This Row],[Order ID]],ST[Order ID],ST[Employee ID])</f>
        <v>E01</v>
      </c>
      <c r="H510" t="str">
        <f>_xlfn.XLOOKUP(G510,SM[Employee ID],SM[Salesperson])</f>
        <v>Aarav Sharma</v>
      </c>
      <c r="I510" t="str">
        <f>_xlfn.XLOOKUP(G510,SM[Employee ID],SM[Region])</f>
        <v>North</v>
      </c>
      <c r="J510" t="str">
        <f>_xlfn.XLOOKUP(G510,SM[Employee ID],SM[State/City])</f>
        <v>Lucknow</v>
      </c>
      <c r="K510" s="2">
        <f>_xlfn.XLOOKUP(Sales[[#This Row],[Order ID]],ST[Order ID],ST[Units Sold])</f>
        <v>5</v>
      </c>
      <c r="L510">
        <f t="shared" si="7"/>
        <v>38500</v>
      </c>
    </row>
    <row r="511" spans="1:12" x14ac:dyDescent="0.35">
      <c r="A511" s="7">
        <v>1516</v>
      </c>
      <c r="B511" s="1">
        <v>45458</v>
      </c>
      <c r="C511" s="2" t="s">
        <v>14</v>
      </c>
      <c r="D511" t="str">
        <f>_xlfn.XLOOKUP(Merged_Sales_Data!C511,PM[Product ID],PM[Product Name])</f>
        <v>Laptop Backpack</v>
      </c>
      <c r="E511" t="str">
        <f>VLOOKUP(C511,PM[],3,FALSE)</f>
        <v>Accessories</v>
      </c>
      <c r="F511">
        <f>_xlfn.XLOOKUP(C511,PM[Product ID],PM[Unit Price (₹)])</f>
        <v>1110</v>
      </c>
      <c r="G511" t="str">
        <f>_xlfn.XLOOKUP(Sales[[#This Row],[Order ID]],ST[Order ID],ST[Employee ID])</f>
        <v>E03</v>
      </c>
      <c r="H511" t="str">
        <f>_xlfn.XLOOKUP(G511,SM[Employee ID],SM[Salesperson])</f>
        <v>Rohan Mehta</v>
      </c>
      <c r="I511" t="str">
        <f>_xlfn.XLOOKUP(G511,SM[Employee ID],SM[Region])</f>
        <v>South</v>
      </c>
      <c r="J511" t="str">
        <f>_xlfn.XLOOKUP(G511,SM[Employee ID],SM[State/City])</f>
        <v>Bengaluru</v>
      </c>
      <c r="K511" s="2">
        <f>_xlfn.XLOOKUP(Sales[[#This Row],[Order ID]],ST[Order ID],ST[Units Sold])</f>
        <v>6</v>
      </c>
      <c r="L511">
        <f t="shared" si="7"/>
        <v>6660</v>
      </c>
    </row>
    <row r="512" spans="1:12" x14ac:dyDescent="0.35">
      <c r="A512" s="7">
        <v>1518</v>
      </c>
      <c r="B512" s="1">
        <v>45458</v>
      </c>
      <c r="C512" s="2" t="s">
        <v>10</v>
      </c>
      <c r="D512" t="str">
        <f>_xlfn.XLOOKUP(Merged_Sales_Data!C512,PM[Product ID],PM[Product Name])</f>
        <v>Filing Cabinet</v>
      </c>
      <c r="E512" t="str">
        <f>VLOOKUP(C512,PM[],3,FALSE)</f>
        <v>Furniture</v>
      </c>
      <c r="F512">
        <f>_xlfn.XLOOKUP(C512,PM[Product ID],PM[Unit Price (₹)])</f>
        <v>4070</v>
      </c>
      <c r="G512" t="str">
        <f>_xlfn.XLOOKUP(Sales[[#This Row],[Order ID]],ST[Order ID],ST[Employee ID])</f>
        <v>E02</v>
      </c>
      <c r="H512" t="str">
        <f>_xlfn.XLOOKUP(G512,SM[Employee ID],SM[Salesperson])</f>
        <v>Ishita Verma</v>
      </c>
      <c r="I512" t="str">
        <f>_xlfn.XLOOKUP(G512,SM[Employee ID],SM[Region])</f>
        <v>North</v>
      </c>
      <c r="J512" t="str">
        <f>_xlfn.XLOOKUP(G512,SM[Employee ID],SM[State/City])</f>
        <v>Chandigarh</v>
      </c>
      <c r="K512" s="2">
        <f>_xlfn.XLOOKUP(Sales[[#This Row],[Order ID]],ST[Order ID],ST[Units Sold])</f>
        <v>6</v>
      </c>
      <c r="L512">
        <f t="shared" si="7"/>
        <v>24420</v>
      </c>
    </row>
    <row r="513" spans="1:12" x14ac:dyDescent="0.35">
      <c r="A513" s="7">
        <v>1520</v>
      </c>
      <c r="B513" s="1">
        <v>45459</v>
      </c>
      <c r="C513" s="2" t="s">
        <v>21</v>
      </c>
      <c r="D513" t="str">
        <f>_xlfn.XLOOKUP(Merged_Sales_Data!C513,PM[Product ID],PM[Product Name])</f>
        <v>Wireless Mouse</v>
      </c>
      <c r="E513" t="str">
        <f>VLOOKUP(C513,PM[],3,FALSE)</f>
        <v>Electronics</v>
      </c>
      <c r="F513">
        <f>_xlfn.XLOOKUP(C513,PM[Product ID],PM[Unit Price (₹)])</f>
        <v>780</v>
      </c>
      <c r="G513" t="str">
        <f>_xlfn.XLOOKUP(Sales[[#This Row],[Order ID]],ST[Order ID],ST[Employee ID])</f>
        <v>E01</v>
      </c>
      <c r="H513" t="str">
        <f>_xlfn.XLOOKUP(G513,SM[Employee ID],SM[Salesperson])</f>
        <v>Aarav Sharma</v>
      </c>
      <c r="I513" t="str">
        <f>_xlfn.XLOOKUP(G513,SM[Employee ID],SM[Region])</f>
        <v>North</v>
      </c>
      <c r="J513" t="str">
        <f>_xlfn.XLOOKUP(G513,SM[Employee ID],SM[State/City])</f>
        <v>Lucknow</v>
      </c>
      <c r="K513" s="2">
        <f>_xlfn.XLOOKUP(Sales[[#This Row],[Order ID]],ST[Order ID],ST[Units Sold])</f>
        <v>2</v>
      </c>
      <c r="L513">
        <f t="shared" si="7"/>
        <v>1560</v>
      </c>
    </row>
    <row r="514" spans="1:12" x14ac:dyDescent="0.35">
      <c r="A514" s="7">
        <v>1493</v>
      </c>
      <c r="B514" s="1">
        <v>45460</v>
      </c>
      <c r="C514" s="2" t="s">
        <v>18</v>
      </c>
      <c r="D514" t="str">
        <f>_xlfn.XLOOKUP(Merged_Sales_Data!C514,PM[Product ID],PM[Product Name])</f>
        <v>LED Monitor 24"</v>
      </c>
      <c r="E514" t="str">
        <f>VLOOKUP(C514,PM[],3,FALSE)</f>
        <v>Electronics</v>
      </c>
      <c r="F514">
        <f>_xlfn.XLOOKUP(C514,PM[Product ID],PM[Unit Price (₹)])</f>
        <v>7700</v>
      </c>
      <c r="G514" t="str">
        <f>_xlfn.XLOOKUP(Sales[[#This Row],[Order ID]],ST[Order ID],ST[Employee ID])</f>
        <v>E03</v>
      </c>
      <c r="H514" t="str">
        <f>_xlfn.XLOOKUP(G514,SM[Employee ID],SM[Salesperson])</f>
        <v>Rohan Mehta</v>
      </c>
      <c r="I514" t="str">
        <f>_xlfn.XLOOKUP(G514,SM[Employee ID],SM[Region])</f>
        <v>South</v>
      </c>
      <c r="J514" t="str">
        <f>_xlfn.XLOOKUP(G514,SM[Employee ID],SM[State/City])</f>
        <v>Bengaluru</v>
      </c>
      <c r="K514" s="2">
        <f>_xlfn.XLOOKUP(Sales[[#This Row],[Order ID]],ST[Order ID],ST[Units Sold])</f>
        <v>4</v>
      </c>
      <c r="L514">
        <f t="shared" si="7"/>
        <v>30800</v>
      </c>
    </row>
    <row r="515" spans="1:12" x14ac:dyDescent="0.35">
      <c r="A515" s="7">
        <v>1500</v>
      </c>
      <c r="B515" s="1">
        <v>45463</v>
      </c>
      <c r="C515" s="2" t="s">
        <v>18</v>
      </c>
      <c r="D515" t="str">
        <f>_xlfn.XLOOKUP(Merged_Sales_Data!C515,PM[Product ID],PM[Product Name])</f>
        <v>LED Monitor 24"</v>
      </c>
      <c r="E515" t="str">
        <f>VLOOKUP(C515,PM[],3,FALSE)</f>
        <v>Electronics</v>
      </c>
      <c r="F515">
        <f>_xlfn.XLOOKUP(C515,PM[Product ID],PM[Unit Price (₹)])</f>
        <v>7700</v>
      </c>
      <c r="G515" t="str">
        <f>_xlfn.XLOOKUP(Sales[[#This Row],[Order ID]],ST[Order ID],ST[Employee ID])</f>
        <v>E03</v>
      </c>
      <c r="H515" t="str">
        <f>_xlfn.XLOOKUP(G515,SM[Employee ID],SM[Salesperson])</f>
        <v>Rohan Mehta</v>
      </c>
      <c r="I515" t="str">
        <f>_xlfn.XLOOKUP(G515,SM[Employee ID],SM[Region])</f>
        <v>South</v>
      </c>
      <c r="J515" t="str">
        <f>_xlfn.XLOOKUP(G515,SM[Employee ID],SM[State/City])</f>
        <v>Bengaluru</v>
      </c>
      <c r="K515" s="2">
        <f>_xlfn.XLOOKUP(Sales[[#This Row],[Order ID]],ST[Order ID],ST[Units Sold])</f>
        <v>10</v>
      </c>
      <c r="L515">
        <f t="shared" ref="L515:L578" si="8">F515*K515</f>
        <v>77000</v>
      </c>
    </row>
    <row r="516" spans="1:12" x14ac:dyDescent="0.35">
      <c r="A516" s="7">
        <v>1492</v>
      </c>
      <c r="B516" s="1">
        <v>45464</v>
      </c>
      <c r="C516" s="2" t="s">
        <v>18</v>
      </c>
      <c r="D516" t="str">
        <f>_xlfn.XLOOKUP(Merged_Sales_Data!C516,PM[Product ID],PM[Product Name])</f>
        <v>LED Monitor 24"</v>
      </c>
      <c r="E516" t="str">
        <f>VLOOKUP(C516,PM[],3,FALSE)</f>
        <v>Electronics</v>
      </c>
      <c r="F516">
        <f>_xlfn.XLOOKUP(C516,PM[Product ID],PM[Unit Price (₹)])</f>
        <v>7700</v>
      </c>
      <c r="G516" t="str">
        <f>_xlfn.XLOOKUP(Sales[[#This Row],[Order ID]],ST[Order ID],ST[Employee ID])</f>
        <v>E06</v>
      </c>
      <c r="H516" t="str">
        <f>_xlfn.XLOOKUP(G516,SM[Employee ID],SM[Salesperson])</f>
        <v>Sneha Roy</v>
      </c>
      <c r="I516" t="str">
        <f>_xlfn.XLOOKUP(G516,SM[Employee ID],SM[Region])</f>
        <v>East</v>
      </c>
      <c r="J516" t="str">
        <f>_xlfn.XLOOKUP(G516,SM[Employee ID],SM[State/City])</f>
        <v>Kolkata</v>
      </c>
      <c r="K516" s="2">
        <f>_xlfn.XLOOKUP(Sales[[#This Row],[Order ID]],ST[Order ID],ST[Units Sold])</f>
        <v>6</v>
      </c>
      <c r="L516">
        <f t="shared" si="8"/>
        <v>46200</v>
      </c>
    </row>
    <row r="517" spans="1:12" x14ac:dyDescent="0.35">
      <c r="A517" s="7">
        <v>1508</v>
      </c>
      <c r="B517" s="1">
        <v>45467</v>
      </c>
      <c r="C517" s="2" t="s">
        <v>12</v>
      </c>
      <c r="D517" t="str">
        <f>_xlfn.XLOOKUP(Merged_Sales_Data!C517,PM[Product ID],PM[Product Name])</f>
        <v>Bookshelf Unit</v>
      </c>
      <c r="E517" t="str">
        <f>VLOOKUP(C517,PM[],3,FALSE)</f>
        <v>Furniture</v>
      </c>
      <c r="F517">
        <f>_xlfn.XLOOKUP(C517,PM[Product ID],PM[Unit Price (₹)])</f>
        <v>3910</v>
      </c>
      <c r="G517" t="str">
        <f>_xlfn.XLOOKUP(Sales[[#This Row],[Order ID]],ST[Order ID],ST[Employee ID])</f>
        <v>E03</v>
      </c>
      <c r="H517" t="str">
        <f>_xlfn.XLOOKUP(G517,SM[Employee ID],SM[Salesperson])</f>
        <v>Rohan Mehta</v>
      </c>
      <c r="I517" t="str">
        <f>_xlfn.XLOOKUP(G517,SM[Employee ID],SM[Region])</f>
        <v>South</v>
      </c>
      <c r="J517" t="str">
        <f>_xlfn.XLOOKUP(G517,SM[Employee ID],SM[State/City])</f>
        <v>Bengaluru</v>
      </c>
      <c r="K517" s="2">
        <f>_xlfn.XLOOKUP(Sales[[#This Row],[Order ID]],ST[Order ID],ST[Units Sold])</f>
        <v>3</v>
      </c>
      <c r="L517">
        <f t="shared" si="8"/>
        <v>11730</v>
      </c>
    </row>
    <row r="518" spans="1:12" x14ac:dyDescent="0.35">
      <c r="A518" s="7">
        <v>1509</v>
      </c>
      <c r="B518" s="1">
        <v>45468</v>
      </c>
      <c r="C518" s="2" t="s">
        <v>10</v>
      </c>
      <c r="D518" t="str">
        <f>_xlfn.XLOOKUP(Merged_Sales_Data!C518,PM[Product ID],PM[Product Name])</f>
        <v>Filing Cabinet</v>
      </c>
      <c r="E518" t="str">
        <f>VLOOKUP(C518,PM[],3,FALSE)</f>
        <v>Furniture</v>
      </c>
      <c r="F518">
        <f>_xlfn.XLOOKUP(C518,PM[Product ID],PM[Unit Price (₹)])</f>
        <v>4070</v>
      </c>
      <c r="G518" t="str">
        <f>_xlfn.XLOOKUP(Sales[[#This Row],[Order ID]],ST[Order ID],ST[Employee ID])</f>
        <v>E06</v>
      </c>
      <c r="H518" t="str">
        <f>_xlfn.XLOOKUP(G518,SM[Employee ID],SM[Salesperson])</f>
        <v>Sneha Roy</v>
      </c>
      <c r="I518" t="str">
        <f>_xlfn.XLOOKUP(G518,SM[Employee ID],SM[Region])</f>
        <v>East</v>
      </c>
      <c r="J518" t="str">
        <f>_xlfn.XLOOKUP(G518,SM[Employee ID],SM[State/City])</f>
        <v>Kolkata</v>
      </c>
      <c r="K518" s="2">
        <f>_xlfn.XLOOKUP(Sales[[#This Row],[Order ID]],ST[Order ID],ST[Units Sold])</f>
        <v>1</v>
      </c>
      <c r="L518">
        <f t="shared" si="8"/>
        <v>4070</v>
      </c>
    </row>
    <row r="519" spans="1:12" x14ac:dyDescent="0.35">
      <c r="A519" s="7">
        <v>1515</v>
      </c>
      <c r="B519" s="1">
        <v>45468</v>
      </c>
      <c r="C519" s="2" t="s">
        <v>12</v>
      </c>
      <c r="D519" t="str">
        <f>_xlfn.XLOOKUP(Merged_Sales_Data!C519,PM[Product ID],PM[Product Name])</f>
        <v>Bookshelf Unit</v>
      </c>
      <c r="E519" t="str">
        <f>VLOOKUP(C519,PM[],3,FALSE)</f>
        <v>Furniture</v>
      </c>
      <c r="F519">
        <f>_xlfn.XLOOKUP(C519,PM[Product ID],PM[Unit Price (₹)])</f>
        <v>3910</v>
      </c>
      <c r="G519" t="str">
        <f>_xlfn.XLOOKUP(Sales[[#This Row],[Order ID]],ST[Order ID],ST[Employee ID])</f>
        <v>E06</v>
      </c>
      <c r="H519" t="str">
        <f>_xlfn.XLOOKUP(G519,SM[Employee ID],SM[Salesperson])</f>
        <v>Sneha Roy</v>
      </c>
      <c r="I519" t="str">
        <f>_xlfn.XLOOKUP(G519,SM[Employee ID],SM[Region])</f>
        <v>East</v>
      </c>
      <c r="J519" t="str">
        <f>_xlfn.XLOOKUP(G519,SM[Employee ID],SM[State/City])</f>
        <v>Kolkata</v>
      </c>
      <c r="K519" s="2">
        <f>_xlfn.XLOOKUP(Sales[[#This Row],[Order ID]],ST[Order ID],ST[Units Sold])</f>
        <v>2</v>
      </c>
      <c r="L519">
        <f t="shared" si="8"/>
        <v>7820</v>
      </c>
    </row>
    <row r="520" spans="1:12" x14ac:dyDescent="0.35">
      <c r="A520" s="7">
        <v>1514</v>
      </c>
      <c r="B520" s="1">
        <v>45470</v>
      </c>
      <c r="C520" s="2" t="s">
        <v>5</v>
      </c>
      <c r="D520" t="str">
        <f>_xlfn.XLOOKUP(Merged_Sales_Data!C520,PM[Product ID],PM[Product Name])</f>
        <v>Ergo Office Chair</v>
      </c>
      <c r="E520" t="str">
        <f>VLOOKUP(C520,PM[],3,FALSE)</f>
        <v>Office Supplies</v>
      </c>
      <c r="F520">
        <f>_xlfn.XLOOKUP(C520,PM[Product ID],PM[Unit Price (₹)])</f>
        <v>6750</v>
      </c>
      <c r="G520" t="str">
        <f>_xlfn.XLOOKUP(Sales[[#This Row],[Order ID]],ST[Order ID],ST[Employee ID])</f>
        <v>E07</v>
      </c>
      <c r="H520" t="str">
        <f>_xlfn.XLOOKUP(G520,SM[Employee ID],SM[Salesperson])</f>
        <v>Aditya Kapoor</v>
      </c>
      <c r="I520" t="str">
        <f>_xlfn.XLOOKUP(G520,SM[Employee ID],SM[Region])</f>
        <v>West</v>
      </c>
      <c r="J520" t="str">
        <f>_xlfn.XLOOKUP(G520,SM[Employee ID],SM[State/City])</f>
        <v>Mumbai</v>
      </c>
      <c r="K520" s="2">
        <f>_xlfn.XLOOKUP(Sales[[#This Row],[Order ID]],ST[Order ID],ST[Units Sold])</f>
        <v>1</v>
      </c>
      <c r="L520">
        <f t="shared" si="8"/>
        <v>6750</v>
      </c>
    </row>
    <row r="521" spans="1:12" x14ac:dyDescent="0.35">
      <c r="A521" s="7">
        <v>1496</v>
      </c>
      <c r="B521" s="1">
        <v>45472</v>
      </c>
      <c r="C521" s="2" t="s">
        <v>12</v>
      </c>
      <c r="D521" t="str">
        <f>_xlfn.XLOOKUP(Merged_Sales_Data!C521,PM[Product ID],PM[Product Name])</f>
        <v>Bookshelf Unit</v>
      </c>
      <c r="E521" t="str">
        <f>VLOOKUP(C521,PM[],3,FALSE)</f>
        <v>Furniture</v>
      </c>
      <c r="F521">
        <f>_xlfn.XLOOKUP(C521,PM[Product ID],PM[Unit Price (₹)])</f>
        <v>3910</v>
      </c>
      <c r="G521" t="str">
        <f>_xlfn.XLOOKUP(Sales[[#This Row],[Order ID]],ST[Order ID],ST[Employee ID])</f>
        <v>E04</v>
      </c>
      <c r="H521" t="str">
        <f>_xlfn.XLOOKUP(G521,SM[Employee ID],SM[Salesperson])</f>
        <v>Priya Nair</v>
      </c>
      <c r="I521" t="str">
        <f>_xlfn.XLOOKUP(G521,SM[Employee ID],SM[Region])</f>
        <v>South</v>
      </c>
      <c r="J521" t="str">
        <f>_xlfn.XLOOKUP(G521,SM[Employee ID],SM[State/City])</f>
        <v>Bengaluru</v>
      </c>
      <c r="K521" s="2">
        <f>_xlfn.XLOOKUP(Sales[[#This Row],[Order ID]],ST[Order ID],ST[Units Sold])</f>
        <v>6</v>
      </c>
      <c r="L521">
        <f t="shared" si="8"/>
        <v>23460</v>
      </c>
    </row>
    <row r="522" spans="1:12" x14ac:dyDescent="0.35">
      <c r="A522" s="7">
        <v>1503</v>
      </c>
      <c r="B522" s="1">
        <v>45472</v>
      </c>
      <c r="C522" s="2" t="s">
        <v>21</v>
      </c>
      <c r="D522" t="str">
        <f>_xlfn.XLOOKUP(Merged_Sales_Data!C522,PM[Product ID],PM[Product Name])</f>
        <v>Wireless Mouse</v>
      </c>
      <c r="E522" t="str">
        <f>VLOOKUP(C522,PM[],3,FALSE)</f>
        <v>Electronics</v>
      </c>
      <c r="F522">
        <f>_xlfn.XLOOKUP(C522,PM[Product ID],PM[Unit Price (₹)])</f>
        <v>780</v>
      </c>
      <c r="G522" t="str">
        <f>_xlfn.XLOOKUP(Sales[[#This Row],[Order ID]],ST[Order ID],ST[Employee ID])</f>
        <v>E07</v>
      </c>
      <c r="H522" t="str">
        <f>_xlfn.XLOOKUP(G522,SM[Employee ID],SM[Salesperson])</f>
        <v>Aditya Kapoor</v>
      </c>
      <c r="I522" t="str">
        <f>_xlfn.XLOOKUP(G522,SM[Employee ID],SM[Region])</f>
        <v>West</v>
      </c>
      <c r="J522" t="str">
        <f>_xlfn.XLOOKUP(G522,SM[Employee ID],SM[State/City])</f>
        <v>Mumbai</v>
      </c>
      <c r="K522" s="2">
        <f>_xlfn.XLOOKUP(Sales[[#This Row],[Order ID]],ST[Order ID],ST[Units Sold])</f>
        <v>5</v>
      </c>
      <c r="L522">
        <f t="shared" si="8"/>
        <v>3900</v>
      </c>
    </row>
    <row r="523" spans="1:12" x14ac:dyDescent="0.35">
      <c r="A523" s="7">
        <v>1543</v>
      </c>
      <c r="B523" s="1">
        <v>45474</v>
      </c>
      <c r="C523" s="2" t="s">
        <v>11</v>
      </c>
      <c r="D523" t="str">
        <f>_xlfn.XLOOKUP(Merged_Sales_Data!C523,PM[Product ID],PM[Product Name])</f>
        <v>Bluetooth Speaker</v>
      </c>
      <c r="E523" t="str">
        <f>VLOOKUP(C523,PM[],3,FALSE)</f>
        <v>Electronics</v>
      </c>
      <c r="F523">
        <f>_xlfn.XLOOKUP(C523,PM[Product ID],PM[Unit Price (₹)])</f>
        <v>1430</v>
      </c>
      <c r="G523" t="str">
        <f>_xlfn.XLOOKUP(Sales[[#This Row],[Order ID]],ST[Order ID],ST[Employee ID])</f>
        <v>E01</v>
      </c>
      <c r="H523" t="str">
        <f>_xlfn.XLOOKUP(G523,SM[Employee ID],SM[Salesperson])</f>
        <v>Aarav Sharma</v>
      </c>
      <c r="I523" t="str">
        <f>_xlfn.XLOOKUP(G523,SM[Employee ID],SM[Region])</f>
        <v>North</v>
      </c>
      <c r="J523" t="str">
        <f>_xlfn.XLOOKUP(G523,SM[Employee ID],SM[State/City])</f>
        <v>Lucknow</v>
      </c>
      <c r="K523" s="2">
        <f>_xlfn.XLOOKUP(Sales[[#This Row],[Order ID]],ST[Order ID],ST[Units Sold])</f>
        <v>2</v>
      </c>
      <c r="L523">
        <f t="shared" si="8"/>
        <v>2860</v>
      </c>
    </row>
    <row r="524" spans="1:12" x14ac:dyDescent="0.35">
      <c r="A524" s="7">
        <v>1523</v>
      </c>
      <c r="B524" s="1">
        <v>45475</v>
      </c>
      <c r="C524" s="2" t="s">
        <v>10</v>
      </c>
      <c r="D524" t="str">
        <f>_xlfn.XLOOKUP(Merged_Sales_Data!C524,PM[Product ID],PM[Product Name])</f>
        <v>Filing Cabinet</v>
      </c>
      <c r="E524" t="str">
        <f>VLOOKUP(C524,PM[],3,FALSE)</f>
        <v>Furniture</v>
      </c>
      <c r="F524">
        <f>_xlfn.XLOOKUP(C524,PM[Product ID],PM[Unit Price (₹)])</f>
        <v>4070</v>
      </c>
      <c r="G524" t="str">
        <f>_xlfn.XLOOKUP(Sales[[#This Row],[Order ID]],ST[Order ID],ST[Employee ID])</f>
        <v>E06</v>
      </c>
      <c r="H524" t="str">
        <f>_xlfn.XLOOKUP(G524,SM[Employee ID],SM[Salesperson])</f>
        <v>Sneha Roy</v>
      </c>
      <c r="I524" t="str">
        <f>_xlfn.XLOOKUP(G524,SM[Employee ID],SM[Region])</f>
        <v>East</v>
      </c>
      <c r="J524" t="str">
        <f>_xlfn.XLOOKUP(G524,SM[Employee ID],SM[State/City])</f>
        <v>Kolkata</v>
      </c>
      <c r="K524" s="2">
        <f>_xlfn.XLOOKUP(Sales[[#This Row],[Order ID]],ST[Order ID],ST[Units Sold])</f>
        <v>3</v>
      </c>
      <c r="L524">
        <f t="shared" si="8"/>
        <v>12210</v>
      </c>
    </row>
    <row r="525" spans="1:12" x14ac:dyDescent="0.35">
      <c r="A525" s="7">
        <v>1530</v>
      </c>
      <c r="B525" s="1">
        <v>45475</v>
      </c>
      <c r="C525" s="2" t="s">
        <v>8</v>
      </c>
      <c r="D525" t="str">
        <f>_xlfn.XLOOKUP(Merged_Sales_Data!C525,PM[Product ID],PM[Product Name])</f>
        <v>USB-C Hub</v>
      </c>
      <c r="E525" t="str">
        <f>VLOOKUP(C525,PM[],3,FALSE)</f>
        <v>Accessories</v>
      </c>
      <c r="F525">
        <f>_xlfn.XLOOKUP(C525,PM[Product ID],PM[Unit Price (₹)])</f>
        <v>880</v>
      </c>
      <c r="G525" t="str">
        <f>_xlfn.XLOOKUP(Sales[[#This Row],[Order ID]],ST[Order ID],ST[Employee ID])</f>
        <v>E07</v>
      </c>
      <c r="H525" t="str">
        <f>_xlfn.XLOOKUP(G525,SM[Employee ID],SM[Salesperson])</f>
        <v>Aditya Kapoor</v>
      </c>
      <c r="I525" t="str">
        <f>_xlfn.XLOOKUP(G525,SM[Employee ID],SM[Region])</f>
        <v>West</v>
      </c>
      <c r="J525" t="str">
        <f>_xlfn.XLOOKUP(G525,SM[Employee ID],SM[State/City])</f>
        <v>Mumbai</v>
      </c>
      <c r="K525" s="2">
        <f>_xlfn.XLOOKUP(Sales[[#This Row],[Order ID]],ST[Order ID],ST[Units Sold])</f>
        <v>1</v>
      </c>
      <c r="L525">
        <f t="shared" si="8"/>
        <v>880</v>
      </c>
    </row>
    <row r="526" spans="1:12" x14ac:dyDescent="0.35">
      <c r="A526" s="7">
        <v>1527</v>
      </c>
      <c r="B526" s="1">
        <v>45477</v>
      </c>
      <c r="C526" s="2" t="s">
        <v>11</v>
      </c>
      <c r="D526" t="str">
        <f>_xlfn.XLOOKUP(Merged_Sales_Data!C526,PM[Product ID],PM[Product Name])</f>
        <v>Bluetooth Speaker</v>
      </c>
      <c r="E526" t="str">
        <f>VLOOKUP(C526,PM[],3,FALSE)</f>
        <v>Electronics</v>
      </c>
      <c r="F526">
        <f>_xlfn.XLOOKUP(C526,PM[Product ID],PM[Unit Price (₹)])</f>
        <v>1430</v>
      </c>
      <c r="G526" t="str">
        <f>_xlfn.XLOOKUP(Sales[[#This Row],[Order ID]],ST[Order ID],ST[Employee ID])</f>
        <v>E05</v>
      </c>
      <c r="H526" t="str">
        <f>_xlfn.XLOOKUP(G526,SM[Employee ID],SM[Salesperson])</f>
        <v>Karan Malhotra</v>
      </c>
      <c r="I526" t="str">
        <f>_xlfn.XLOOKUP(G526,SM[Employee ID],SM[Region])</f>
        <v>East</v>
      </c>
      <c r="J526" t="str">
        <f>_xlfn.XLOOKUP(G526,SM[Employee ID],SM[State/City])</f>
        <v>Kolkata</v>
      </c>
      <c r="K526" s="2">
        <f>_xlfn.XLOOKUP(Sales[[#This Row],[Order ID]],ST[Order ID],ST[Units Sold])</f>
        <v>1</v>
      </c>
      <c r="L526">
        <f t="shared" si="8"/>
        <v>1430</v>
      </c>
    </row>
    <row r="527" spans="1:12" x14ac:dyDescent="0.35">
      <c r="A527" s="7">
        <v>1532</v>
      </c>
      <c r="B527" s="1">
        <v>45478</v>
      </c>
      <c r="C527" s="2" t="s">
        <v>8</v>
      </c>
      <c r="D527" t="str">
        <f>_xlfn.XLOOKUP(Merged_Sales_Data!C527,PM[Product ID],PM[Product Name])</f>
        <v>USB-C Hub</v>
      </c>
      <c r="E527" t="str">
        <f>VLOOKUP(C527,PM[],3,FALSE)</f>
        <v>Accessories</v>
      </c>
      <c r="F527">
        <f>_xlfn.XLOOKUP(C527,PM[Product ID],PM[Unit Price (₹)])</f>
        <v>880</v>
      </c>
      <c r="G527" t="str">
        <f>_xlfn.XLOOKUP(Sales[[#This Row],[Order ID]],ST[Order ID],ST[Employee ID])</f>
        <v>E08</v>
      </c>
      <c r="H527" t="str">
        <f>_xlfn.XLOOKUP(G527,SM[Employee ID],SM[Salesperson])</f>
        <v>Neha Joshi</v>
      </c>
      <c r="I527" t="str">
        <f>_xlfn.XLOOKUP(G527,SM[Employee ID],SM[Region])</f>
        <v>West</v>
      </c>
      <c r="J527" t="str">
        <f>_xlfn.XLOOKUP(G527,SM[Employee ID],SM[State/City])</f>
        <v>Ahmedabad</v>
      </c>
      <c r="K527" s="2">
        <f>_xlfn.XLOOKUP(Sales[[#This Row],[Order ID]],ST[Order ID],ST[Units Sold])</f>
        <v>5</v>
      </c>
      <c r="L527">
        <f t="shared" si="8"/>
        <v>4400</v>
      </c>
    </row>
    <row r="528" spans="1:12" x14ac:dyDescent="0.35">
      <c r="A528" s="7">
        <v>1544</v>
      </c>
      <c r="B528" s="1">
        <v>45478</v>
      </c>
      <c r="C528" s="2" t="s">
        <v>12</v>
      </c>
      <c r="D528" t="str">
        <f>_xlfn.XLOOKUP(Merged_Sales_Data!C528,PM[Product ID],PM[Product Name])</f>
        <v>Bookshelf Unit</v>
      </c>
      <c r="E528" t="str">
        <f>VLOOKUP(C528,PM[],3,FALSE)</f>
        <v>Furniture</v>
      </c>
      <c r="F528">
        <f>_xlfn.XLOOKUP(C528,PM[Product ID],PM[Unit Price (₹)])</f>
        <v>3910</v>
      </c>
      <c r="G528" t="str">
        <f>_xlfn.XLOOKUP(Sales[[#This Row],[Order ID]],ST[Order ID],ST[Employee ID])</f>
        <v>E08</v>
      </c>
      <c r="H528" t="str">
        <f>_xlfn.XLOOKUP(G528,SM[Employee ID],SM[Salesperson])</f>
        <v>Neha Joshi</v>
      </c>
      <c r="I528" t="str">
        <f>_xlfn.XLOOKUP(G528,SM[Employee ID],SM[Region])</f>
        <v>West</v>
      </c>
      <c r="J528" t="str">
        <f>_xlfn.XLOOKUP(G528,SM[Employee ID],SM[State/City])</f>
        <v>Ahmedabad</v>
      </c>
      <c r="K528" s="2">
        <f>_xlfn.XLOOKUP(Sales[[#This Row],[Order ID]],ST[Order ID],ST[Units Sold])</f>
        <v>4</v>
      </c>
      <c r="L528">
        <f t="shared" si="8"/>
        <v>15640</v>
      </c>
    </row>
    <row r="529" spans="1:12" x14ac:dyDescent="0.35">
      <c r="A529" s="7">
        <v>1542</v>
      </c>
      <c r="B529" s="1">
        <v>45481</v>
      </c>
      <c r="C529" s="2" t="s">
        <v>18</v>
      </c>
      <c r="D529" t="str">
        <f>_xlfn.XLOOKUP(Merged_Sales_Data!C529,PM[Product ID],PM[Product Name])</f>
        <v>LED Monitor 24"</v>
      </c>
      <c r="E529" t="str">
        <f>VLOOKUP(C529,PM[],3,FALSE)</f>
        <v>Electronics</v>
      </c>
      <c r="F529">
        <f>_xlfn.XLOOKUP(C529,PM[Product ID],PM[Unit Price (₹)])</f>
        <v>7700</v>
      </c>
      <c r="G529" t="str">
        <f>_xlfn.XLOOKUP(Sales[[#This Row],[Order ID]],ST[Order ID],ST[Employee ID])</f>
        <v>E07</v>
      </c>
      <c r="H529" t="str">
        <f>_xlfn.XLOOKUP(G529,SM[Employee ID],SM[Salesperson])</f>
        <v>Aditya Kapoor</v>
      </c>
      <c r="I529" t="str">
        <f>_xlfn.XLOOKUP(G529,SM[Employee ID],SM[Region])</f>
        <v>West</v>
      </c>
      <c r="J529" t="str">
        <f>_xlfn.XLOOKUP(G529,SM[Employee ID],SM[State/City])</f>
        <v>Mumbai</v>
      </c>
      <c r="K529" s="2">
        <f>_xlfn.XLOOKUP(Sales[[#This Row],[Order ID]],ST[Order ID],ST[Units Sold])</f>
        <v>10</v>
      </c>
      <c r="L529">
        <f t="shared" si="8"/>
        <v>77000</v>
      </c>
    </row>
    <row r="530" spans="1:12" x14ac:dyDescent="0.35">
      <c r="A530" s="7">
        <v>1525</v>
      </c>
      <c r="B530" s="1">
        <v>45483</v>
      </c>
      <c r="C530" s="2" t="s">
        <v>12</v>
      </c>
      <c r="D530" t="str">
        <f>_xlfn.XLOOKUP(Merged_Sales_Data!C530,PM[Product ID],PM[Product Name])</f>
        <v>Bookshelf Unit</v>
      </c>
      <c r="E530" t="str">
        <f>VLOOKUP(C530,PM[],3,FALSE)</f>
        <v>Furniture</v>
      </c>
      <c r="F530">
        <f>_xlfn.XLOOKUP(C530,PM[Product ID],PM[Unit Price (₹)])</f>
        <v>3910</v>
      </c>
      <c r="G530" t="str">
        <f>_xlfn.XLOOKUP(Sales[[#This Row],[Order ID]],ST[Order ID],ST[Employee ID])</f>
        <v>E04</v>
      </c>
      <c r="H530" t="str">
        <f>_xlfn.XLOOKUP(G530,SM[Employee ID],SM[Salesperson])</f>
        <v>Priya Nair</v>
      </c>
      <c r="I530" t="str">
        <f>_xlfn.XLOOKUP(G530,SM[Employee ID],SM[Region])</f>
        <v>South</v>
      </c>
      <c r="J530" t="str">
        <f>_xlfn.XLOOKUP(G530,SM[Employee ID],SM[State/City])</f>
        <v>Bengaluru</v>
      </c>
      <c r="K530" s="2">
        <f>_xlfn.XLOOKUP(Sales[[#This Row],[Order ID]],ST[Order ID],ST[Units Sold])</f>
        <v>6</v>
      </c>
      <c r="L530">
        <f t="shared" si="8"/>
        <v>23460</v>
      </c>
    </row>
    <row r="531" spans="1:12" x14ac:dyDescent="0.35">
      <c r="A531" s="7">
        <v>1538</v>
      </c>
      <c r="B531" s="1">
        <v>45483</v>
      </c>
      <c r="C531" s="2" t="s">
        <v>10</v>
      </c>
      <c r="D531" t="str">
        <f>_xlfn.XLOOKUP(Merged_Sales_Data!C531,PM[Product ID],PM[Product Name])</f>
        <v>Filing Cabinet</v>
      </c>
      <c r="E531" t="str">
        <f>VLOOKUP(C531,PM[],3,FALSE)</f>
        <v>Furniture</v>
      </c>
      <c r="F531">
        <f>_xlfn.XLOOKUP(C531,PM[Product ID],PM[Unit Price (₹)])</f>
        <v>4070</v>
      </c>
      <c r="G531" t="str">
        <f>_xlfn.XLOOKUP(Sales[[#This Row],[Order ID]],ST[Order ID],ST[Employee ID])</f>
        <v>E02</v>
      </c>
      <c r="H531" t="str">
        <f>_xlfn.XLOOKUP(G531,SM[Employee ID],SM[Salesperson])</f>
        <v>Ishita Verma</v>
      </c>
      <c r="I531" t="str">
        <f>_xlfn.XLOOKUP(G531,SM[Employee ID],SM[Region])</f>
        <v>North</v>
      </c>
      <c r="J531" t="str">
        <f>_xlfn.XLOOKUP(G531,SM[Employee ID],SM[State/City])</f>
        <v>Chandigarh</v>
      </c>
      <c r="K531" s="2">
        <f>_xlfn.XLOOKUP(Sales[[#This Row],[Order ID]],ST[Order ID],ST[Units Sold])</f>
        <v>8</v>
      </c>
      <c r="L531">
        <f t="shared" si="8"/>
        <v>32560</v>
      </c>
    </row>
    <row r="532" spans="1:12" x14ac:dyDescent="0.35">
      <c r="A532" s="7">
        <v>1533</v>
      </c>
      <c r="B532" s="1">
        <v>45484</v>
      </c>
      <c r="C532" s="2" t="s">
        <v>12</v>
      </c>
      <c r="D532" t="str">
        <f>_xlfn.XLOOKUP(Merged_Sales_Data!C532,PM[Product ID],PM[Product Name])</f>
        <v>Bookshelf Unit</v>
      </c>
      <c r="E532" t="str">
        <f>VLOOKUP(C532,PM[],3,FALSE)</f>
        <v>Furniture</v>
      </c>
      <c r="F532">
        <f>_xlfn.XLOOKUP(C532,PM[Product ID],PM[Unit Price (₹)])</f>
        <v>3910</v>
      </c>
      <c r="G532" t="str">
        <f>_xlfn.XLOOKUP(Sales[[#This Row],[Order ID]],ST[Order ID],ST[Employee ID])</f>
        <v>E03</v>
      </c>
      <c r="H532" t="str">
        <f>_xlfn.XLOOKUP(G532,SM[Employee ID],SM[Salesperson])</f>
        <v>Rohan Mehta</v>
      </c>
      <c r="I532" t="str">
        <f>_xlfn.XLOOKUP(G532,SM[Employee ID],SM[Region])</f>
        <v>South</v>
      </c>
      <c r="J532" t="str">
        <f>_xlfn.XLOOKUP(G532,SM[Employee ID],SM[State/City])</f>
        <v>Bengaluru</v>
      </c>
      <c r="K532" s="2">
        <f>_xlfn.XLOOKUP(Sales[[#This Row],[Order ID]],ST[Order ID],ST[Units Sold])</f>
        <v>8</v>
      </c>
      <c r="L532">
        <f t="shared" si="8"/>
        <v>31280</v>
      </c>
    </row>
    <row r="533" spans="1:12" x14ac:dyDescent="0.35">
      <c r="A533" s="7">
        <v>1548</v>
      </c>
      <c r="B533" s="1">
        <v>45484</v>
      </c>
      <c r="C533" s="2" t="s">
        <v>8</v>
      </c>
      <c r="D533" t="str">
        <f>_xlfn.XLOOKUP(Merged_Sales_Data!C533,PM[Product ID],PM[Product Name])</f>
        <v>USB-C Hub</v>
      </c>
      <c r="E533" t="str">
        <f>VLOOKUP(C533,PM[],3,FALSE)</f>
        <v>Accessories</v>
      </c>
      <c r="F533">
        <f>_xlfn.XLOOKUP(C533,PM[Product ID],PM[Unit Price (₹)])</f>
        <v>880</v>
      </c>
      <c r="G533" t="str">
        <f>_xlfn.XLOOKUP(Sales[[#This Row],[Order ID]],ST[Order ID],ST[Employee ID])</f>
        <v>E08</v>
      </c>
      <c r="H533" t="str">
        <f>_xlfn.XLOOKUP(G533,SM[Employee ID],SM[Salesperson])</f>
        <v>Neha Joshi</v>
      </c>
      <c r="I533" t="str">
        <f>_xlfn.XLOOKUP(G533,SM[Employee ID],SM[Region])</f>
        <v>West</v>
      </c>
      <c r="J533" t="str">
        <f>_xlfn.XLOOKUP(G533,SM[Employee ID],SM[State/City])</f>
        <v>Ahmedabad</v>
      </c>
      <c r="K533" s="2">
        <f>_xlfn.XLOOKUP(Sales[[#This Row],[Order ID]],ST[Order ID],ST[Units Sold])</f>
        <v>4</v>
      </c>
      <c r="L533">
        <f t="shared" si="8"/>
        <v>3520</v>
      </c>
    </row>
    <row r="534" spans="1:12" x14ac:dyDescent="0.35">
      <c r="A534" s="7">
        <v>1526</v>
      </c>
      <c r="B534" s="1">
        <v>45488</v>
      </c>
      <c r="C534" s="2" t="s">
        <v>10</v>
      </c>
      <c r="D534" t="str">
        <f>_xlfn.XLOOKUP(Merged_Sales_Data!C534,PM[Product ID],PM[Product Name])</f>
        <v>Filing Cabinet</v>
      </c>
      <c r="E534" t="str">
        <f>VLOOKUP(C534,PM[],3,FALSE)</f>
        <v>Furniture</v>
      </c>
      <c r="F534">
        <f>_xlfn.XLOOKUP(C534,PM[Product ID],PM[Unit Price (₹)])</f>
        <v>4070</v>
      </c>
      <c r="G534" t="str">
        <f>_xlfn.XLOOKUP(Sales[[#This Row],[Order ID]],ST[Order ID],ST[Employee ID])</f>
        <v>E02</v>
      </c>
      <c r="H534" t="str">
        <f>_xlfn.XLOOKUP(G534,SM[Employee ID],SM[Salesperson])</f>
        <v>Ishita Verma</v>
      </c>
      <c r="I534" t="str">
        <f>_xlfn.XLOOKUP(G534,SM[Employee ID],SM[Region])</f>
        <v>North</v>
      </c>
      <c r="J534" t="str">
        <f>_xlfn.XLOOKUP(G534,SM[Employee ID],SM[State/City])</f>
        <v>Chandigarh</v>
      </c>
      <c r="K534" s="2">
        <f>_xlfn.XLOOKUP(Sales[[#This Row],[Order ID]],ST[Order ID],ST[Units Sold])</f>
        <v>6</v>
      </c>
      <c r="L534">
        <f t="shared" si="8"/>
        <v>24420</v>
      </c>
    </row>
    <row r="535" spans="1:12" x14ac:dyDescent="0.35">
      <c r="A535" s="7">
        <v>1540</v>
      </c>
      <c r="B535" s="1">
        <v>45489</v>
      </c>
      <c r="C535" s="2" t="s">
        <v>21</v>
      </c>
      <c r="D535" t="str">
        <f>_xlfn.XLOOKUP(Merged_Sales_Data!C535,PM[Product ID],PM[Product Name])</f>
        <v>Wireless Mouse</v>
      </c>
      <c r="E535" t="str">
        <f>VLOOKUP(C535,PM[],3,FALSE)</f>
        <v>Electronics</v>
      </c>
      <c r="F535">
        <f>_xlfn.XLOOKUP(C535,PM[Product ID],PM[Unit Price (₹)])</f>
        <v>780</v>
      </c>
      <c r="G535" t="str">
        <f>_xlfn.XLOOKUP(Sales[[#This Row],[Order ID]],ST[Order ID],ST[Employee ID])</f>
        <v>E04</v>
      </c>
      <c r="H535" t="str">
        <f>_xlfn.XLOOKUP(G535,SM[Employee ID],SM[Salesperson])</f>
        <v>Priya Nair</v>
      </c>
      <c r="I535" t="str">
        <f>_xlfn.XLOOKUP(G535,SM[Employee ID],SM[Region])</f>
        <v>South</v>
      </c>
      <c r="J535" t="str">
        <f>_xlfn.XLOOKUP(G535,SM[Employee ID],SM[State/City])</f>
        <v>Bengaluru</v>
      </c>
      <c r="K535" s="2">
        <f>_xlfn.XLOOKUP(Sales[[#This Row],[Order ID]],ST[Order ID],ST[Units Sold])</f>
        <v>8</v>
      </c>
      <c r="L535">
        <f t="shared" si="8"/>
        <v>6240</v>
      </c>
    </row>
    <row r="536" spans="1:12" x14ac:dyDescent="0.35">
      <c r="A536" s="7">
        <v>1545</v>
      </c>
      <c r="B536" s="1">
        <v>45490</v>
      </c>
      <c r="C536" s="2" t="s">
        <v>5</v>
      </c>
      <c r="D536" t="str">
        <f>_xlfn.XLOOKUP(Merged_Sales_Data!C536,PM[Product ID],PM[Product Name])</f>
        <v>Ergo Office Chair</v>
      </c>
      <c r="E536" t="str">
        <f>VLOOKUP(C536,PM[],3,FALSE)</f>
        <v>Office Supplies</v>
      </c>
      <c r="F536">
        <f>_xlfn.XLOOKUP(C536,PM[Product ID],PM[Unit Price (₹)])</f>
        <v>6750</v>
      </c>
      <c r="G536" t="str">
        <f>_xlfn.XLOOKUP(Sales[[#This Row],[Order ID]],ST[Order ID],ST[Employee ID])</f>
        <v>E07</v>
      </c>
      <c r="H536" t="str">
        <f>_xlfn.XLOOKUP(G536,SM[Employee ID],SM[Salesperson])</f>
        <v>Aditya Kapoor</v>
      </c>
      <c r="I536" t="str">
        <f>_xlfn.XLOOKUP(G536,SM[Employee ID],SM[Region])</f>
        <v>West</v>
      </c>
      <c r="J536" t="str">
        <f>_xlfn.XLOOKUP(G536,SM[Employee ID],SM[State/City])</f>
        <v>Mumbai</v>
      </c>
      <c r="K536" s="2">
        <f>_xlfn.XLOOKUP(Sales[[#This Row],[Order ID]],ST[Order ID],ST[Units Sold])</f>
        <v>4</v>
      </c>
      <c r="L536">
        <f t="shared" si="8"/>
        <v>27000</v>
      </c>
    </row>
    <row r="537" spans="1:12" x14ac:dyDescent="0.35">
      <c r="A537" s="7">
        <v>1546</v>
      </c>
      <c r="B537" s="1">
        <v>45490</v>
      </c>
      <c r="C537" s="2" t="s">
        <v>21</v>
      </c>
      <c r="D537" t="str">
        <f>_xlfn.XLOOKUP(Merged_Sales_Data!C537,PM[Product ID],PM[Product Name])</f>
        <v>Wireless Mouse</v>
      </c>
      <c r="E537" t="str">
        <f>VLOOKUP(C537,PM[],3,FALSE)</f>
        <v>Electronics</v>
      </c>
      <c r="F537">
        <f>_xlfn.XLOOKUP(C537,PM[Product ID],PM[Unit Price (₹)])</f>
        <v>780</v>
      </c>
      <c r="G537" t="str">
        <f>_xlfn.XLOOKUP(Sales[[#This Row],[Order ID]],ST[Order ID],ST[Employee ID])</f>
        <v>E08</v>
      </c>
      <c r="H537" t="str">
        <f>_xlfn.XLOOKUP(G537,SM[Employee ID],SM[Salesperson])</f>
        <v>Neha Joshi</v>
      </c>
      <c r="I537" t="str">
        <f>_xlfn.XLOOKUP(G537,SM[Employee ID],SM[Region])</f>
        <v>West</v>
      </c>
      <c r="J537" t="str">
        <f>_xlfn.XLOOKUP(G537,SM[Employee ID],SM[State/City])</f>
        <v>Ahmedabad</v>
      </c>
      <c r="K537" s="2">
        <f>_xlfn.XLOOKUP(Sales[[#This Row],[Order ID]],ST[Order ID],ST[Units Sold])</f>
        <v>1</v>
      </c>
      <c r="L537">
        <f t="shared" si="8"/>
        <v>780</v>
      </c>
    </row>
    <row r="538" spans="1:12" x14ac:dyDescent="0.35">
      <c r="A538" s="7">
        <v>1524</v>
      </c>
      <c r="B538" s="1">
        <v>45491</v>
      </c>
      <c r="C538" s="2" t="s">
        <v>21</v>
      </c>
      <c r="D538" t="str">
        <f>_xlfn.XLOOKUP(Merged_Sales_Data!C538,PM[Product ID],PM[Product Name])</f>
        <v>Wireless Mouse</v>
      </c>
      <c r="E538" t="str">
        <f>VLOOKUP(C538,PM[],3,FALSE)</f>
        <v>Electronics</v>
      </c>
      <c r="F538">
        <f>_xlfn.XLOOKUP(C538,PM[Product ID],PM[Unit Price (₹)])</f>
        <v>780</v>
      </c>
      <c r="G538" t="str">
        <f>_xlfn.XLOOKUP(Sales[[#This Row],[Order ID]],ST[Order ID],ST[Employee ID])</f>
        <v>E07</v>
      </c>
      <c r="H538" t="str">
        <f>_xlfn.XLOOKUP(G538,SM[Employee ID],SM[Salesperson])</f>
        <v>Aditya Kapoor</v>
      </c>
      <c r="I538" t="str">
        <f>_xlfn.XLOOKUP(G538,SM[Employee ID],SM[Region])</f>
        <v>West</v>
      </c>
      <c r="J538" t="str">
        <f>_xlfn.XLOOKUP(G538,SM[Employee ID],SM[State/City])</f>
        <v>Mumbai</v>
      </c>
      <c r="K538" s="2">
        <f>_xlfn.XLOOKUP(Sales[[#This Row],[Order ID]],ST[Order ID],ST[Units Sold])</f>
        <v>8</v>
      </c>
      <c r="L538">
        <f t="shared" si="8"/>
        <v>6240</v>
      </c>
    </row>
    <row r="539" spans="1:12" x14ac:dyDescent="0.35">
      <c r="A539" s="7">
        <v>1528</v>
      </c>
      <c r="B539" s="1">
        <v>45491</v>
      </c>
      <c r="C539" s="2" t="s">
        <v>12</v>
      </c>
      <c r="D539" t="str">
        <f>_xlfn.XLOOKUP(Merged_Sales_Data!C539,PM[Product ID],PM[Product Name])</f>
        <v>Bookshelf Unit</v>
      </c>
      <c r="E539" t="str">
        <f>VLOOKUP(C539,PM[],3,FALSE)</f>
        <v>Furniture</v>
      </c>
      <c r="F539">
        <f>_xlfn.XLOOKUP(C539,PM[Product ID],PM[Unit Price (₹)])</f>
        <v>3910</v>
      </c>
      <c r="G539" t="str">
        <f>_xlfn.XLOOKUP(Sales[[#This Row],[Order ID]],ST[Order ID],ST[Employee ID])</f>
        <v>E07</v>
      </c>
      <c r="H539" t="str">
        <f>_xlfn.XLOOKUP(G539,SM[Employee ID],SM[Salesperson])</f>
        <v>Aditya Kapoor</v>
      </c>
      <c r="I539" t="str">
        <f>_xlfn.XLOOKUP(G539,SM[Employee ID],SM[Region])</f>
        <v>West</v>
      </c>
      <c r="J539" t="str">
        <f>_xlfn.XLOOKUP(G539,SM[Employee ID],SM[State/City])</f>
        <v>Mumbai</v>
      </c>
      <c r="K539" s="2">
        <f>_xlfn.XLOOKUP(Sales[[#This Row],[Order ID]],ST[Order ID],ST[Units Sold])</f>
        <v>3</v>
      </c>
      <c r="L539">
        <f t="shared" si="8"/>
        <v>11730</v>
      </c>
    </row>
    <row r="540" spans="1:12" x14ac:dyDescent="0.35">
      <c r="A540" s="7">
        <v>1529</v>
      </c>
      <c r="B540" s="1">
        <v>45493</v>
      </c>
      <c r="C540" s="2" t="s">
        <v>18</v>
      </c>
      <c r="D540" t="str">
        <f>_xlfn.XLOOKUP(Merged_Sales_Data!C540,PM[Product ID],PM[Product Name])</f>
        <v>LED Monitor 24"</v>
      </c>
      <c r="E540" t="str">
        <f>VLOOKUP(C540,PM[],3,FALSE)</f>
        <v>Electronics</v>
      </c>
      <c r="F540">
        <f>_xlfn.XLOOKUP(C540,PM[Product ID],PM[Unit Price (₹)])</f>
        <v>7700</v>
      </c>
      <c r="G540" t="str">
        <f>_xlfn.XLOOKUP(Sales[[#This Row],[Order ID]],ST[Order ID],ST[Employee ID])</f>
        <v>E06</v>
      </c>
      <c r="H540" t="str">
        <f>_xlfn.XLOOKUP(G540,SM[Employee ID],SM[Salesperson])</f>
        <v>Sneha Roy</v>
      </c>
      <c r="I540" t="str">
        <f>_xlfn.XLOOKUP(G540,SM[Employee ID],SM[Region])</f>
        <v>East</v>
      </c>
      <c r="J540" t="str">
        <f>_xlfn.XLOOKUP(G540,SM[Employee ID],SM[State/City])</f>
        <v>Kolkata</v>
      </c>
      <c r="K540" s="2">
        <f>_xlfn.XLOOKUP(Sales[[#This Row],[Order ID]],ST[Order ID],ST[Units Sold])</f>
        <v>2</v>
      </c>
      <c r="L540">
        <f t="shared" si="8"/>
        <v>15400</v>
      </c>
    </row>
    <row r="541" spans="1:12" x14ac:dyDescent="0.35">
      <c r="A541" s="7">
        <v>1537</v>
      </c>
      <c r="B541" s="1">
        <v>45495</v>
      </c>
      <c r="C541" s="2" t="s">
        <v>12</v>
      </c>
      <c r="D541" t="str">
        <f>_xlfn.XLOOKUP(Merged_Sales_Data!C541,PM[Product ID],PM[Product Name])</f>
        <v>Bookshelf Unit</v>
      </c>
      <c r="E541" t="str">
        <f>VLOOKUP(C541,PM[],3,FALSE)</f>
        <v>Furniture</v>
      </c>
      <c r="F541">
        <f>_xlfn.XLOOKUP(C541,PM[Product ID],PM[Unit Price (₹)])</f>
        <v>3910</v>
      </c>
      <c r="G541" t="str">
        <f>_xlfn.XLOOKUP(Sales[[#This Row],[Order ID]],ST[Order ID],ST[Employee ID])</f>
        <v>E01</v>
      </c>
      <c r="H541" t="str">
        <f>_xlfn.XLOOKUP(G541,SM[Employee ID],SM[Salesperson])</f>
        <v>Aarav Sharma</v>
      </c>
      <c r="I541" t="str">
        <f>_xlfn.XLOOKUP(G541,SM[Employee ID],SM[Region])</f>
        <v>North</v>
      </c>
      <c r="J541" t="str">
        <f>_xlfn.XLOOKUP(G541,SM[Employee ID],SM[State/City])</f>
        <v>Lucknow</v>
      </c>
      <c r="K541" s="2">
        <f>_xlfn.XLOOKUP(Sales[[#This Row],[Order ID]],ST[Order ID],ST[Units Sold])</f>
        <v>3</v>
      </c>
      <c r="L541">
        <f t="shared" si="8"/>
        <v>11730</v>
      </c>
    </row>
    <row r="542" spans="1:12" x14ac:dyDescent="0.35">
      <c r="A542" s="7">
        <v>1547</v>
      </c>
      <c r="B542" s="1">
        <v>45495</v>
      </c>
      <c r="C542" s="2" t="s">
        <v>8</v>
      </c>
      <c r="D542" t="str">
        <f>_xlfn.XLOOKUP(Merged_Sales_Data!C542,PM[Product ID],PM[Product Name])</f>
        <v>USB-C Hub</v>
      </c>
      <c r="E542" t="str">
        <f>VLOOKUP(C542,PM[],3,FALSE)</f>
        <v>Accessories</v>
      </c>
      <c r="F542">
        <f>_xlfn.XLOOKUP(C542,PM[Product ID],PM[Unit Price (₹)])</f>
        <v>880</v>
      </c>
      <c r="G542" t="str">
        <f>_xlfn.XLOOKUP(Sales[[#This Row],[Order ID]],ST[Order ID],ST[Employee ID])</f>
        <v>E04</v>
      </c>
      <c r="H542" t="str">
        <f>_xlfn.XLOOKUP(G542,SM[Employee ID],SM[Salesperson])</f>
        <v>Priya Nair</v>
      </c>
      <c r="I542" t="str">
        <f>_xlfn.XLOOKUP(G542,SM[Employee ID],SM[Region])</f>
        <v>South</v>
      </c>
      <c r="J542" t="str">
        <f>_xlfn.XLOOKUP(G542,SM[Employee ID],SM[State/City])</f>
        <v>Bengaluru</v>
      </c>
      <c r="K542" s="2">
        <f>_xlfn.XLOOKUP(Sales[[#This Row],[Order ID]],ST[Order ID],ST[Units Sold])</f>
        <v>3</v>
      </c>
      <c r="L542">
        <f t="shared" si="8"/>
        <v>2640</v>
      </c>
    </row>
    <row r="543" spans="1:12" x14ac:dyDescent="0.35">
      <c r="A543" s="7">
        <v>1522</v>
      </c>
      <c r="B543" s="1">
        <v>45497</v>
      </c>
      <c r="C543" s="2" t="s">
        <v>18</v>
      </c>
      <c r="D543" t="str">
        <f>_xlfn.XLOOKUP(Merged_Sales_Data!C543,PM[Product ID],PM[Product Name])</f>
        <v>LED Monitor 24"</v>
      </c>
      <c r="E543" t="str">
        <f>VLOOKUP(C543,PM[],3,FALSE)</f>
        <v>Electronics</v>
      </c>
      <c r="F543">
        <f>_xlfn.XLOOKUP(C543,PM[Product ID],PM[Unit Price (₹)])</f>
        <v>7700</v>
      </c>
      <c r="G543" t="str">
        <f>_xlfn.XLOOKUP(Sales[[#This Row],[Order ID]],ST[Order ID],ST[Employee ID])</f>
        <v>E07</v>
      </c>
      <c r="H543" t="str">
        <f>_xlfn.XLOOKUP(G543,SM[Employee ID],SM[Salesperson])</f>
        <v>Aditya Kapoor</v>
      </c>
      <c r="I543" t="str">
        <f>_xlfn.XLOOKUP(G543,SM[Employee ID],SM[Region])</f>
        <v>West</v>
      </c>
      <c r="J543" t="str">
        <f>_xlfn.XLOOKUP(G543,SM[Employee ID],SM[State/City])</f>
        <v>Mumbai</v>
      </c>
      <c r="K543" s="2">
        <f>_xlfn.XLOOKUP(Sales[[#This Row],[Order ID]],ST[Order ID],ST[Units Sold])</f>
        <v>2</v>
      </c>
      <c r="L543">
        <f t="shared" si="8"/>
        <v>15400</v>
      </c>
    </row>
    <row r="544" spans="1:12" x14ac:dyDescent="0.35">
      <c r="A544" s="7">
        <v>1534</v>
      </c>
      <c r="B544" s="1">
        <v>45497</v>
      </c>
      <c r="C544" s="2" t="s">
        <v>10</v>
      </c>
      <c r="D544" t="str">
        <f>_xlfn.XLOOKUP(Merged_Sales_Data!C544,PM[Product ID],PM[Product Name])</f>
        <v>Filing Cabinet</v>
      </c>
      <c r="E544" t="str">
        <f>VLOOKUP(C544,PM[],3,FALSE)</f>
        <v>Furniture</v>
      </c>
      <c r="F544">
        <f>_xlfn.XLOOKUP(C544,PM[Product ID],PM[Unit Price (₹)])</f>
        <v>4070</v>
      </c>
      <c r="G544" t="str">
        <f>_xlfn.XLOOKUP(Sales[[#This Row],[Order ID]],ST[Order ID],ST[Employee ID])</f>
        <v>E03</v>
      </c>
      <c r="H544" t="str">
        <f>_xlfn.XLOOKUP(G544,SM[Employee ID],SM[Salesperson])</f>
        <v>Rohan Mehta</v>
      </c>
      <c r="I544" t="str">
        <f>_xlfn.XLOOKUP(G544,SM[Employee ID],SM[Region])</f>
        <v>South</v>
      </c>
      <c r="J544" t="str">
        <f>_xlfn.XLOOKUP(G544,SM[Employee ID],SM[State/City])</f>
        <v>Bengaluru</v>
      </c>
      <c r="K544" s="2">
        <f>_xlfn.XLOOKUP(Sales[[#This Row],[Order ID]],ST[Order ID],ST[Units Sold])</f>
        <v>8</v>
      </c>
      <c r="L544">
        <f t="shared" si="8"/>
        <v>32560</v>
      </c>
    </row>
    <row r="545" spans="1:12" x14ac:dyDescent="0.35">
      <c r="A545" s="7">
        <v>1541</v>
      </c>
      <c r="B545" s="1">
        <v>45497</v>
      </c>
      <c r="C545" s="2" t="s">
        <v>8</v>
      </c>
      <c r="D545" t="str">
        <f>_xlfn.XLOOKUP(Merged_Sales_Data!C545,PM[Product ID],PM[Product Name])</f>
        <v>USB-C Hub</v>
      </c>
      <c r="E545" t="str">
        <f>VLOOKUP(C545,PM[],3,FALSE)</f>
        <v>Accessories</v>
      </c>
      <c r="F545">
        <f>_xlfn.XLOOKUP(C545,PM[Product ID],PM[Unit Price (₹)])</f>
        <v>880</v>
      </c>
      <c r="G545" t="str">
        <f>_xlfn.XLOOKUP(Sales[[#This Row],[Order ID]],ST[Order ID],ST[Employee ID])</f>
        <v>E03</v>
      </c>
      <c r="H545" t="str">
        <f>_xlfn.XLOOKUP(G545,SM[Employee ID],SM[Salesperson])</f>
        <v>Rohan Mehta</v>
      </c>
      <c r="I545" t="str">
        <f>_xlfn.XLOOKUP(G545,SM[Employee ID],SM[Region])</f>
        <v>South</v>
      </c>
      <c r="J545" t="str">
        <f>_xlfn.XLOOKUP(G545,SM[Employee ID],SM[State/City])</f>
        <v>Bengaluru</v>
      </c>
      <c r="K545" s="2">
        <f>_xlfn.XLOOKUP(Sales[[#This Row],[Order ID]],ST[Order ID],ST[Units Sold])</f>
        <v>10</v>
      </c>
      <c r="L545">
        <f t="shared" si="8"/>
        <v>8800</v>
      </c>
    </row>
    <row r="546" spans="1:12" x14ac:dyDescent="0.35">
      <c r="A546" s="7">
        <v>1531</v>
      </c>
      <c r="B546" s="1">
        <v>45499</v>
      </c>
      <c r="C546" s="2" t="s">
        <v>18</v>
      </c>
      <c r="D546" t="str">
        <f>_xlfn.XLOOKUP(Merged_Sales_Data!C546,PM[Product ID],PM[Product Name])</f>
        <v>LED Monitor 24"</v>
      </c>
      <c r="E546" t="str">
        <f>VLOOKUP(C546,PM[],3,FALSE)</f>
        <v>Electronics</v>
      </c>
      <c r="F546">
        <f>_xlfn.XLOOKUP(C546,PM[Product ID],PM[Unit Price (₹)])</f>
        <v>7700</v>
      </c>
      <c r="G546" t="str">
        <f>_xlfn.XLOOKUP(Sales[[#This Row],[Order ID]],ST[Order ID],ST[Employee ID])</f>
        <v>E01</v>
      </c>
      <c r="H546" t="str">
        <f>_xlfn.XLOOKUP(G546,SM[Employee ID],SM[Salesperson])</f>
        <v>Aarav Sharma</v>
      </c>
      <c r="I546" t="str">
        <f>_xlfn.XLOOKUP(G546,SM[Employee ID],SM[Region])</f>
        <v>North</v>
      </c>
      <c r="J546" t="str">
        <f>_xlfn.XLOOKUP(G546,SM[Employee ID],SM[State/City])</f>
        <v>Lucknow</v>
      </c>
      <c r="K546" s="2">
        <f>_xlfn.XLOOKUP(Sales[[#This Row],[Order ID]],ST[Order ID],ST[Units Sold])</f>
        <v>3</v>
      </c>
      <c r="L546">
        <f t="shared" si="8"/>
        <v>23100</v>
      </c>
    </row>
    <row r="547" spans="1:12" x14ac:dyDescent="0.35">
      <c r="A547" s="7">
        <v>1535</v>
      </c>
      <c r="B547" s="1">
        <v>45500</v>
      </c>
      <c r="C547" s="2" t="s">
        <v>12</v>
      </c>
      <c r="D547" t="str">
        <f>_xlfn.XLOOKUP(Merged_Sales_Data!C547,PM[Product ID],PM[Product Name])</f>
        <v>Bookshelf Unit</v>
      </c>
      <c r="E547" t="str">
        <f>VLOOKUP(C547,PM[],3,FALSE)</f>
        <v>Furniture</v>
      </c>
      <c r="F547">
        <f>_xlfn.XLOOKUP(C547,PM[Product ID],PM[Unit Price (₹)])</f>
        <v>3910</v>
      </c>
      <c r="G547" t="str">
        <f>_xlfn.XLOOKUP(Sales[[#This Row],[Order ID]],ST[Order ID],ST[Employee ID])</f>
        <v>E05</v>
      </c>
      <c r="H547" t="str">
        <f>_xlfn.XLOOKUP(G547,SM[Employee ID],SM[Salesperson])</f>
        <v>Karan Malhotra</v>
      </c>
      <c r="I547" t="str">
        <f>_xlfn.XLOOKUP(G547,SM[Employee ID],SM[Region])</f>
        <v>East</v>
      </c>
      <c r="J547" t="str">
        <f>_xlfn.XLOOKUP(G547,SM[Employee ID],SM[State/City])</f>
        <v>Kolkata</v>
      </c>
      <c r="K547" s="2">
        <f>_xlfn.XLOOKUP(Sales[[#This Row],[Order ID]],ST[Order ID],ST[Units Sold])</f>
        <v>6</v>
      </c>
      <c r="L547">
        <f t="shared" si="8"/>
        <v>23460</v>
      </c>
    </row>
    <row r="548" spans="1:12" x14ac:dyDescent="0.35">
      <c r="A548" s="7">
        <v>1536</v>
      </c>
      <c r="B548" s="1">
        <v>45500</v>
      </c>
      <c r="C548" s="2" t="s">
        <v>20</v>
      </c>
      <c r="D548" t="str">
        <f>_xlfn.XLOOKUP(Merged_Sales_Data!C548,PM[Product ID],PM[Product Name])</f>
        <v>Standing Desk</v>
      </c>
      <c r="E548" t="str">
        <f>VLOOKUP(C548,PM[],3,FALSE)</f>
        <v>Office Supplies</v>
      </c>
      <c r="F548">
        <f>_xlfn.XLOOKUP(C548,PM[Product ID],PM[Unit Price (₹)])</f>
        <v>11010</v>
      </c>
      <c r="G548" t="str">
        <f>_xlfn.XLOOKUP(Sales[[#This Row],[Order ID]],ST[Order ID],ST[Employee ID])</f>
        <v>E08</v>
      </c>
      <c r="H548" t="str">
        <f>_xlfn.XLOOKUP(G548,SM[Employee ID],SM[Salesperson])</f>
        <v>Neha Joshi</v>
      </c>
      <c r="I548" t="str">
        <f>_xlfn.XLOOKUP(G548,SM[Employee ID],SM[Region])</f>
        <v>West</v>
      </c>
      <c r="J548" t="str">
        <f>_xlfn.XLOOKUP(G548,SM[Employee ID],SM[State/City])</f>
        <v>Ahmedabad</v>
      </c>
      <c r="K548" s="2">
        <f>_xlfn.XLOOKUP(Sales[[#This Row],[Order ID]],ST[Order ID],ST[Units Sold])</f>
        <v>5</v>
      </c>
      <c r="L548">
        <f t="shared" si="8"/>
        <v>55050</v>
      </c>
    </row>
    <row r="549" spans="1:12" x14ac:dyDescent="0.35">
      <c r="A549" s="7">
        <v>1539</v>
      </c>
      <c r="B549" s="1">
        <v>45504</v>
      </c>
      <c r="C549" s="2" t="s">
        <v>14</v>
      </c>
      <c r="D549" t="str">
        <f>_xlfn.XLOOKUP(Merged_Sales_Data!C549,PM[Product ID],PM[Product Name])</f>
        <v>Laptop Backpack</v>
      </c>
      <c r="E549" t="str">
        <f>VLOOKUP(C549,PM[],3,FALSE)</f>
        <v>Accessories</v>
      </c>
      <c r="F549">
        <f>_xlfn.XLOOKUP(C549,PM[Product ID],PM[Unit Price (₹)])</f>
        <v>1110</v>
      </c>
      <c r="G549" t="str">
        <f>_xlfn.XLOOKUP(Sales[[#This Row],[Order ID]],ST[Order ID],ST[Employee ID])</f>
        <v>E01</v>
      </c>
      <c r="H549" t="str">
        <f>_xlfn.XLOOKUP(G549,SM[Employee ID],SM[Salesperson])</f>
        <v>Aarav Sharma</v>
      </c>
      <c r="I549" t="str">
        <f>_xlfn.XLOOKUP(G549,SM[Employee ID],SM[Region])</f>
        <v>North</v>
      </c>
      <c r="J549" t="str">
        <f>_xlfn.XLOOKUP(G549,SM[Employee ID],SM[State/City])</f>
        <v>Lucknow</v>
      </c>
      <c r="K549" s="2">
        <f>_xlfn.XLOOKUP(Sales[[#This Row],[Order ID]],ST[Order ID],ST[Units Sold])</f>
        <v>2</v>
      </c>
      <c r="L549">
        <f t="shared" si="8"/>
        <v>2220</v>
      </c>
    </row>
    <row r="550" spans="1:12" x14ac:dyDescent="0.35">
      <c r="A550" s="7">
        <v>1561</v>
      </c>
      <c r="B550" s="1">
        <v>45506</v>
      </c>
      <c r="C550" s="2" t="s">
        <v>5</v>
      </c>
      <c r="D550" t="str">
        <f>_xlfn.XLOOKUP(Merged_Sales_Data!C550,PM[Product ID],PM[Product Name])</f>
        <v>Ergo Office Chair</v>
      </c>
      <c r="E550" t="str">
        <f>VLOOKUP(C550,PM[],3,FALSE)</f>
        <v>Office Supplies</v>
      </c>
      <c r="F550">
        <f>_xlfn.XLOOKUP(C550,PM[Product ID],PM[Unit Price (₹)])</f>
        <v>6750</v>
      </c>
      <c r="G550" t="str">
        <f>_xlfn.XLOOKUP(Sales[[#This Row],[Order ID]],ST[Order ID],ST[Employee ID])</f>
        <v>E02</v>
      </c>
      <c r="H550" t="str">
        <f>_xlfn.XLOOKUP(G550,SM[Employee ID],SM[Salesperson])</f>
        <v>Ishita Verma</v>
      </c>
      <c r="I550" t="str">
        <f>_xlfn.XLOOKUP(G550,SM[Employee ID],SM[Region])</f>
        <v>North</v>
      </c>
      <c r="J550" t="str">
        <f>_xlfn.XLOOKUP(G550,SM[Employee ID],SM[State/City])</f>
        <v>Chandigarh</v>
      </c>
      <c r="K550" s="2">
        <f>_xlfn.XLOOKUP(Sales[[#This Row],[Order ID]],ST[Order ID],ST[Units Sold])</f>
        <v>2</v>
      </c>
      <c r="L550">
        <f t="shared" si="8"/>
        <v>13500</v>
      </c>
    </row>
    <row r="551" spans="1:12" x14ac:dyDescent="0.35">
      <c r="A551" s="7">
        <v>1562</v>
      </c>
      <c r="B551" s="1">
        <v>45508</v>
      </c>
      <c r="C551" s="2" t="s">
        <v>5</v>
      </c>
      <c r="D551" t="str">
        <f>_xlfn.XLOOKUP(Merged_Sales_Data!C551,PM[Product ID],PM[Product Name])</f>
        <v>Ergo Office Chair</v>
      </c>
      <c r="E551" t="str">
        <f>VLOOKUP(C551,PM[],3,FALSE)</f>
        <v>Office Supplies</v>
      </c>
      <c r="F551">
        <f>_xlfn.XLOOKUP(C551,PM[Product ID],PM[Unit Price (₹)])</f>
        <v>6750</v>
      </c>
      <c r="G551" t="str">
        <f>_xlfn.XLOOKUP(Sales[[#This Row],[Order ID]],ST[Order ID],ST[Employee ID])</f>
        <v>E04</v>
      </c>
      <c r="H551" t="str">
        <f>_xlfn.XLOOKUP(G551,SM[Employee ID],SM[Salesperson])</f>
        <v>Priya Nair</v>
      </c>
      <c r="I551" t="str">
        <f>_xlfn.XLOOKUP(G551,SM[Employee ID],SM[Region])</f>
        <v>South</v>
      </c>
      <c r="J551" t="str">
        <f>_xlfn.XLOOKUP(G551,SM[Employee ID],SM[State/City])</f>
        <v>Bengaluru</v>
      </c>
      <c r="K551" s="2">
        <f>_xlfn.XLOOKUP(Sales[[#This Row],[Order ID]],ST[Order ID],ST[Units Sold])</f>
        <v>1</v>
      </c>
      <c r="L551">
        <f t="shared" si="8"/>
        <v>6750</v>
      </c>
    </row>
    <row r="552" spans="1:12" x14ac:dyDescent="0.35">
      <c r="A552" s="7">
        <v>1563</v>
      </c>
      <c r="B552" s="1">
        <v>45508</v>
      </c>
      <c r="C552" s="2" t="s">
        <v>12</v>
      </c>
      <c r="D552" t="str">
        <f>_xlfn.XLOOKUP(Merged_Sales_Data!C552,PM[Product ID],PM[Product Name])</f>
        <v>Bookshelf Unit</v>
      </c>
      <c r="E552" t="str">
        <f>VLOOKUP(C552,PM[],3,FALSE)</f>
        <v>Furniture</v>
      </c>
      <c r="F552">
        <f>_xlfn.XLOOKUP(C552,PM[Product ID],PM[Unit Price (₹)])</f>
        <v>3910</v>
      </c>
      <c r="G552" t="str">
        <f>_xlfn.XLOOKUP(Sales[[#This Row],[Order ID]],ST[Order ID],ST[Employee ID])</f>
        <v>E07</v>
      </c>
      <c r="H552" t="str">
        <f>_xlfn.XLOOKUP(G552,SM[Employee ID],SM[Salesperson])</f>
        <v>Aditya Kapoor</v>
      </c>
      <c r="I552" t="str">
        <f>_xlfn.XLOOKUP(G552,SM[Employee ID],SM[Region])</f>
        <v>West</v>
      </c>
      <c r="J552" t="str">
        <f>_xlfn.XLOOKUP(G552,SM[Employee ID],SM[State/City])</f>
        <v>Mumbai</v>
      </c>
      <c r="K552" s="2">
        <f>_xlfn.XLOOKUP(Sales[[#This Row],[Order ID]],ST[Order ID],ST[Units Sold])</f>
        <v>5</v>
      </c>
      <c r="L552">
        <f t="shared" si="8"/>
        <v>19550</v>
      </c>
    </row>
    <row r="553" spans="1:12" x14ac:dyDescent="0.35">
      <c r="A553" s="7">
        <v>1560</v>
      </c>
      <c r="B553" s="1">
        <v>45509</v>
      </c>
      <c r="C553" s="2" t="s">
        <v>8</v>
      </c>
      <c r="D553" t="str">
        <f>_xlfn.XLOOKUP(Merged_Sales_Data!C553,PM[Product ID],PM[Product Name])</f>
        <v>USB-C Hub</v>
      </c>
      <c r="E553" t="str">
        <f>VLOOKUP(C553,PM[],3,FALSE)</f>
        <v>Accessories</v>
      </c>
      <c r="F553">
        <f>_xlfn.XLOOKUP(C553,PM[Product ID],PM[Unit Price (₹)])</f>
        <v>880</v>
      </c>
      <c r="G553" t="str">
        <f>_xlfn.XLOOKUP(Sales[[#This Row],[Order ID]],ST[Order ID],ST[Employee ID])</f>
        <v>E05</v>
      </c>
      <c r="H553" t="str">
        <f>_xlfn.XLOOKUP(G553,SM[Employee ID],SM[Salesperson])</f>
        <v>Karan Malhotra</v>
      </c>
      <c r="I553" t="str">
        <f>_xlfn.XLOOKUP(G553,SM[Employee ID],SM[Region])</f>
        <v>East</v>
      </c>
      <c r="J553" t="str">
        <f>_xlfn.XLOOKUP(G553,SM[Employee ID],SM[State/City])</f>
        <v>Kolkata</v>
      </c>
      <c r="K553" s="2">
        <f>_xlfn.XLOOKUP(Sales[[#This Row],[Order ID]],ST[Order ID],ST[Units Sold])</f>
        <v>2</v>
      </c>
      <c r="L553">
        <f t="shared" si="8"/>
        <v>1760</v>
      </c>
    </row>
    <row r="554" spans="1:12" x14ac:dyDescent="0.35">
      <c r="A554" s="7">
        <v>1571</v>
      </c>
      <c r="B554" s="1">
        <v>45510</v>
      </c>
      <c r="C554" s="2" t="s">
        <v>10</v>
      </c>
      <c r="D554" t="str">
        <f>_xlfn.XLOOKUP(Merged_Sales_Data!C554,PM[Product ID],PM[Product Name])</f>
        <v>Filing Cabinet</v>
      </c>
      <c r="E554" t="str">
        <f>VLOOKUP(C554,PM[],3,FALSE)</f>
        <v>Furniture</v>
      </c>
      <c r="F554">
        <f>_xlfn.XLOOKUP(C554,PM[Product ID],PM[Unit Price (₹)])</f>
        <v>4070</v>
      </c>
      <c r="G554" t="str">
        <f>_xlfn.XLOOKUP(Sales[[#This Row],[Order ID]],ST[Order ID],ST[Employee ID])</f>
        <v>E01</v>
      </c>
      <c r="H554" t="str">
        <f>_xlfn.XLOOKUP(G554,SM[Employee ID],SM[Salesperson])</f>
        <v>Aarav Sharma</v>
      </c>
      <c r="I554" t="str">
        <f>_xlfn.XLOOKUP(G554,SM[Employee ID],SM[Region])</f>
        <v>North</v>
      </c>
      <c r="J554" t="str">
        <f>_xlfn.XLOOKUP(G554,SM[Employee ID],SM[State/City])</f>
        <v>Lucknow</v>
      </c>
      <c r="K554" s="2">
        <f>_xlfn.XLOOKUP(Sales[[#This Row],[Order ID]],ST[Order ID],ST[Units Sold])</f>
        <v>5</v>
      </c>
      <c r="L554">
        <f t="shared" si="8"/>
        <v>20350</v>
      </c>
    </row>
    <row r="555" spans="1:12" x14ac:dyDescent="0.35">
      <c r="A555" s="7">
        <v>1559</v>
      </c>
      <c r="B555" s="1">
        <v>45511</v>
      </c>
      <c r="C555" s="2" t="s">
        <v>14</v>
      </c>
      <c r="D555" t="str">
        <f>_xlfn.XLOOKUP(Merged_Sales_Data!C555,PM[Product ID],PM[Product Name])</f>
        <v>Laptop Backpack</v>
      </c>
      <c r="E555" t="str">
        <f>VLOOKUP(C555,PM[],3,FALSE)</f>
        <v>Accessories</v>
      </c>
      <c r="F555">
        <f>_xlfn.XLOOKUP(C555,PM[Product ID],PM[Unit Price (₹)])</f>
        <v>1110</v>
      </c>
      <c r="G555" t="str">
        <f>_xlfn.XLOOKUP(Sales[[#This Row],[Order ID]],ST[Order ID],ST[Employee ID])</f>
        <v>E05</v>
      </c>
      <c r="H555" t="str">
        <f>_xlfn.XLOOKUP(G555,SM[Employee ID],SM[Salesperson])</f>
        <v>Karan Malhotra</v>
      </c>
      <c r="I555" t="str">
        <f>_xlfn.XLOOKUP(G555,SM[Employee ID],SM[Region])</f>
        <v>East</v>
      </c>
      <c r="J555" t="str">
        <f>_xlfn.XLOOKUP(G555,SM[Employee ID],SM[State/City])</f>
        <v>Kolkata</v>
      </c>
      <c r="K555" s="2">
        <f>_xlfn.XLOOKUP(Sales[[#This Row],[Order ID]],ST[Order ID],ST[Units Sold])</f>
        <v>2</v>
      </c>
      <c r="L555">
        <f t="shared" si="8"/>
        <v>2220</v>
      </c>
    </row>
    <row r="556" spans="1:12" x14ac:dyDescent="0.35">
      <c r="A556" s="7">
        <v>1566</v>
      </c>
      <c r="B556" s="1">
        <v>45511</v>
      </c>
      <c r="C556" s="2" t="s">
        <v>14</v>
      </c>
      <c r="D556" t="str">
        <f>_xlfn.XLOOKUP(Merged_Sales_Data!C556,PM[Product ID],PM[Product Name])</f>
        <v>Laptop Backpack</v>
      </c>
      <c r="E556" t="str">
        <f>VLOOKUP(C556,PM[],3,FALSE)</f>
        <v>Accessories</v>
      </c>
      <c r="F556">
        <f>_xlfn.XLOOKUP(C556,PM[Product ID],PM[Unit Price (₹)])</f>
        <v>1110</v>
      </c>
      <c r="G556" t="str">
        <f>_xlfn.XLOOKUP(Sales[[#This Row],[Order ID]],ST[Order ID],ST[Employee ID])</f>
        <v>E08</v>
      </c>
      <c r="H556" t="str">
        <f>_xlfn.XLOOKUP(G556,SM[Employee ID],SM[Salesperson])</f>
        <v>Neha Joshi</v>
      </c>
      <c r="I556" t="str">
        <f>_xlfn.XLOOKUP(G556,SM[Employee ID],SM[Region])</f>
        <v>West</v>
      </c>
      <c r="J556" t="str">
        <f>_xlfn.XLOOKUP(G556,SM[Employee ID],SM[State/City])</f>
        <v>Ahmedabad</v>
      </c>
      <c r="K556" s="2">
        <f>_xlfn.XLOOKUP(Sales[[#This Row],[Order ID]],ST[Order ID],ST[Units Sold])</f>
        <v>10</v>
      </c>
      <c r="L556">
        <f t="shared" si="8"/>
        <v>11100</v>
      </c>
    </row>
    <row r="557" spans="1:12" x14ac:dyDescent="0.35">
      <c r="A557" s="7">
        <v>1576</v>
      </c>
      <c r="B557" s="1">
        <v>45513</v>
      </c>
      <c r="C557" s="2" t="s">
        <v>14</v>
      </c>
      <c r="D557" t="str">
        <f>_xlfn.XLOOKUP(Merged_Sales_Data!C557,PM[Product ID],PM[Product Name])</f>
        <v>Laptop Backpack</v>
      </c>
      <c r="E557" t="str">
        <f>VLOOKUP(C557,PM[],3,FALSE)</f>
        <v>Accessories</v>
      </c>
      <c r="F557">
        <f>_xlfn.XLOOKUP(C557,PM[Product ID],PM[Unit Price (₹)])</f>
        <v>1110</v>
      </c>
      <c r="G557" t="str">
        <f>_xlfn.XLOOKUP(Sales[[#This Row],[Order ID]],ST[Order ID],ST[Employee ID])</f>
        <v>E03</v>
      </c>
      <c r="H557" t="str">
        <f>_xlfn.XLOOKUP(G557,SM[Employee ID],SM[Salesperson])</f>
        <v>Rohan Mehta</v>
      </c>
      <c r="I557" t="str">
        <f>_xlfn.XLOOKUP(G557,SM[Employee ID],SM[Region])</f>
        <v>South</v>
      </c>
      <c r="J557" t="str">
        <f>_xlfn.XLOOKUP(G557,SM[Employee ID],SM[State/City])</f>
        <v>Bengaluru</v>
      </c>
      <c r="K557" s="2">
        <f>_xlfn.XLOOKUP(Sales[[#This Row],[Order ID]],ST[Order ID],ST[Units Sold])</f>
        <v>10</v>
      </c>
      <c r="L557">
        <f t="shared" si="8"/>
        <v>11100</v>
      </c>
    </row>
    <row r="558" spans="1:12" x14ac:dyDescent="0.35">
      <c r="A558" s="7">
        <v>1557</v>
      </c>
      <c r="B558" s="1">
        <v>45514</v>
      </c>
      <c r="C558" s="2" t="s">
        <v>20</v>
      </c>
      <c r="D558" t="str">
        <f>_xlfn.XLOOKUP(Merged_Sales_Data!C558,PM[Product ID],PM[Product Name])</f>
        <v>Standing Desk</v>
      </c>
      <c r="E558" t="str">
        <f>VLOOKUP(C558,PM[],3,FALSE)</f>
        <v>Office Supplies</v>
      </c>
      <c r="F558">
        <f>_xlfn.XLOOKUP(C558,PM[Product ID],PM[Unit Price (₹)])</f>
        <v>11010</v>
      </c>
      <c r="G558" t="str">
        <f>_xlfn.XLOOKUP(Sales[[#This Row],[Order ID]],ST[Order ID],ST[Employee ID])</f>
        <v>E03</v>
      </c>
      <c r="H558" t="str">
        <f>_xlfn.XLOOKUP(G558,SM[Employee ID],SM[Salesperson])</f>
        <v>Rohan Mehta</v>
      </c>
      <c r="I558" t="str">
        <f>_xlfn.XLOOKUP(G558,SM[Employee ID],SM[Region])</f>
        <v>South</v>
      </c>
      <c r="J558" t="str">
        <f>_xlfn.XLOOKUP(G558,SM[Employee ID],SM[State/City])</f>
        <v>Bengaluru</v>
      </c>
      <c r="K558" s="2">
        <f>_xlfn.XLOOKUP(Sales[[#This Row],[Order ID]],ST[Order ID],ST[Units Sold])</f>
        <v>1</v>
      </c>
      <c r="L558">
        <f t="shared" si="8"/>
        <v>11010</v>
      </c>
    </row>
    <row r="559" spans="1:12" x14ac:dyDescent="0.35">
      <c r="A559" s="7">
        <v>1572</v>
      </c>
      <c r="B559" s="1">
        <v>45514</v>
      </c>
      <c r="C559" s="2" t="s">
        <v>21</v>
      </c>
      <c r="D559" t="str">
        <f>_xlfn.XLOOKUP(Merged_Sales_Data!C559,PM[Product ID],PM[Product Name])</f>
        <v>Wireless Mouse</v>
      </c>
      <c r="E559" t="str">
        <f>VLOOKUP(C559,PM[],3,FALSE)</f>
        <v>Electronics</v>
      </c>
      <c r="F559">
        <f>_xlfn.XLOOKUP(C559,PM[Product ID],PM[Unit Price (₹)])</f>
        <v>780</v>
      </c>
      <c r="G559" t="str">
        <f>_xlfn.XLOOKUP(Sales[[#This Row],[Order ID]],ST[Order ID],ST[Employee ID])</f>
        <v>E05</v>
      </c>
      <c r="H559" t="str">
        <f>_xlfn.XLOOKUP(G559,SM[Employee ID],SM[Salesperson])</f>
        <v>Karan Malhotra</v>
      </c>
      <c r="I559" t="str">
        <f>_xlfn.XLOOKUP(G559,SM[Employee ID],SM[Region])</f>
        <v>East</v>
      </c>
      <c r="J559" t="str">
        <f>_xlfn.XLOOKUP(G559,SM[Employee ID],SM[State/City])</f>
        <v>Kolkata</v>
      </c>
      <c r="K559" s="2">
        <f>_xlfn.XLOOKUP(Sales[[#This Row],[Order ID]],ST[Order ID],ST[Units Sold])</f>
        <v>1</v>
      </c>
      <c r="L559">
        <f t="shared" si="8"/>
        <v>780</v>
      </c>
    </row>
    <row r="560" spans="1:12" x14ac:dyDescent="0.35">
      <c r="A560" s="7">
        <v>1553</v>
      </c>
      <c r="B560" s="1">
        <v>45515</v>
      </c>
      <c r="C560" s="2" t="s">
        <v>5</v>
      </c>
      <c r="D560" t="str">
        <f>_xlfn.XLOOKUP(Merged_Sales_Data!C560,PM[Product ID],PM[Product Name])</f>
        <v>Ergo Office Chair</v>
      </c>
      <c r="E560" t="str">
        <f>VLOOKUP(C560,PM[],3,FALSE)</f>
        <v>Office Supplies</v>
      </c>
      <c r="F560">
        <f>_xlfn.XLOOKUP(C560,PM[Product ID],PM[Unit Price (₹)])</f>
        <v>6750</v>
      </c>
      <c r="G560" t="str">
        <f>_xlfn.XLOOKUP(Sales[[#This Row],[Order ID]],ST[Order ID],ST[Employee ID])</f>
        <v>E05</v>
      </c>
      <c r="H560" t="str">
        <f>_xlfn.XLOOKUP(G560,SM[Employee ID],SM[Salesperson])</f>
        <v>Karan Malhotra</v>
      </c>
      <c r="I560" t="str">
        <f>_xlfn.XLOOKUP(G560,SM[Employee ID],SM[Region])</f>
        <v>East</v>
      </c>
      <c r="J560" t="str">
        <f>_xlfn.XLOOKUP(G560,SM[Employee ID],SM[State/City])</f>
        <v>Kolkata</v>
      </c>
      <c r="K560" s="2">
        <f>_xlfn.XLOOKUP(Sales[[#This Row],[Order ID]],ST[Order ID],ST[Units Sold])</f>
        <v>5</v>
      </c>
      <c r="L560">
        <f t="shared" si="8"/>
        <v>33750</v>
      </c>
    </row>
    <row r="561" spans="1:12" x14ac:dyDescent="0.35">
      <c r="A561" s="7">
        <v>1575</v>
      </c>
      <c r="B561" s="1">
        <v>45515</v>
      </c>
      <c r="C561" s="2" t="s">
        <v>5</v>
      </c>
      <c r="D561" t="str">
        <f>_xlfn.XLOOKUP(Merged_Sales_Data!C561,PM[Product ID],PM[Product Name])</f>
        <v>Ergo Office Chair</v>
      </c>
      <c r="E561" t="str">
        <f>VLOOKUP(C561,PM[],3,FALSE)</f>
        <v>Office Supplies</v>
      </c>
      <c r="F561">
        <f>_xlfn.XLOOKUP(C561,PM[Product ID],PM[Unit Price (₹)])</f>
        <v>6750</v>
      </c>
      <c r="G561" t="str">
        <f>_xlfn.XLOOKUP(Sales[[#This Row],[Order ID]],ST[Order ID],ST[Employee ID])</f>
        <v>E05</v>
      </c>
      <c r="H561" t="str">
        <f>_xlfn.XLOOKUP(G561,SM[Employee ID],SM[Salesperson])</f>
        <v>Karan Malhotra</v>
      </c>
      <c r="I561" t="str">
        <f>_xlfn.XLOOKUP(G561,SM[Employee ID],SM[Region])</f>
        <v>East</v>
      </c>
      <c r="J561" t="str">
        <f>_xlfn.XLOOKUP(G561,SM[Employee ID],SM[State/City])</f>
        <v>Kolkata</v>
      </c>
      <c r="K561" s="2">
        <f>_xlfn.XLOOKUP(Sales[[#This Row],[Order ID]],ST[Order ID],ST[Units Sold])</f>
        <v>1</v>
      </c>
      <c r="L561">
        <f t="shared" si="8"/>
        <v>6750</v>
      </c>
    </row>
    <row r="562" spans="1:12" x14ac:dyDescent="0.35">
      <c r="A562" s="7">
        <v>1573</v>
      </c>
      <c r="B562" s="1">
        <v>45519</v>
      </c>
      <c r="C562" s="2" t="s">
        <v>12</v>
      </c>
      <c r="D562" t="str">
        <f>_xlfn.XLOOKUP(Merged_Sales_Data!C562,PM[Product ID],PM[Product Name])</f>
        <v>Bookshelf Unit</v>
      </c>
      <c r="E562" t="str">
        <f>VLOOKUP(C562,PM[],3,FALSE)</f>
        <v>Furniture</v>
      </c>
      <c r="F562">
        <f>_xlfn.XLOOKUP(C562,PM[Product ID],PM[Unit Price (₹)])</f>
        <v>3910</v>
      </c>
      <c r="G562" t="str">
        <f>_xlfn.XLOOKUP(Sales[[#This Row],[Order ID]],ST[Order ID],ST[Employee ID])</f>
        <v>E02</v>
      </c>
      <c r="H562" t="str">
        <f>_xlfn.XLOOKUP(G562,SM[Employee ID],SM[Salesperson])</f>
        <v>Ishita Verma</v>
      </c>
      <c r="I562" t="str">
        <f>_xlfn.XLOOKUP(G562,SM[Employee ID],SM[Region])</f>
        <v>North</v>
      </c>
      <c r="J562" t="str">
        <f>_xlfn.XLOOKUP(G562,SM[Employee ID],SM[State/City])</f>
        <v>Chandigarh</v>
      </c>
      <c r="K562" s="2">
        <f>_xlfn.XLOOKUP(Sales[[#This Row],[Order ID]],ST[Order ID],ST[Units Sold])</f>
        <v>2</v>
      </c>
      <c r="L562">
        <f t="shared" si="8"/>
        <v>7820</v>
      </c>
    </row>
    <row r="563" spans="1:12" x14ac:dyDescent="0.35">
      <c r="A563" s="7">
        <v>1574</v>
      </c>
      <c r="B563" s="1">
        <v>45519</v>
      </c>
      <c r="C563" s="2" t="s">
        <v>18</v>
      </c>
      <c r="D563" t="str">
        <f>_xlfn.XLOOKUP(Merged_Sales_Data!C563,PM[Product ID],PM[Product Name])</f>
        <v>LED Monitor 24"</v>
      </c>
      <c r="E563" t="str">
        <f>VLOOKUP(C563,PM[],3,FALSE)</f>
        <v>Electronics</v>
      </c>
      <c r="F563">
        <f>_xlfn.XLOOKUP(C563,PM[Product ID],PM[Unit Price (₹)])</f>
        <v>7700</v>
      </c>
      <c r="G563" t="str">
        <f>_xlfn.XLOOKUP(Sales[[#This Row],[Order ID]],ST[Order ID],ST[Employee ID])</f>
        <v>E08</v>
      </c>
      <c r="H563" t="str">
        <f>_xlfn.XLOOKUP(G563,SM[Employee ID],SM[Salesperson])</f>
        <v>Neha Joshi</v>
      </c>
      <c r="I563" t="str">
        <f>_xlfn.XLOOKUP(G563,SM[Employee ID],SM[Region])</f>
        <v>West</v>
      </c>
      <c r="J563" t="str">
        <f>_xlfn.XLOOKUP(G563,SM[Employee ID],SM[State/City])</f>
        <v>Ahmedabad</v>
      </c>
      <c r="K563" s="2">
        <f>_xlfn.XLOOKUP(Sales[[#This Row],[Order ID]],ST[Order ID],ST[Units Sold])</f>
        <v>6</v>
      </c>
      <c r="L563">
        <f t="shared" si="8"/>
        <v>46200</v>
      </c>
    </row>
    <row r="564" spans="1:12" x14ac:dyDescent="0.35">
      <c r="A564" s="7">
        <v>1550</v>
      </c>
      <c r="B564" s="1">
        <v>45520</v>
      </c>
      <c r="C564" s="2" t="s">
        <v>20</v>
      </c>
      <c r="D564" t="str">
        <f>_xlfn.XLOOKUP(Merged_Sales_Data!C564,PM[Product ID],PM[Product Name])</f>
        <v>Standing Desk</v>
      </c>
      <c r="E564" t="str">
        <f>VLOOKUP(C564,PM[],3,FALSE)</f>
        <v>Office Supplies</v>
      </c>
      <c r="F564">
        <f>_xlfn.XLOOKUP(C564,PM[Product ID],PM[Unit Price (₹)])</f>
        <v>11010</v>
      </c>
      <c r="G564" t="str">
        <f>_xlfn.XLOOKUP(Sales[[#This Row],[Order ID]],ST[Order ID],ST[Employee ID])</f>
        <v>E06</v>
      </c>
      <c r="H564" t="str">
        <f>_xlfn.XLOOKUP(G564,SM[Employee ID],SM[Salesperson])</f>
        <v>Sneha Roy</v>
      </c>
      <c r="I564" t="str">
        <f>_xlfn.XLOOKUP(G564,SM[Employee ID],SM[Region])</f>
        <v>East</v>
      </c>
      <c r="J564" t="str">
        <f>_xlfn.XLOOKUP(G564,SM[Employee ID],SM[State/City])</f>
        <v>Kolkata</v>
      </c>
      <c r="K564" s="2">
        <f>_xlfn.XLOOKUP(Sales[[#This Row],[Order ID]],ST[Order ID],ST[Units Sold])</f>
        <v>8</v>
      </c>
      <c r="L564">
        <f t="shared" si="8"/>
        <v>88080</v>
      </c>
    </row>
    <row r="565" spans="1:12" x14ac:dyDescent="0.35">
      <c r="A565" s="7">
        <v>1549</v>
      </c>
      <c r="B565" s="1">
        <v>45522</v>
      </c>
      <c r="C565" s="2" t="s">
        <v>8</v>
      </c>
      <c r="D565" t="str">
        <f>_xlfn.XLOOKUP(Merged_Sales_Data!C565,PM[Product ID],PM[Product Name])</f>
        <v>USB-C Hub</v>
      </c>
      <c r="E565" t="str">
        <f>VLOOKUP(C565,PM[],3,FALSE)</f>
        <v>Accessories</v>
      </c>
      <c r="F565">
        <f>_xlfn.XLOOKUP(C565,PM[Product ID],PM[Unit Price (₹)])</f>
        <v>880</v>
      </c>
      <c r="G565" t="str">
        <f>_xlfn.XLOOKUP(Sales[[#This Row],[Order ID]],ST[Order ID],ST[Employee ID])</f>
        <v>E08</v>
      </c>
      <c r="H565" t="str">
        <f>_xlfn.XLOOKUP(G565,SM[Employee ID],SM[Salesperson])</f>
        <v>Neha Joshi</v>
      </c>
      <c r="I565" t="str">
        <f>_xlfn.XLOOKUP(G565,SM[Employee ID],SM[Region])</f>
        <v>West</v>
      </c>
      <c r="J565" t="str">
        <f>_xlfn.XLOOKUP(G565,SM[Employee ID],SM[State/City])</f>
        <v>Ahmedabad</v>
      </c>
      <c r="K565" s="2">
        <f>_xlfn.XLOOKUP(Sales[[#This Row],[Order ID]],ST[Order ID],ST[Units Sold])</f>
        <v>3</v>
      </c>
      <c r="L565">
        <f t="shared" si="8"/>
        <v>2640</v>
      </c>
    </row>
    <row r="566" spans="1:12" x14ac:dyDescent="0.35">
      <c r="A566" s="7">
        <v>1551</v>
      </c>
      <c r="B566" s="1">
        <v>45522</v>
      </c>
      <c r="C566" s="2" t="s">
        <v>5</v>
      </c>
      <c r="D566" t="str">
        <f>_xlfn.XLOOKUP(Merged_Sales_Data!C566,PM[Product ID],PM[Product Name])</f>
        <v>Ergo Office Chair</v>
      </c>
      <c r="E566" t="str">
        <f>VLOOKUP(C566,PM[],3,FALSE)</f>
        <v>Office Supplies</v>
      </c>
      <c r="F566">
        <f>_xlfn.XLOOKUP(C566,PM[Product ID],PM[Unit Price (₹)])</f>
        <v>6750</v>
      </c>
      <c r="G566" t="str">
        <f>_xlfn.XLOOKUP(Sales[[#This Row],[Order ID]],ST[Order ID],ST[Employee ID])</f>
        <v>E04</v>
      </c>
      <c r="H566" t="str">
        <f>_xlfn.XLOOKUP(G566,SM[Employee ID],SM[Salesperson])</f>
        <v>Priya Nair</v>
      </c>
      <c r="I566" t="str">
        <f>_xlfn.XLOOKUP(G566,SM[Employee ID],SM[Region])</f>
        <v>South</v>
      </c>
      <c r="J566" t="str">
        <f>_xlfn.XLOOKUP(G566,SM[Employee ID],SM[State/City])</f>
        <v>Bengaluru</v>
      </c>
      <c r="K566" s="2">
        <f>_xlfn.XLOOKUP(Sales[[#This Row],[Order ID]],ST[Order ID],ST[Units Sold])</f>
        <v>2</v>
      </c>
      <c r="L566">
        <f t="shared" si="8"/>
        <v>13500</v>
      </c>
    </row>
    <row r="567" spans="1:12" x14ac:dyDescent="0.35">
      <c r="A567" s="7">
        <v>1555</v>
      </c>
      <c r="B567" s="1">
        <v>45523</v>
      </c>
      <c r="C567" s="2" t="s">
        <v>20</v>
      </c>
      <c r="D567" t="str">
        <f>_xlfn.XLOOKUP(Merged_Sales_Data!C567,PM[Product ID],PM[Product Name])</f>
        <v>Standing Desk</v>
      </c>
      <c r="E567" t="str">
        <f>VLOOKUP(C567,PM[],3,FALSE)</f>
        <v>Office Supplies</v>
      </c>
      <c r="F567">
        <f>_xlfn.XLOOKUP(C567,PM[Product ID],PM[Unit Price (₹)])</f>
        <v>11010</v>
      </c>
      <c r="G567" t="str">
        <f>_xlfn.XLOOKUP(Sales[[#This Row],[Order ID]],ST[Order ID],ST[Employee ID])</f>
        <v>E05</v>
      </c>
      <c r="H567" t="str">
        <f>_xlfn.XLOOKUP(G567,SM[Employee ID],SM[Salesperson])</f>
        <v>Karan Malhotra</v>
      </c>
      <c r="I567" t="str">
        <f>_xlfn.XLOOKUP(G567,SM[Employee ID],SM[Region])</f>
        <v>East</v>
      </c>
      <c r="J567" t="str">
        <f>_xlfn.XLOOKUP(G567,SM[Employee ID],SM[State/City])</f>
        <v>Kolkata</v>
      </c>
      <c r="K567" s="2">
        <f>_xlfn.XLOOKUP(Sales[[#This Row],[Order ID]],ST[Order ID],ST[Units Sold])</f>
        <v>1</v>
      </c>
      <c r="L567">
        <f t="shared" si="8"/>
        <v>11010</v>
      </c>
    </row>
    <row r="568" spans="1:12" x14ac:dyDescent="0.35">
      <c r="A568" s="7">
        <v>1568</v>
      </c>
      <c r="B568" s="1">
        <v>45523</v>
      </c>
      <c r="C568" s="2" t="s">
        <v>11</v>
      </c>
      <c r="D568" t="str">
        <f>_xlfn.XLOOKUP(Merged_Sales_Data!C568,PM[Product ID],PM[Product Name])</f>
        <v>Bluetooth Speaker</v>
      </c>
      <c r="E568" t="str">
        <f>VLOOKUP(C568,PM[],3,FALSE)</f>
        <v>Electronics</v>
      </c>
      <c r="F568">
        <f>_xlfn.XLOOKUP(C568,PM[Product ID],PM[Unit Price (₹)])</f>
        <v>1430</v>
      </c>
      <c r="G568" t="str">
        <f>_xlfn.XLOOKUP(Sales[[#This Row],[Order ID]],ST[Order ID],ST[Employee ID])</f>
        <v>E01</v>
      </c>
      <c r="H568" t="str">
        <f>_xlfn.XLOOKUP(G568,SM[Employee ID],SM[Salesperson])</f>
        <v>Aarav Sharma</v>
      </c>
      <c r="I568" t="str">
        <f>_xlfn.XLOOKUP(G568,SM[Employee ID],SM[Region])</f>
        <v>North</v>
      </c>
      <c r="J568" t="str">
        <f>_xlfn.XLOOKUP(G568,SM[Employee ID],SM[State/City])</f>
        <v>Lucknow</v>
      </c>
      <c r="K568" s="2">
        <f>_xlfn.XLOOKUP(Sales[[#This Row],[Order ID]],ST[Order ID],ST[Units Sold])</f>
        <v>10</v>
      </c>
      <c r="L568">
        <f t="shared" si="8"/>
        <v>14300</v>
      </c>
    </row>
    <row r="569" spans="1:12" x14ac:dyDescent="0.35">
      <c r="A569" s="7">
        <v>1558</v>
      </c>
      <c r="B569" s="1">
        <v>45525</v>
      </c>
      <c r="C569" s="2" t="s">
        <v>12</v>
      </c>
      <c r="D569" t="str">
        <f>_xlfn.XLOOKUP(Merged_Sales_Data!C569,PM[Product ID],PM[Product Name])</f>
        <v>Bookshelf Unit</v>
      </c>
      <c r="E569" t="str">
        <f>VLOOKUP(C569,PM[],3,FALSE)</f>
        <v>Furniture</v>
      </c>
      <c r="F569">
        <f>_xlfn.XLOOKUP(C569,PM[Product ID],PM[Unit Price (₹)])</f>
        <v>3910</v>
      </c>
      <c r="G569" t="str">
        <f>_xlfn.XLOOKUP(Sales[[#This Row],[Order ID]],ST[Order ID],ST[Employee ID])</f>
        <v>E02</v>
      </c>
      <c r="H569" t="str">
        <f>_xlfn.XLOOKUP(G569,SM[Employee ID],SM[Salesperson])</f>
        <v>Ishita Verma</v>
      </c>
      <c r="I569" t="str">
        <f>_xlfn.XLOOKUP(G569,SM[Employee ID],SM[Region])</f>
        <v>North</v>
      </c>
      <c r="J569" t="str">
        <f>_xlfn.XLOOKUP(G569,SM[Employee ID],SM[State/City])</f>
        <v>Chandigarh</v>
      </c>
      <c r="K569" s="2">
        <f>_xlfn.XLOOKUP(Sales[[#This Row],[Order ID]],ST[Order ID],ST[Units Sold])</f>
        <v>5</v>
      </c>
      <c r="L569">
        <f t="shared" si="8"/>
        <v>19550</v>
      </c>
    </row>
    <row r="570" spans="1:12" x14ac:dyDescent="0.35">
      <c r="A570" s="7">
        <v>1567</v>
      </c>
      <c r="B570" s="1">
        <v>45525</v>
      </c>
      <c r="C570" s="2" t="s">
        <v>12</v>
      </c>
      <c r="D570" t="str">
        <f>_xlfn.XLOOKUP(Merged_Sales_Data!C570,PM[Product ID],PM[Product Name])</f>
        <v>Bookshelf Unit</v>
      </c>
      <c r="E570" t="str">
        <f>VLOOKUP(C570,PM[],3,FALSE)</f>
        <v>Furniture</v>
      </c>
      <c r="F570">
        <f>_xlfn.XLOOKUP(C570,PM[Product ID],PM[Unit Price (₹)])</f>
        <v>3910</v>
      </c>
      <c r="G570" t="str">
        <f>_xlfn.XLOOKUP(Sales[[#This Row],[Order ID]],ST[Order ID],ST[Employee ID])</f>
        <v>E05</v>
      </c>
      <c r="H570" t="str">
        <f>_xlfn.XLOOKUP(G570,SM[Employee ID],SM[Salesperson])</f>
        <v>Karan Malhotra</v>
      </c>
      <c r="I570" t="str">
        <f>_xlfn.XLOOKUP(G570,SM[Employee ID],SM[Region])</f>
        <v>East</v>
      </c>
      <c r="J570" t="str">
        <f>_xlfn.XLOOKUP(G570,SM[Employee ID],SM[State/City])</f>
        <v>Kolkata</v>
      </c>
      <c r="K570" s="2">
        <f>_xlfn.XLOOKUP(Sales[[#This Row],[Order ID]],ST[Order ID],ST[Units Sold])</f>
        <v>2</v>
      </c>
      <c r="L570">
        <f t="shared" si="8"/>
        <v>7820</v>
      </c>
    </row>
    <row r="571" spans="1:12" x14ac:dyDescent="0.35">
      <c r="A571" s="7">
        <v>1552</v>
      </c>
      <c r="B571" s="1">
        <v>45529</v>
      </c>
      <c r="C571" s="2" t="s">
        <v>5</v>
      </c>
      <c r="D571" t="str">
        <f>_xlfn.XLOOKUP(Merged_Sales_Data!C571,PM[Product ID],PM[Product Name])</f>
        <v>Ergo Office Chair</v>
      </c>
      <c r="E571" t="str">
        <f>VLOOKUP(C571,PM[],3,FALSE)</f>
        <v>Office Supplies</v>
      </c>
      <c r="F571">
        <f>_xlfn.XLOOKUP(C571,PM[Product ID],PM[Unit Price (₹)])</f>
        <v>6750</v>
      </c>
      <c r="G571" t="str">
        <f>_xlfn.XLOOKUP(Sales[[#This Row],[Order ID]],ST[Order ID],ST[Employee ID])</f>
        <v>E05</v>
      </c>
      <c r="H571" t="str">
        <f>_xlfn.XLOOKUP(G571,SM[Employee ID],SM[Salesperson])</f>
        <v>Karan Malhotra</v>
      </c>
      <c r="I571" t="str">
        <f>_xlfn.XLOOKUP(G571,SM[Employee ID],SM[Region])</f>
        <v>East</v>
      </c>
      <c r="J571" t="str">
        <f>_xlfn.XLOOKUP(G571,SM[Employee ID],SM[State/City])</f>
        <v>Kolkata</v>
      </c>
      <c r="K571" s="2">
        <f>_xlfn.XLOOKUP(Sales[[#This Row],[Order ID]],ST[Order ID],ST[Units Sold])</f>
        <v>2</v>
      </c>
      <c r="L571">
        <f t="shared" si="8"/>
        <v>13500</v>
      </c>
    </row>
    <row r="572" spans="1:12" x14ac:dyDescent="0.35">
      <c r="A572" s="7">
        <v>1577</v>
      </c>
      <c r="B572" s="1">
        <v>45530</v>
      </c>
      <c r="C572" s="2" t="s">
        <v>21</v>
      </c>
      <c r="D572" t="str">
        <f>_xlfn.XLOOKUP(Merged_Sales_Data!C572,PM[Product ID],PM[Product Name])</f>
        <v>Wireless Mouse</v>
      </c>
      <c r="E572" t="str">
        <f>VLOOKUP(C572,PM[],3,FALSE)</f>
        <v>Electronics</v>
      </c>
      <c r="F572">
        <f>_xlfn.XLOOKUP(C572,PM[Product ID],PM[Unit Price (₹)])</f>
        <v>780</v>
      </c>
      <c r="G572" t="str">
        <f>_xlfn.XLOOKUP(Sales[[#This Row],[Order ID]],ST[Order ID],ST[Employee ID])</f>
        <v>E03</v>
      </c>
      <c r="H572" t="str">
        <f>_xlfn.XLOOKUP(G572,SM[Employee ID],SM[Salesperson])</f>
        <v>Rohan Mehta</v>
      </c>
      <c r="I572" t="str">
        <f>_xlfn.XLOOKUP(G572,SM[Employee ID],SM[Region])</f>
        <v>South</v>
      </c>
      <c r="J572" t="str">
        <f>_xlfn.XLOOKUP(G572,SM[Employee ID],SM[State/City])</f>
        <v>Bengaluru</v>
      </c>
      <c r="K572" s="2">
        <f>_xlfn.XLOOKUP(Sales[[#This Row],[Order ID]],ST[Order ID],ST[Units Sold])</f>
        <v>3</v>
      </c>
      <c r="L572">
        <f t="shared" si="8"/>
        <v>2340</v>
      </c>
    </row>
    <row r="573" spans="1:12" x14ac:dyDescent="0.35">
      <c r="A573" s="7">
        <v>1554</v>
      </c>
      <c r="B573" s="1">
        <v>45534</v>
      </c>
      <c r="C573" s="2" t="s">
        <v>12</v>
      </c>
      <c r="D573" t="str">
        <f>_xlfn.XLOOKUP(Merged_Sales_Data!C573,PM[Product ID],PM[Product Name])</f>
        <v>Bookshelf Unit</v>
      </c>
      <c r="E573" t="str">
        <f>VLOOKUP(C573,PM[],3,FALSE)</f>
        <v>Furniture</v>
      </c>
      <c r="F573">
        <f>_xlfn.XLOOKUP(C573,PM[Product ID],PM[Unit Price (₹)])</f>
        <v>3910</v>
      </c>
      <c r="G573" t="str">
        <f>_xlfn.XLOOKUP(Sales[[#This Row],[Order ID]],ST[Order ID],ST[Employee ID])</f>
        <v>E08</v>
      </c>
      <c r="H573" t="str">
        <f>_xlfn.XLOOKUP(G573,SM[Employee ID],SM[Salesperson])</f>
        <v>Neha Joshi</v>
      </c>
      <c r="I573" t="str">
        <f>_xlfn.XLOOKUP(G573,SM[Employee ID],SM[Region])</f>
        <v>West</v>
      </c>
      <c r="J573" t="str">
        <f>_xlfn.XLOOKUP(G573,SM[Employee ID],SM[State/City])</f>
        <v>Ahmedabad</v>
      </c>
      <c r="K573" s="2">
        <f>_xlfn.XLOOKUP(Sales[[#This Row],[Order ID]],ST[Order ID],ST[Units Sold])</f>
        <v>6</v>
      </c>
      <c r="L573">
        <f t="shared" si="8"/>
        <v>23460</v>
      </c>
    </row>
    <row r="574" spans="1:12" x14ac:dyDescent="0.35">
      <c r="A574" s="7">
        <v>1564</v>
      </c>
      <c r="B574" s="1">
        <v>45534</v>
      </c>
      <c r="C574" s="2" t="s">
        <v>21</v>
      </c>
      <c r="D574" t="str">
        <f>_xlfn.XLOOKUP(Merged_Sales_Data!C574,PM[Product ID],PM[Product Name])</f>
        <v>Wireless Mouse</v>
      </c>
      <c r="E574" t="str">
        <f>VLOOKUP(C574,PM[],3,FALSE)</f>
        <v>Electronics</v>
      </c>
      <c r="F574">
        <f>_xlfn.XLOOKUP(C574,PM[Product ID],PM[Unit Price (₹)])</f>
        <v>780</v>
      </c>
      <c r="G574" t="str">
        <f>_xlfn.XLOOKUP(Sales[[#This Row],[Order ID]],ST[Order ID],ST[Employee ID])</f>
        <v>E03</v>
      </c>
      <c r="H574" t="str">
        <f>_xlfn.XLOOKUP(G574,SM[Employee ID],SM[Salesperson])</f>
        <v>Rohan Mehta</v>
      </c>
      <c r="I574" t="str">
        <f>_xlfn.XLOOKUP(G574,SM[Employee ID],SM[Region])</f>
        <v>South</v>
      </c>
      <c r="J574" t="str">
        <f>_xlfn.XLOOKUP(G574,SM[Employee ID],SM[State/City])</f>
        <v>Bengaluru</v>
      </c>
      <c r="K574" s="2">
        <f>_xlfn.XLOOKUP(Sales[[#This Row],[Order ID]],ST[Order ID],ST[Units Sold])</f>
        <v>6</v>
      </c>
      <c r="L574">
        <f t="shared" si="8"/>
        <v>4680</v>
      </c>
    </row>
    <row r="575" spans="1:12" x14ac:dyDescent="0.35">
      <c r="A575" s="7">
        <v>1565</v>
      </c>
      <c r="B575" s="1">
        <v>45534</v>
      </c>
      <c r="C575" s="2" t="s">
        <v>10</v>
      </c>
      <c r="D575" t="str">
        <f>_xlfn.XLOOKUP(Merged_Sales_Data!C575,PM[Product ID],PM[Product Name])</f>
        <v>Filing Cabinet</v>
      </c>
      <c r="E575" t="str">
        <f>VLOOKUP(C575,PM[],3,FALSE)</f>
        <v>Furniture</v>
      </c>
      <c r="F575">
        <f>_xlfn.XLOOKUP(C575,PM[Product ID],PM[Unit Price (₹)])</f>
        <v>4070</v>
      </c>
      <c r="G575" t="str">
        <f>_xlfn.XLOOKUP(Sales[[#This Row],[Order ID]],ST[Order ID],ST[Employee ID])</f>
        <v>E03</v>
      </c>
      <c r="H575" t="str">
        <f>_xlfn.XLOOKUP(G575,SM[Employee ID],SM[Salesperson])</f>
        <v>Rohan Mehta</v>
      </c>
      <c r="I575" t="str">
        <f>_xlfn.XLOOKUP(G575,SM[Employee ID],SM[Region])</f>
        <v>South</v>
      </c>
      <c r="J575" t="str">
        <f>_xlfn.XLOOKUP(G575,SM[Employee ID],SM[State/City])</f>
        <v>Bengaluru</v>
      </c>
      <c r="K575" s="2">
        <f>_xlfn.XLOOKUP(Sales[[#This Row],[Order ID]],ST[Order ID],ST[Units Sold])</f>
        <v>10</v>
      </c>
      <c r="L575">
        <f t="shared" si="8"/>
        <v>40700</v>
      </c>
    </row>
    <row r="576" spans="1:12" x14ac:dyDescent="0.35">
      <c r="A576" s="7">
        <v>1569</v>
      </c>
      <c r="B576" s="1">
        <v>45534</v>
      </c>
      <c r="C576" s="2" t="s">
        <v>8</v>
      </c>
      <c r="D576" t="str">
        <f>_xlfn.XLOOKUP(Merged_Sales_Data!C576,PM[Product ID],PM[Product Name])</f>
        <v>USB-C Hub</v>
      </c>
      <c r="E576" t="str">
        <f>VLOOKUP(C576,PM[],3,FALSE)</f>
        <v>Accessories</v>
      </c>
      <c r="F576">
        <f>_xlfn.XLOOKUP(C576,PM[Product ID],PM[Unit Price (₹)])</f>
        <v>880</v>
      </c>
      <c r="G576" t="str">
        <f>_xlfn.XLOOKUP(Sales[[#This Row],[Order ID]],ST[Order ID],ST[Employee ID])</f>
        <v>E04</v>
      </c>
      <c r="H576" t="str">
        <f>_xlfn.XLOOKUP(G576,SM[Employee ID],SM[Salesperson])</f>
        <v>Priya Nair</v>
      </c>
      <c r="I576" t="str">
        <f>_xlfn.XLOOKUP(G576,SM[Employee ID],SM[Region])</f>
        <v>South</v>
      </c>
      <c r="J576" t="str">
        <f>_xlfn.XLOOKUP(G576,SM[Employee ID],SM[State/City])</f>
        <v>Bengaluru</v>
      </c>
      <c r="K576" s="2">
        <f>_xlfn.XLOOKUP(Sales[[#This Row],[Order ID]],ST[Order ID],ST[Units Sold])</f>
        <v>1</v>
      </c>
      <c r="L576">
        <f t="shared" si="8"/>
        <v>880</v>
      </c>
    </row>
    <row r="577" spans="1:12" x14ac:dyDescent="0.35">
      <c r="A577" s="7">
        <v>1570</v>
      </c>
      <c r="B577" s="1">
        <v>45534</v>
      </c>
      <c r="C577" s="2" t="s">
        <v>10</v>
      </c>
      <c r="D577" t="str">
        <f>_xlfn.XLOOKUP(Merged_Sales_Data!C577,PM[Product ID],PM[Product Name])</f>
        <v>Filing Cabinet</v>
      </c>
      <c r="E577" t="str">
        <f>VLOOKUP(C577,PM[],3,FALSE)</f>
        <v>Furniture</v>
      </c>
      <c r="F577">
        <f>_xlfn.XLOOKUP(C577,PM[Product ID],PM[Unit Price (₹)])</f>
        <v>4070</v>
      </c>
      <c r="G577" t="str">
        <f>_xlfn.XLOOKUP(Sales[[#This Row],[Order ID]],ST[Order ID],ST[Employee ID])</f>
        <v>E03</v>
      </c>
      <c r="H577" t="str">
        <f>_xlfn.XLOOKUP(G577,SM[Employee ID],SM[Salesperson])</f>
        <v>Rohan Mehta</v>
      </c>
      <c r="I577" t="str">
        <f>_xlfn.XLOOKUP(G577,SM[Employee ID],SM[Region])</f>
        <v>South</v>
      </c>
      <c r="J577" t="str">
        <f>_xlfn.XLOOKUP(G577,SM[Employee ID],SM[State/City])</f>
        <v>Bengaluru</v>
      </c>
      <c r="K577" s="2">
        <f>_xlfn.XLOOKUP(Sales[[#This Row],[Order ID]],ST[Order ID],ST[Units Sold])</f>
        <v>1</v>
      </c>
      <c r="L577">
        <f t="shared" si="8"/>
        <v>4070</v>
      </c>
    </row>
    <row r="578" spans="1:12" x14ac:dyDescent="0.35">
      <c r="A578" s="7">
        <v>1556</v>
      </c>
      <c r="B578" s="1">
        <v>45535</v>
      </c>
      <c r="C578" s="2" t="s">
        <v>10</v>
      </c>
      <c r="D578" t="str">
        <f>_xlfn.XLOOKUP(Merged_Sales_Data!C578,PM[Product ID],PM[Product Name])</f>
        <v>Filing Cabinet</v>
      </c>
      <c r="E578" t="str">
        <f>VLOOKUP(C578,PM[],3,FALSE)</f>
        <v>Furniture</v>
      </c>
      <c r="F578">
        <f>_xlfn.XLOOKUP(C578,PM[Product ID],PM[Unit Price (₹)])</f>
        <v>4070</v>
      </c>
      <c r="G578" t="str">
        <f>_xlfn.XLOOKUP(Sales[[#This Row],[Order ID]],ST[Order ID],ST[Employee ID])</f>
        <v>E07</v>
      </c>
      <c r="H578" t="str">
        <f>_xlfn.XLOOKUP(G578,SM[Employee ID],SM[Salesperson])</f>
        <v>Aditya Kapoor</v>
      </c>
      <c r="I578" t="str">
        <f>_xlfn.XLOOKUP(G578,SM[Employee ID],SM[Region])</f>
        <v>West</v>
      </c>
      <c r="J578" t="str">
        <f>_xlfn.XLOOKUP(G578,SM[Employee ID],SM[State/City])</f>
        <v>Mumbai</v>
      </c>
      <c r="K578" s="2">
        <f>_xlfn.XLOOKUP(Sales[[#This Row],[Order ID]],ST[Order ID],ST[Units Sold])</f>
        <v>3</v>
      </c>
      <c r="L578">
        <f t="shared" si="8"/>
        <v>12210</v>
      </c>
    </row>
    <row r="579" spans="1:12" x14ac:dyDescent="0.35">
      <c r="A579" s="7">
        <v>1600</v>
      </c>
      <c r="B579" s="1">
        <v>45537</v>
      </c>
      <c r="C579" s="2" t="s">
        <v>14</v>
      </c>
      <c r="D579" t="str">
        <f>_xlfn.XLOOKUP(Merged_Sales_Data!C579,PM[Product ID],PM[Product Name])</f>
        <v>Laptop Backpack</v>
      </c>
      <c r="E579" t="str">
        <f>VLOOKUP(C579,PM[],3,FALSE)</f>
        <v>Accessories</v>
      </c>
      <c r="F579">
        <f>_xlfn.XLOOKUP(C579,PM[Product ID],PM[Unit Price (₹)])</f>
        <v>1110</v>
      </c>
      <c r="G579" t="str">
        <f>_xlfn.XLOOKUP(Sales[[#This Row],[Order ID]],ST[Order ID],ST[Employee ID])</f>
        <v>E07</v>
      </c>
      <c r="H579" t="str">
        <f>_xlfn.XLOOKUP(G579,SM[Employee ID],SM[Salesperson])</f>
        <v>Aditya Kapoor</v>
      </c>
      <c r="I579" t="str">
        <f>_xlfn.XLOOKUP(G579,SM[Employee ID],SM[Region])</f>
        <v>West</v>
      </c>
      <c r="J579" t="str">
        <f>_xlfn.XLOOKUP(G579,SM[Employee ID],SM[State/City])</f>
        <v>Mumbai</v>
      </c>
      <c r="K579" s="2">
        <f>_xlfn.XLOOKUP(Sales[[#This Row],[Order ID]],ST[Order ID],ST[Units Sold])</f>
        <v>8</v>
      </c>
      <c r="L579">
        <f t="shared" ref="L579:L642" si="9">F579*K579</f>
        <v>8880</v>
      </c>
    </row>
    <row r="580" spans="1:12" x14ac:dyDescent="0.35">
      <c r="A580" s="7">
        <v>1580</v>
      </c>
      <c r="B580" s="1">
        <v>45539</v>
      </c>
      <c r="C580" s="2" t="s">
        <v>10</v>
      </c>
      <c r="D580" t="str">
        <f>_xlfn.XLOOKUP(Merged_Sales_Data!C580,PM[Product ID],PM[Product Name])</f>
        <v>Filing Cabinet</v>
      </c>
      <c r="E580" t="str">
        <f>VLOOKUP(C580,PM[],3,FALSE)</f>
        <v>Furniture</v>
      </c>
      <c r="F580">
        <f>_xlfn.XLOOKUP(C580,PM[Product ID],PM[Unit Price (₹)])</f>
        <v>4070</v>
      </c>
      <c r="G580" t="str">
        <f>_xlfn.XLOOKUP(Sales[[#This Row],[Order ID]],ST[Order ID],ST[Employee ID])</f>
        <v>E02</v>
      </c>
      <c r="H580" t="str">
        <f>_xlfn.XLOOKUP(G580,SM[Employee ID],SM[Salesperson])</f>
        <v>Ishita Verma</v>
      </c>
      <c r="I580" t="str">
        <f>_xlfn.XLOOKUP(G580,SM[Employee ID],SM[Region])</f>
        <v>North</v>
      </c>
      <c r="J580" t="str">
        <f>_xlfn.XLOOKUP(G580,SM[Employee ID],SM[State/City])</f>
        <v>Chandigarh</v>
      </c>
      <c r="K580" s="2">
        <f>_xlfn.XLOOKUP(Sales[[#This Row],[Order ID]],ST[Order ID],ST[Units Sold])</f>
        <v>10</v>
      </c>
      <c r="L580">
        <f t="shared" si="9"/>
        <v>40700</v>
      </c>
    </row>
    <row r="581" spans="1:12" x14ac:dyDescent="0.35">
      <c r="A581" s="7">
        <v>1594</v>
      </c>
      <c r="B581" s="1">
        <v>45539</v>
      </c>
      <c r="C581" s="2" t="s">
        <v>11</v>
      </c>
      <c r="D581" t="str">
        <f>_xlfn.XLOOKUP(Merged_Sales_Data!C581,PM[Product ID],PM[Product Name])</f>
        <v>Bluetooth Speaker</v>
      </c>
      <c r="E581" t="str">
        <f>VLOOKUP(C581,PM[],3,FALSE)</f>
        <v>Electronics</v>
      </c>
      <c r="F581">
        <f>_xlfn.XLOOKUP(C581,PM[Product ID],PM[Unit Price (₹)])</f>
        <v>1430</v>
      </c>
      <c r="G581" t="str">
        <f>_xlfn.XLOOKUP(Sales[[#This Row],[Order ID]],ST[Order ID],ST[Employee ID])</f>
        <v>E06</v>
      </c>
      <c r="H581" t="str">
        <f>_xlfn.XLOOKUP(G581,SM[Employee ID],SM[Salesperson])</f>
        <v>Sneha Roy</v>
      </c>
      <c r="I581" t="str">
        <f>_xlfn.XLOOKUP(G581,SM[Employee ID],SM[Region])</f>
        <v>East</v>
      </c>
      <c r="J581" t="str">
        <f>_xlfn.XLOOKUP(G581,SM[Employee ID],SM[State/City])</f>
        <v>Kolkata</v>
      </c>
      <c r="K581" s="2">
        <f>_xlfn.XLOOKUP(Sales[[#This Row],[Order ID]],ST[Order ID],ST[Units Sold])</f>
        <v>8</v>
      </c>
      <c r="L581">
        <f t="shared" si="9"/>
        <v>11440</v>
      </c>
    </row>
    <row r="582" spans="1:12" x14ac:dyDescent="0.35">
      <c r="A582" s="7">
        <v>1586</v>
      </c>
      <c r="B582" s="1">
        <v>45541</v>
      </c>
      <c r="C582" s="2" t="s">
        <v>14</v>
      </c>
      <c r="D582" t="str">
        <f>_xlfn.XLOOKUP(Merged_Sales_Data!C582,PM[Product ID],PM[Product Name])</f>
        <v>Laptop Backpack</v>
      </c>
      <c r="E582" t="str">
        <f>VLOOKUP(C582,PM[],3,FALSE)</f>
        <v>Accessories</v>
      </c>
      <c r="F582">
        <f>_xlfn.XLOOKUP(C582,PM[Product ID],PM[Unit Price (₹)])</f>
        <v>1110</v>
      </c>
      <c r="G582" t="str">
        <f>_xlfn.XLOOKUP(Sales[[#This Row],[Order ID]],ST[Order ID],ST[Employee ID])</f>
        <v>E02</v>
      </c>
      <c r="H582" t="str">
        <f>_xlfn.XLOOKUP(G582,SM[Employee ID],SM[Salesperson])</f>
        <v>Ishita Verma</v>
      </c>
      <c r="I582" t="str">
        <f>_xlfn.XLOOKUP(G582,SM[Employee ID],SM[Region])</f>
        <v>North</v>
      </c>
      <c r="J582" t="str">
        <f>_xlfn.XLOOKUP(G582,SM[Employee ID],SM[State/City])</f>
        <v>Chandigarh</v>
      </c>
      <c r="K582" s="2">
        <f>_xlfn.XLOOKUP(Sales[[#This Row],[Order ID]],ST[Order ID],ST[Units Sold])</f>
        <v>2</v>
      </c>
      <c r="L582">
        <f t="shared" si="9"/>
        <v>2220</v>
      </c>
    </row>
    <row r="583" spans="1:12" x14ac:dyDescent="0.35">
      <c r="A583" s="7">
        <v>1609</v>
      </c>
      <c r="B583" s="1">
        <v>45541</v>
      </c>
      <c r="C583" s="2" t="s">
        <v>12</v>
      </c>
      <c r="D583" t="str">
        <f>_xlfn.XLOOKUP(Merged_Sales_Data!C583,PM[Product ID],PM[Product Name])</f>
        <v>Bookshelf Unit</v>
      </c>
      <c r="E583" t="str">
        <f>VLOOKUP(C583,PM[],3,FALSE)</f>
        <v>Furniture</v>
      </c>
      <c r="F583">
        <f>_xlfn.XLOOKUP(C583,PM[Product ID],PM[Unit Price (₹)])</f>
        <v>3910</v>
      </c>
      <c r="G583" t="str">
        <f>_xlfn.XLOOKUP(Sales[[#This Row],[Order ID]],ST[Order ID],ST[Employee ID])</f>
        <v>E03</v>
      </c>
      <c r="H583" t="str">
        <f>_xlfn.XLOOKUP(G583,SM[Employee ID],SM[Salesperson])</f>
        <v>Rohan Mehta</v>
      </c>
      <c r="I583" t="str">
        <f>_xlfn.XLOOKUP(G583,SM[Employee ID],SM[Region])</f>
        <v>South</v>
      </c>
      <c r="J583" t="str">
        <f>_xlfn.XLOOKUP(G583,SM[Employee ID],SM[State/City])</f>
        <v>Bengaluru</v>
      </c>
      <c r="K583" s="2">
        <f>_xlfn.XLOOKUP(Sales[[#This Row],[Order ID]],ST[Order ID],ST[Units Sold])</f>
        <v>1</v>
      </c>
      <c r="L583">
        <f t="shared" si="9"/>
        <v>3910</v>
      </c>
    </row>
    <row r="584" spans="1:12" x14ac:dyDescent="0.35">
      <c r="A584" s="7">
        <v>1595</v>
      </c>
      <c r="B584" s="1">
        <v>45542</v>
      </c>
      <c r="C584" s="2" t="s">
        <v>8</v>
      </c>
      <c r="D584" t="str">
        <f>_xlfn.XLOOKUP(Merged_Sales_Data!C584,PM[Product ID],PM[Product Name])</f>
        <v>USB-C Hub</v>
      </c>
      <c r="E584" t="str">
        <f>VLOOKUP(C584,PM[],3,FALSE)</f>
        <v>Accessories</v>
      </c>
      <c r="F584">
        <f>_xlfn.XLOOKUP(C584,PM[Product ID],PM[Unit Price (₹)])</f>
        <v>880</v>
      </c>
      <c r="G584" t="str">
        <f>_xlfn.XLOOKUP(Sales[[#This Row],[Order ID]],ST[Order ID],ST[Employee ID])</f>
        <v>E01</v>
      </c>
      <c r="H584" t="str">
        <f>_xlfn.XLOOKUP(G584,SM[Employee ID],SM[Salesperson])</f>
        <v>Aarav Sharma</v>
      </c>
      <c r="I584" t="str">
        <f>_xlfn.XLOOKUP(G584,SM[Employee ID],SM[Region])</f>
        <v>North</v>
      </c>
      <c r="J584" t="str">
        <f>_xlfn.XLOOKUP(G584,SM[Employee ID],SM[State/City])</f>
        <v>Lucknow</v>
      </c>
      <c r="K584" s="2">
        <f>_xlfn.XLOOKUP(Sales[[#This Row],[Order ID]],ST[Order ID],ST[Units Sold])</f>
        <v>6</v>
      </c>
      <c r="L584">
        <f t="shared" si="9"/>
        <v>5280</v>
      </c>
    </row>
    <row r="585" spans="1:12" x14ac:dyDescent="0.35">
      <c r="A585" s="7">
        <v>1597</v>
      </c>
      <c r="B585" s="1">
        <v>45542</v>
      </c>
      <c r="C585" s="2" t="s">
        <v>11</v>
      </c>
      <c r="D585" t="str">
        <f>_xlfn.XLOOKUP(Merged_Sales_Data!C585,PM[Product ID],PM[Product Name])</f>
        <v>Bluetooth Speaker</v>
      </c>
      <c r="E585" t="str">
        <f>VLOOKUP(C585,PM[],3,FALSE)</f>
        <v>Electronics</v>
      </c>
      <c r="F585">
        <f>_xlfn.XLOOKUP(C585,PM[Product ID],PM[Unit Price (₹)])</f>
        <v>1430</v>
      </c>
      <c r="G585" t="str">
        <f>_xlfn.XLOOKUP(Sales[[#This Row],[Order ID]],ST[Order ID],ST[Employee ID])</f>
        <v>E08</v>
      </c>
      <c r="H585" t="str">
        <f>_xlfn.XLOOKUP(G585,SM[Employee ID],SM[Salesperson])</f>
        <v>Neha Joshi</v>
      </c>
      <c r="I585" t="str">
        <f>_xlfn.XLOOKUP(G585,SM[Employee ID],SM[Region])</f>
        <v>West</v>
      </c>
      <c r="J585" t="str">
        <f>_xlfn.XLOOKUP(G585,SM[Employee ID],SM[State/City])</f>
        <v>Ahmedabad</v>
      </c>
      <c r="K585" s="2">
        <f>_xlfn.XLOOKUP(Sales[[#This Row],[Order ID]],ST[Order ID],ST[Units Sold])</f>
        <v>10</v>
      </c>
      <c r="L585">
        <f t="shared" si="9"/>
        <v>14300</v>
      </c>
    </row>
    <row r="586" spans="1:12" x14ac:dyDescent="0.35">
      <c r="A586" s="7">
        <v>1605</v>
      </c>
      <c r="B586" s="1">
        <v>45545</v>
      </c>
      <c r="C586" s="2" t="s">
        <v>14</v>
      </c>
      <c r="D586" t="str">
        <f>_xlfn.XLOOKUP(Merged_Sales_Data!C586,PM[Product ID],PM[Product Name])</f>
        <v>Laptop Backpack</v>
      </c>
      <c r="E586" t="str">
        <f>VLOOKUP(C586,PM[],3,FALSE)</f>
        <v>Accessories</v>
      </c>
      <c r="F586">
        <f>_xlfn.XLOOKUP(C586,PM[Product ID],PM[Unit Price (₹)])</f>
        <v>1110</v>
      </c>
      <c r="G586" t="str">
        <f>_xlfn.XLOOKUP(Sales[[#This Row],[Order ID]],ST[Order ID],ST[Employee ID])</f>
        <v>E02</v>
      </c>
      <c r="H586" t="str">
        <f>_xlfn.XLOOKUP(G586,SM[Employee ID],SM[Salesperson])</f>
        <v>Ishita Verma</v>
      </c>
      <c r="I586" t="str">
        <f>_xlfn.XLOOKUP(G586,SM[Employee ID],SM[Region])</f>
        <v>North</v>
      </c>
      <c r="J586" t="str">
        <f>_xlfn.XLOOKUP(G586,SM[Employee ID],SM[State/City])</f>
        <v>Chandigarh</v>
      </c>
      <c r="K586" s="2">
        <f>_xlfn.XLOOKUP(Sales[[#This Row],[Order ID]],ST[Order ID],ST[Units Sold])</f>
        <v>1</v>
      </c>
      <c r="L586">
        <f t="shared" si="9"/>
        <v>1110</v>
      </c>
    </row>
    <row r="587" spans="1:12" x14ac:dyDescent="0.35">
      <c r="A587" s="7">
        <v>1579</v>
      </c>
      <c r="B587" s="1">
        <v>45546</v>
      </c>
      <c r="C587" s="2" t="s">
        <v>10</v>
      </c>
      <c r="D587" t="str">
        <f>_xlfn.XLOOKUP(Merged_Sales_Data!C587,PM[Product ID],PM[Product Name])</f>
        <v>Filing Cabinet</v>
      </c>
      <c r="E587" t="str">
        <f>VLOOKUP(C587,PM[],3,FALSE)</f>
        <v>Furniture</v>
      </c>
      <c r="F587">
        <f>_xlfn.XLOOKUP(C587,PM[Product ID],PM[Unit Price (₹)])</f>
        <v>4070</v>
      </c>
      <c r="G587" t="str">
        <f>_xlfn.XLOOKUP(Sales[[#This Row],[Order ID]],ST[Order ID],ST[Employee ID])</f>
        <v>E07</v>
      </c>
      <c r="H587" t="str">
        <f>_xlfn.XLOOKUP(G587,SM[Employee ID],SM[Salesperson])</f>
        <v>Aditya Kapoor</v>
      </c>
      <c r="I587" t="str">
        <f>_xlfn.XLOOKUP(G587,SM[Employee ID],SM[Region])</f>
        <v>West</v>
      </c>
      <c r="J587" t="str">
        <f>_xlfn.XLOOKUP(G587,SM[Employee ID],SM[State/City])</f>
        <v>Mumbai</v>
      </c>
      <c r="K587" s="2">
        <f>_xlfn.XLOOKUP(Sales[[#This Row],[Order ID]],ST[Order ID],ST[Units Sold])</f>
        <v>6</v>
      </c>
      <c r="L587">
        <f t="shared" si="9"/>
        <v>24420</v>
      </c>
    </row>
    <row r="588" spans="1:12" x14ac:dyDescent="0.35">
      <c r="A588" s="7">
        <v>1581</v>
      </c>
      <c r="B588" s="1">
        <v>45546</v>
      </c>
      <c r="C588" s="2" t="s">
        <v>18</v>
      </c>
      <c r="D588" t="str">
        <f>_xlfn.XLOOKUP(Merged_Sales_Data!C588,PM[Product ID],PM[Product Name])</f>
        <v>LED Monitor 24"</v>
      </c>
      <c r="E588" t="str">
        <f>VLOOKUP(C588,PM[],3,FALSE)</f>
        <v>Electronics</v>
      </c>
      <c r="F588">
        <f>_xlfn.XLOOKUP(C588,PM[Product ID],PM[Unit Price (₹)])</f>
        <v>7700</v>
      </c>
      <c r="G588" t="str">
        <f>_xlfn.XLOOKUP(Sales[[#This Row],[Order ID]],ST[Order ID],ST[Employee ID])</f>
        <v>E03</v>
      </c>
      <c r="H588" t="str">
        <f>_xlfn.XLOOKUP(G588,SM[Employee ID],SM[Salesperson])</f>
        <v>Rohan Mehta</v>
      </c>
      <c r="I588" t="str">
        <f>_xlfn.XLOOKUP(G588,SM[Employee ID],SM[Region])</f>
        <v>South</v>
      </c>
      <c r="J588" t="str">
        <f>_xlfn.XLOOKUP(G588,SM[Employee ID],SM[State/City])</f>
        <v>Bengaluru</v>
      </c>
      <c r="K588" s="2">
        <f>_xlfn.XLOOKUP(Sales[[#This Row],[Order ID]],ST[Order ID],ST[Units Sold])</f>
        <v>5</v>
      </c>
      <c r="L588">
        <f t="shared" si="9"/>
        <v>38500</v>
      </c>
    </row>
    <row r="589" spans="1:12" x14ac:dyDescent="0.35">
      <c r="A589" s="7">
        <v>1583</v>
      </c>
      <c r="B589" s="1">
        <v>45546</v>
      </c>
      <c r="C589" s="2" t="s">
        <v>14</v>
      </c>
      <c r="D589" t="str">
        <f>_xlfn.XLOOKUP(Merged_Sales_Data!C589,PM[Product ID],PM[Product Name])</f>
        <v>Laptop Backpack</v>
      </c>
      <c r="E589" t="str">
        <f>VLOOKUP(C589,PM[],3,FALSE)</f>
        <v>Accessories</v>
      </c>
      <c r="F589">
        <f>_xlfn.XLOOKUP(C589,PM[Product ID],PM[Unit Price (₹)])</f>
        <v>1110</v>
      </c>
      <c r="G589" t="str">
        <f>_xlfn.XLOOKUP(Sales[[#This Row],[Order ID]],ST[Order ID],ST[Employee ID])</f>
        <v>E04</v>
      </c>
      <c r="H589" t="str">
        <f>_xlfn.XLOOKUP(G589,SM[Employee ID],SM[Salesperson])</f>
        <v>Priya Nair</v>
      </c>
      <c r="I589" t="str">
        <f>_xlfn.XLOOKUP(G589,SM[Employee ID],SM[Region])</f>
        <v>South</v>
      </c>
      <c r="J589" t="str">
        <f>_xlfn.XLOOKUP(G589,SM[Employee ID],SM[State/City])</f>
        <v>Bengaluru</v>
      </c>
      <c r="K589" s="2">
        <f>_xlfn.XLOOKUP(Sales[[#This Row],[Order ID]],ST[Order ID],ST[Units Sold])</f>
        <v>2</v>
      </c>
      <c r="L589">
        <f t="shared" si="9"/>
        <v>2220</v>
      </c>
    </row>
    <row r="590" spans="1:12" x14ac:dyDescent="0.35">
      <c r="A590" s="7">
        <v>1590</v>
      </c>
      <c r="B590" s="1">
        <v>45547</v>
      </c>
      <c r="C590" s="2" t="s">
        <v>14</v>
      </c>
      <c r="D590" t="str">
        <f>_xlfn.XLOOKUP(Merged_Sales_Data!C590,PM[Product ID],PM[Product Name])</f>
        <v>Laptop Backpack</v>
      </c>
      <c r="E590" t="str">
        <f>VLOOKUP(C590,PM[],3,FALSE)</f>
        <v>Accessories</v>
      </c>
      <c r="F590">
        <f>_xlfn.XLOOKUP(C590,PM[Product ID],PM[Unit Price (₹)])</f>
        <v>1110</v>
      </c>
      <c r="G590" t="str">
        <f>_xlfn.XLOOKUP(Sales[[#This Row],[Order ID]],ST[Order ID],ST[Employee ID])</f>
        <v>E03</v>
      </c>
      <c r="H590" t="str">
        <f>_xlfn.XLOOKUP(G590,SM[Employee ID],SM[Salesperson])</f>
        <v>Rohan Mehta</v>
      </c>
      <c r="I590" t="str">
        <f>_xlfn.XLOOKUP(G590,SM[Employee ID],SM[Region])</f>
        <v>South</v>
      </c>
      <c r="J590" t="str">
        <f>_xlfn.XLOOKUP(G590,SM[Employee ID],SM[State/City])</f>
        <v>Bengaluru</v>
      </c>
      <c r="K590" s="2">
        <f>_xlfn.XLOOKUP(Sales[[#This Row],[Order ID]],ST[Order ID],ST[Units Sold])</f>
        <v>8</v>
      </c>
      <c r="L590">
        <f t="shared" si="9"/>
        <v>8880</v>
      </c>
    </row>
    <row r="591" spans="1:12" x14ac:dyDescent="0.35">
      <c r="A591" s="7">
        <v>1603</v>
      </c>
      <c r="B591" s="1">
        <v>45547</v>
      </c>
      <c r="C591" s="2" t="s">
        <v>21</v>
      </c>
      <c r="D591" t="str">
        <f>_xlfn.XLOOKUP(Merged_Sales_Data!C591,PM[Product ID],PM[Product Name])</f>
        <v>Wireless Mouse</v>
      </c>
      <c r="E591" t="str">
        <f>VLOOKUP(C591,PM[],3,FALSE)</f>
        <v>Electronics</v>
      </c>
      <c r="F591">
        <f>_xlfn.XLOOKUP(C591,PM[Product ID],PM[Unit Price (₹)])</f>
        <v>780</v>
      </c>
      <c r="G591" t="str">
        <f>_xlfn.XLOOKUP(Sales[[#This Row],[Order ID]],ST[Order ID],ST[Employee ID])</f>
        <v>E02</v>
      </c>
      <c r="H591" t="str">
        <f>_xlfn.XLOOKUP(G591,SM[Employee ID],SM[Salesperson])</f>
        <v>Ishita Verma</v>
      </c>
      <c r="I591" t="str">
        <f>_xlfn.XLOOKUP(G591,SM[Employee ID],SM[Region])</f>
        <v>North</v>
      </c>
      <c r="J591" t="str">
        <f>_xlfn.XLOOKUP(G591,SM[Employee ID],SM[State/City])</f>
        <v>Chandigarh</v>
      </c>
      <c r="K591" s="2">
        <f>_xlfn.XLOOKUP(Sales[[#This Row],[Order ID]],ST[Order ID],ST[Units Sold])</f>
        <v>4</v>
      </c>
      <c r="L591">
        <f t="shared" si="9"/>
        <v>3120</v>
      </c>
    </row>
    <row r="592" spans="1:12" x14ac:dyDescent="0.35">
      <c r="A592" s="7">
        <v>1582</v>
      </c>
      <c r="B592" s="1">
        <v>45548</v>
      </c>
      <c r="C592" s="2" t="s">
        <v>21</v>
      </c>
      <c r="D592" t="str">
        <f>_xlfn.XLOOKUP(Merged_Sales_Data!C592,PM[Product ID],PM[Product Name])</f>
        <v>Wireless Mouse</v>
      </c>
      <c r="E592" t="str">
        <f>VLOOKUP(C592,PM[],3,FALSE)</f>
        <v>Electronics</v>
      </c>
      <c r="F592">
        <f>_xlfn.XLOOKUP(C592,PM[Product ID],PM[Unit Price (₹)])</f>
        <v>780</v>
      </c>
      <c r="G592" t="str">
        <f>_xlfn.XLOOKUP(Sales[[#This Row],[Order ID]],ST[Order ID],ST[Employee ID])</f>
        <v>E04</v>
      </c>
      <c r="H592" t="str">
        <f>_xlfn.XLOOKUP(G592,SM[Employee ID],SM[Salesperson])</f>
        <v>Priya Nair</v>
      </c>
      <c r="I592" t="str">
        <f>_xlfn.XLOOKUP(G592,SM[Employee ID],SM[Region])</f>
        <v>South</v>
      </c>
      <c r="J592" t="str">
        <f>_xlfn.XLOOKUP(G592,SM[Employee ID],SM[State/City])</f>
        <v>Bengaluru</v>
      </c>
      <c r="K592" s="2">
        <f>_xlfn.XLOOKUP(Sales[[#This Row],[Order ID]],ST[Order ID],ST[Units Sold])</f>
        <v>2</v>
      </c>
      <c r="L592">
        <f t="shared" si="9"/>
        <v>1560</v>
      </c>
    </row>
    <row r="593" spans="1:12" x14ac:dyDescent="0.35">
      <c r="A593" s="7">
        <v>1601</v>
      </c>
      <c r="B593" s="1">
        <v>45548</v>
      </c>
      <c r="C593" s="2" t="s">
        <v>20</v>
      </c>
      <c r="D593" t="str">
        <f>_xlfn.XLOOKUP(Merged_Sales_Data!C593,PM[Product ID],PM[Product Name])</f>
        <v>Standing Desk</v>
      </c>
      <c r="E593" t="str">
        <f>VLOOKUP(C593,PM[],3,FALSE)</f>
        <v>Office Supplies</v>
      </c>
      <c r="F593">
        <f>_xlfn.XLOOKUP(C593,PM[Product ID],PM[Unit Price (₹)])</f>
        <v>11010</v>
      </c>
      <c r="G593" t="str">
        <f>_xlfn.XLOOKUP(Sales[[#This Row],[Order ID]],ST[Order ID],ST[Employee ID])</f>
        <v>E08</v>
      </c>
      <c r="H593" t="str">
        <f>_xlfn.XLOOKUP(G593,SM[Employee ID],SM[Salesperson])</f>
        <v>Neha Joshi</v>
      </c>
      <c r="I593" t="str">
        <f>_xlfn.XLOOKUP(G593,SM[Employee ID],SM[Region])</f>
        <v>West</v>
      </c>
      <c r="J593" t="str">
        <f>_xlfn.XLOOKUP(G593,SM[Employee ID],SM[State/City])</f>
        <v>Ahmedabad</v>
      </c>
      <c r="K593" s="2">
        <f>_xlfn.XLOOKUP(Sales[[#This Row],[Order ID]],ST[Order ID],ST[Units Sold])</f>
        <v>1</v>
      </c>
      <c r="L593">
        <f t="shared" si="9"/>
        <v>11010</v>
      </c>
    </row>
    <row r="594" spans="1:12" x14ac:dyDescent="0.35">
      <c r="A594" s="7">
        <v>1598</v>
      </c>
      <c r="B594" s="1">
        <v>45550</v>
      </c>
      <c r="C594" s="2" t="s">
        <v>11</v>
      </c>
      <c r="D594" t="str">
        <f>_xlfn.XLOOKUP(Merged_Sales_Data!C594,PM[Product ID],PM[Product Name])</f>
        <v>Bluetooth Speaker</v>
      </c>
      <c r="E594" t="str">
        <f>VLOOKUP(C594,PM[],3,FALSE)</f>
        <v>Electronics</v>
      </c>
      <c r="F594">
        <f>_xlfn.XLOOKUP(C594,PM[Product ID],PM[Unit Price (₹)])</f>
        <v>1430</v>
      </c>
      <c r="G594" t="str">
        <f>_xlfn.XLOOKUP(Sales[[#This Row],[Order ID]],ST[Order ID],ST[Employee ID])</f>
        <v>E08</v>
      </c>
      <c r="H594" t="str">
        <f>_xlfn.XLOOKUP(G594,SM[Employee ID],SM[Salesperson])</f>
        <v>Neha Joshi</v>
      </c>
      <c r="I594" t="str">
        <f>_xlfn.XLOOKUP(G594,SM[Employee ID],SM[Region])</f>
        <v>West</v>
      </c>
      <c r="J594" t="str">
        <f>_xlfn.XLOOKUP(G594,SM[Employee ID],SM[State/City])</f>
        <v>Ahmedabad</v>
      </c>
      <c r="K594" s="2">
        <f>_xlfn.XLOOKUP(Sales[[#This Row],[Order ID]],ST[Order ID],ST[Units Sold])</f>
        <v>6</v>
      </c>
      <c r="L594">
        <f t="shared" si="9"/>
        <v>8580</v>
      </c>
    </row>
    <row r="595" spans="1:12" x14ac:dyDescent="0.35">
      <c r="A595" s="7">
        <v>1607</v>
      </c>
      <c r="B595" s="1">
        <v>45550</v>
      </c>
      <c r="C595" s="2" t="s">
        <v>12</v>
      </c>
      <c r="D595" t="str">
        <f>_xlfn.XLOOKUP(Merged_Sales_Data!C595,PM[Product ID],PM[Product Name])</f>
        <v>Bookshelf Unit</v>
      </c>
      <c r="E595" t="str">
        <f>VLOOKUP(C595,PM[],3,FALSE)</f>
        <v>Furniture</v>
      </c>
      <c r="F595">
        <f>_xlfn.XLOOKUP(C595,PM[Product ID],PM[Unit Price (₹)])</f>
        <v>3910</v>
      </c>
      <c r="G595" t="str">
        <f>_xlfn.XLOOKUP(Sales[[#This Row],[Order ID]],ST[Order ID],ST[Employee ID])</f>
        <v>E07</v>
      </c>
      <c r="H595" t="str">
        <f>_xlfn.XLOOKUP(G595,SM[Employee ID],SM[Salesperson])</f>
        <v>Aditya Kapoor</v>
      </c>
      <c r="I595" t="str">
        <f>_xlfn.XLOOKUP(G595,SM[Employee ID],SM[Region])</f>
        <v>West</v>
      </c>
      <c r="J595" t="str">
        <f>_xlfn.XLOOKUP(G595,SM[Employee ID],SM[State/City])</f>
        <v>Mumbai</v>
      </c>
      <c r="K595" s="2">
        <f>_xlfn.XLOOKUP(Sales[[#This Row],[Order ID]],ST[Order ID],ST[Units Sold])</f>
        <v>4</v>
      </c>
      <c r="L595">
        <f t="shared" si="9"/>
        <v>15640</v>
      </c>
    </row>
    <row r="596" spans="1:12" x14ac:dyDescent="0.35">
      <c r="A596" s="7">
        <v>1589</v>
      </c>
      <c r="B596" s="1">
        <v>45551</v>
      </c>
      <c r="C596" s="2" t="s">
        <v>5</v>
      </c>
      <c r="D596" t="str">
        <f>_xlfn.XLOOKUP(Merged_Sales_Data!C596,PM[Product ID],PM[Product Name])</f>
        <v>Ergo Office Chair</v>
      </c>
      <c r="E596" t="str">
        <f>VLOOKUP(C596,PM[],3,FALSE)</f>
        <v>Office Supplies</v>
      </c>
      <c r="F596">
        <f>_xlfn.XLOOKUP(C596,PM[Product ID],PM[Unit Price (₹)])</f>
        <v>6750</v>
      </c>
      <c r="G596" t="str">
        <f>_xlfn.XLOOKUP(Sales[[#This Row],[Order ID]],ST[Order ID],ST[Employee ID])</f>
        <v>E04</v>
      </c>
      <c r="H596" t="str">
        <f>_xlfn.XLOOKUP(G596,SM[Employee ID],SM[Salesperson])</f>
        <v>Priya Nair</v>
      </c>
      <c r="I596" t="str">
        <f>_xlfn.XLOOKUP(G596,SM[Employee ID],SM[Region])</f>
        <v>South</v>
      </c>
      <c r="J596" t="str">
        <f>_xlfn.XLOOKUP(G596,SM[Employee ID],SM[State/City])</f>
        <v>Bengaluru</v>
      </c>
      <c r="K596" s="2">
        <f>_xlfn.XLOOKUP(Sales[[#This Row],[Order ID]],ST[Order ID],ST[Units Sold])</f>
        <v>1</v>
      </c>
      <c r="L596">
        <f t="shared" si="9"/>
        <v>6750</v>
      </c>
    </row>
    <row r="597" spans="1:12" x14ac:dyDescent="0.35">
      <c r="A597" s="7">
        <v>1593</v>
      </c>
      <c r="B597" s="1">
        <v>45552</v>
      </c>
      <c r="C597" s="2" t="s">
        <v>8</v>
      </c>
      <c r="D597" t="str">
        <f>_xlfn.XLOOKUP(Merged_Sales_Data!C597,PM[Product ID],PM[Product Name])</f>
        <v>USB-C Hub</v>
      </c>
      <c r="E597" t="str">
        <f>VLOOKUP(C597,PM[],3,FALSE)</f>
        <v>Accessories</v>
      </c>
      <c r="F597">
        <f>_xlfn.XLOOKUP(C597,PM[Product ID],PM[Unit Price (₹)])</f>
        <v>880</v>
      </c>
      <c r="G597" t="str">
        <f>_xlfn.XLOOKUP(Sales[[#This Row],[Order ID]],ST[Order ID],ST[Employee ID])</f>
        <v>E02</v>
      </c>
      <c r="H597" t="str">
        <f>_xlfn.XLOOKUP(G597,SM[Employee ID],SM[Salesperson])</f>
        <v>Ishita Verma</v>
      </c>
      <c r="I597" t="str">
        <f>_xlfn.XLOOKUP(G597,SM[Employee ID],SM[Region])</f>
        <v>North</v>
      </c>
      <c r="J597" t="str">
        <f>_xlfn.XLOOKUP(G597,SM[Employee ID],SM[State/City])</f>
        <v>Chandigarh</v>
      </c>
      <c r="K597" s="2">
        <f>_xlfn.XLOOKUP(Sales[[#This Row],[Order ID]],ST[Order ID],ST[Units Sold])</f>
        <v>5</v>
      </c>
      <c r="L597">
        <f t="shared" si="9"/>
        <v>4400</v>
      </c>
    </row>
    <row r="598" spans="1:12" x14ac:dyDescent="0.35">
      <c r="A598" s="7">
        <v>1599</v>
      </c>
      <c r="B598" s="1">
        <v>45552</v>
      </c>
      <c r="C598" s="2" t="s">
        <v>14</v>
      </c>
      <c r="D598" t="str">
        <f>_xlfn.XLOOKUP(Merged_Sales_Data!C598,PM[Product ID],PM[Product Name])</f>
        <v>Laptop Backpack</v>
      </c>
      <c r="E598" t="str">
        <f>VLOOKUP(C598,PM[],3,FALSE)</f>
        <v>Accessories</v>
      </c>
      <c r="F598">
        <f>_xlfn.XLOOKUP(C598,PM[Product ID],PM[Unit Price (₹)])</f>
        <v>1110</v>
      </c>
      <c r="G598" t="str">
        <f>_xlfn.XLOOKUP(Sales[[#This Row],[Order ID]],ST[Order ID],ST[Employee ID])</f>
        <v>E01</v>
      </c>
      <c r="H598" t="str">
        <f>_xlfn.XLOOKUP(G598,SM[Employee ID],SM[Salesperson])</f>
        <v>Aarav Sharma</v>
      </c>
      <c r="I598" t="str">
        <f>_xlfn.XLOOKUP(G598,SM[Employee ID],SM[Region])</f>
        <v>North</v>
      </c>
      <c r="J598" t="str">
        <f>_xlfn.XLOOKUP(G598,SM[Employee ID],SM[State/City])</f>
        <v>Lucknow</v>
      </c>
      <c r="K598" s="2">
        <f>_xlfn.XLOOKUP(Sales[[#This Row],[Order ID]],ST[Order ID],ST[Units Sold])</f>
        <v>1</v>
      </c>
      <c r="L598">
        <f t="shared" si="9"/>
        <v>1110</v>
      </c>
    </row>
    <row r="599" spans="1:12" x14ac:dyDescent="0.35">
      <c r="A599" s="7">
        <v>1602</v>
      </c>
      <c r="B599" s="1">
        <v>45554</v>
      </c>
      <c r="C599" s="2" t="s">
        <v>21</v>
      </c>
      <c r="D599" t="str">
        <f>_xlfn.XLOOKUP(Merged_Sales_Data!C599,PM[Product ID],PM[Product Name])</f>
        <v>Wireless Mouse</v>
      </c>
      <c r="E599" t="str">
        <f>VLOOKUP(C599,PM[],3,FALSE)</f>
        <v>Electronics</v>
      </c>
      <c r="F599">
        <f>_xlfn.XLOOKUP(C599,PM[Product ID],PM[Unit Price (₹)])</f>
        <v>780</v>
      </c>
      <c r="G599" t="str">
        <f>_xlfn.XLOOKUP(Sales[[#This Row],[Order ID]],ST[Order ID],ST[Employee ID])</f>
        <v>E05</v>
      </c>
      <c r="H599" t="str">
        <f>_xlfn.XLOOKUP(G599,SM[Employee ID],SM[Salesperson])</f>
        <v>Karan Malhotra</v>
      </c>
      <c r="I599" t="str">
        <f>_xlfn.XLOOKUP(G599,SM[Employee ID],SM[Region])</f>
        <v>East</v>
      </c>
      <c r="J599" t="str">
        <f>_xlfn.XLOOKUP(G599,SM[Employee ID],SM[State/City])</f>
        <v>Kolkata</v>
      </c>
      <c r="K599" s="2">
        <f>_xlfn.XLOOKUP(Sales[[#This Row],[Order ID]],ST[Order ID],ST[Units Sold])</f>
        <v>2</v>
      </c>
      <c r="L599">
        <f t="shared" si="9"/>
        <v>1560</v>
      </c>
    </row>
    <row r="600" spans="1:12" x14ac:dyDescent="0.35">
      <c r="A600" s="7">
        <v>1588</v>
      </c>
      <c r="B600" s="1">
        <v>45555</v>
      </c>
      <c r="C600" s="2" t="s">
        <v>20</v>
      </c>
      <c r="D600" t="str">
        <f>_xlfn.XLOOKUP(Merged_Sales_Data!C600,PM[Product ID],PM[Product Name])</f>
        <v>Standing Desk</v>
      </c>
      <c r="E600" t="str">
        <f>VLOOKUP(C600,PM[],3,FALSE)</f>
        <v>Office Supplies</v>
      </c>
      <c r="F600">
        <f>_xlfn.XLOOKUP(C600,PM[Product ID],PM[Unit Price (₹)])</f>
        <v>11010</v>
      </c>
      <c r="G600" t="str">
        <f>_xlfn.XLOOKUP(Sales[[#This Row],[Order ID]],ST[Order ID],ST[Employee ID])</f>
        <v>E02</v>
      </c>
      <c r="H600" t="str">
        <f>_xlfn.XLOOKUP(G600,SM[Employee ID],SM[Salesperson])</f>
        <v>Ishita Verma</v>
      </c>
      <c r="I600" t="str">
        <f>_xlfn.XLOOKUP(G600,SM[Employee ID],SM[Region])</f>
        <v>North</v>
      </c>
      <c r="J600" t="str">
        <f>_xlfn.XLOOKUP(G600,SM[Employee ID],SM[State/City])</f>
        <v>Chandigarh</v>
      </c>
      <c r="K600" s="2">
        <f>_xlfn.XLOOKUP(Sales[[#This Row],[Order ID]],ST[Order ID],ST[Units Sold])</f>
        <v>3</v>
      </c>
      <c r="L600">
        <f t="shared" si="9"/>
        <v>33030</v>
      </c>
    </row>
    <row r="601" spans="1:12" x14ac:dyDescent="0.35">
      <c r="A601" s="7">
        <v>1584</v>
      </c>
      <c r="B601" s="1">
        <v>45556</v>
      </c>
      <c r="C601" s="2" t="s">
        <v>21</v>
      </c>
      <c r="D601" t="str">
        <f>_xlfn.XLOOKUP(Merged_Sales_Data!C601,PM[Product ID],PM[Product Name])</f>
        <v>Wireless Mouse</v>
      </c>
      <c r="E601" t="str">
        <f>VLOOKUP(C601,PM[],3,FALSE)</f>
        <v>Electronics</v>
      </c>
      <c r="F601">
        <f>_xlfn.XLOOKUP(C601,PM[Product ID],PM[Unit Price (₹)])</f>
        <v>780</v>
      </c>
      <c r="G601" t="str">
        <f>_xlfn.XLOOKUP(Sales[[#This Row],[Order ID]],ST[Order ID],ST[Employee ID])</f>
        <v>E05</v>
      </c>
      <c r="H601" t="str">
        <f>_xlfn.XLOOKUP(G601,SM[Employee ID],SM[Salesperson])</f>
        <v>Karan Malhotra</v>
      </c>
      <c r="I601" t="str">
        <f>_xlfn.XLOOKUP(G601,SM[Employee ID],SM[Region])</f>
        <v>East</v>
      </c>
      <c r="J601" t="str">
        <f>_xlfn.XLOOKUP(G601,SM[Employee ID],SM[State/City])</f>
        <v>Kolkata</v>
      </c>
      <c r="K601" s="2">
        <f>_xlfn.XLOOKUP(Sales[[#This Row],[Order ID]],ST[Order ID],ST[Units Sold])</f>
        <v>2</v>
      </c>
      <c r="L601">
        <f t="shared" si="9"/>
        <v>1560</v>
      </c>
    </row>
    <row r="602" spans="1:12" x14ac:dyDescent="0.35">
      <c r="A602" s="7">
        <v>1585</v>
      </c>
      <c r="B602" s="1">
        <v>45557</v>
      </c>
      <c r="C602" s="2" t="s">
        <v>5</v>
      </c>
      <c r="D602" t="str">
        <f>_xlfn.XLOOKUP(Merged_Sales_Data!C602,PM[Product ID],PM[Product Name])</f>
        <v>Ergo Office Chair</v>
      </c>
      <c r="E602" t="str">
        <f>VLOOKUP(C602,PM[],3,FALSE)</f>
        <v>Office Supplies</v>
      </c>
      <c r="F602">
        <f>_xlfn.XLOOKUP(C602,PM[Product ID],PM[Unit Price (₹)])</f>
        <v>6750</v>
      </c>
      <c r="G602" t="str">
        <f>_xlfn.XLOOKUP(Sales[[#This Row],[Order ID]],ST[Order ID],ST[Employee ID])</f>
        <v>E06</v>
      </c>
      <c r="H602" t="str">
        <f>_xlfn.XLOOKUP(G602,SM[Employee ID],SM[Salesperson])</f>
        <v>Sneha Roy</v>
      </c>
      <c r="I602" t="str">
        <f>_xlfn.XLOOKUP(G602,SM[Employee ID],SM[Region])</f>
        <v>East</v>
      </c>
      <c r="J602" t="str">
        <f>_xlfn.XLOOKUP(G602,SM[Employee ID],SM[State/City])</f>
        <v>Kolkata</v>
      </c>
      <c r="K602" s="2">
        <f>_xlfn.XLOOKUP(Sales[[#This Row],[Order ID]],ST[Order ID],ST[Units Sold])</f>
        <v>1</v>
      </c>
      <c r="L602">
        <f t="shared" si="9"/>
        <v>6750</v>
      </c>
    </row>
    <row r="603" spans="1:12" x14ac:dyDescent="0.35">
      <c r="A603" s="7">
        <v>1608</v>
      </c>
      <c r="B603" s="1">
        <v>45557</v>
      </c>
      <c r="C603" s="2" t="s">
        <v>10</v>
      </c>
      <c r="D603" t="str">
        <f>_xlfn.XLOOKUP(Merged_Sales_Data!C603,PM[Product ID],PM[Product Name])</f>
        <v>Filing Cabinet</v>
      </c>
      <c r="E603" t="str">
        <f>VLOOKUP(C603,PM[],3,FALSE)</f>
        <v>Furniture</v>
      </c>
      <c r="F603">
        <f>_xlfn.XLOOKUP(C603,PM[Product ID],PM[Unit Price (₹)])</f>
        <v>4070</v>
      </c>
      <c r="G603" t="str">
        <f>_xlfn.XLOOKUP(Sales[[#This Row],[Order ID]],ST[Order ID],ST[Employee ID])</f>
        <v>E07</v>
      </c>
      <c r="H603" t="str">
        <f>_xlfn.XLOOKUP(G603,SM[Employee ID],SM[Salesperson])</f>
        <v>Aditya Kapoor</v>
      </c>
      <c r="I603" t="str">
        <f>_xlfn.XLOOKUP(G603,SM[Employee ID],SM[Region])</f>
        <v>West</v>
      </c>
      <c r="J603" t="str">
        <f>_xlfn.XLOOKUP(G603,SM[Employee ID],SM[State/City])</f>
        <v>Mumbai</v>
      </c>
      <c r="K603" s="2">
        <f>_xlfn.XLOOKUP(Sales[[#This Row],[Order ID]],ST[Order ID],ST[Units Sold])</f>
        <v>1</v>
      </c>
      <c r="L603">
        <f t="shared" si="9"/>
        <v>4070</v>
      </c>
    </row>
    <row r="604" spans="1:12" x14ac:dyDescent="0.35">
      <c r="A604" s="7">
        <v>1587</v>
      </c>
      <c r="B604" s="1">
        <v>45558</v>
      </c>
      <c r="C604" s="2" t="s">
        <v>8</v>
      </c>
      <c r="D604" t="str">
        <f>_xlfn.XLOOKUP(Merged_Sales_Data!C604,PM[Product ID],PM[Product Name])</f>
        <v>USB-C Hub</v>
      </c>
      <c r="E604" t="str">
        <f>VLOOKUP(C604,PM[],3,FALSE)</f>
        <v>Accessories</v>
      </c>
      <c r="F604">
        <f>_xlfn.XLOOKUP(C604,PM[Product ID],PM[Unit Price (₹)])</f>
        <v>880</v>
      </c>
      <c r="G604" t="str">
        <f>_xlfn.XLOOKUP(Sales[[#This Row],[Order ID]],ST[Order ID],ST[Employee ID])</f>
        <v>E07</v>
      </c>
      <c r="H604" t="str">
        <f>_xlfn.XLOOKUP(G604,SM[Employee ID],SM[Salesperson])</f>
        <v>Aditya Kapoor</v>
      </c>
      <c r="I604" t="str">
        <f>_xlfn.XLOOKUP(G604,SM[Employee ID],SM[Region])</f>
        <v>West</v>
      </c>
      <c r="J604" t="str">
        <f>_xlfn.XLOOKUP(G604,SM[Employee ID],SM[State/City])</f>
        <v>Mumbai</v>
      </c>
      <c r="K604" s="2">
        <f>_xlfn.XLOOKUP(Sales[[#This Row],[Order ID]],ST[Order ID],ST[Units Sold])</f>
        <v>2</v>
      </c>
      <c r="L604">
        <f t="shared" si="9"/>
        <v>1760</v>
      </c>
    </row>
    <row r="605" spans="1:12" x14ac:dyDescent="0.35">
      <c r="A605" s="7">
        <v>1591</v>
      </c>
      <c r="B605" s="1">
        <v>45560</v>
      </c>
      <c r="C605" s="2" t="s">
        <v>8</v>
      </c>
      <c r="D605" t="str">
        <f>_xlfn.XLOOKUP(Merged_Sales_Data!C605,PM[Product ID],PM[Product Name])</f>
        <v>USB-C Hub</v>
      </c>
      <c r="E605" t="str">
        <f>VLOOKUP(C605,PM[],3,FALSE)</f>
        <v>Accessories</v>
      </c>
      <c r="F605">
        <f>_xlfn.XLOOKUP(C605,PM[Product ID],PM[Unit Price (₹)])</f>
        <v>880</v>
      </c>
      <c r="G605" t="str">
        <f>_xlfn.XLOOKUP(Sales[[#This Row],[Order ID]],ST[Order ID],ST[Employee ID])</f>
        <v>E07</v>
      </c>
      <c r="H605" t="str">
        <f>_xlfn.XLOOKUP(G605,SM[Employee ID],SM[Salesperson])</f>
        <v>Aditya Kapoor</v>
      </c>
      <c r="I605" t="str">
        <f>_xlfn.XLOOKUP(G605,SM[Employee ID],SM[Region])</f>
        <v>West</v>
      </c>
      <c r="J605" t="str">
        <f>_xlfn.XLOOKUP(G605,SM[Employee ID],SM[State/City])</f>
        <v>Mumbai</v>
      </c>
      <c r="K605" s="2">
        <f>_xlfn.XLOOKUP(Sales[[#This Row],[Order ID]],ST[Order ID],ST[Units Sold])</f>
        <v>5</v>
      </c>
      <c r="L605">
        <f t="shared" si="9"/>
        <v>4400</v>
      </c>
    </row>
    <row r="606" spans="1:12" x14ac:dyDescent="0.35">
      <c r="A606" s="7">
        <v>1592</v>
      </c>
      <c r="B606" s="1">
        <v>45560</v>
      </c>
      <c r="C606" s="2" t="s">
        <v>5</v>
      </c>
      <c r="D606" t="str">
        <f>_xlfn.XLOOKUP(Merged_Sales_Data!C606,PM[Product ID],PM[Product Name])</f>
        <v>Ergo Office Chair</v>
      </c>
      <c r="E606" t="str">
        <f>VLOOKUP(C606,PM[],3,FALSE)</f>
        <v>Office Supplies</v>
      </c>
      <c r="F606">
        <f>_xlfn.XLOOKUP(C606,PM[Product ID],PM[Unit Price (₹)])</f>
        <v>6750</v>
      </c>
      <c r="G606" t="str">
        <f>_xlfn.XLOOKUP(Sales[[#This Row],[Order ID]],ST[Order ID],ST[Employee ID])</f>
        <v>E04</v>
      </c>
      <c r="H606" t="str">
        <f>_xlfn.XLOOKUP(G606,SM[Employee ID],SM[Salesperson])</f>
        <v>Priya Nair</v>
      </c>
      <c r="I606" t="str">
        <f>_xlfn.XLOOKUP(G606,SM[Employee ID],SM[Region])</f>
        <v>South</v>
      </c>
      <c r="J606" t="str">
        <f>_xlfn.XLOOKUP(G606,SM[Employee ID],SM[State/City])</f>
        <v>Bengaluru</v>
      </c>
      <c r="K606" s="2">
        <f>_xlfn.XLOOKUP(Sales[[#This Row],[Order ID]],ST[Order ID],ST[Units Sold])</f>
        <v>10</v>
      </c>
      <c r="L606">
        <f t="shared" si="9"/>
        <v>67500</v>
      </c>
    </row>
    <row r="607" spans="1:12" x14ac:dyDescent="0.35">
      <c r="A607" s="7">
        <v>1606</v>
      </c>
      <c r="B607" s="1">
        <v>45560</v>
      </c>
      <c r="C607" s="2" t="s">
        <v>18</v>
      </c>
      <c r="D607" t="str">
        <f>_xlfn.XLOOKUP(Merged_Sales_Data!C607,PM[Product ID],PM[Product Name])</f>
        <v>LED Monitor 24"</v>
      </c>
      <c r="E607" t="str">
        <f>VLOOKUP(C607,PM[],3,FALSE)</f>
        <v>Electronics</v>
      </c>
      <c r="F607">
        <f>_xlfn.XLOOKUP(C607,PM[Product ID],PM[Unit Price (₹)])</f>
        <v>7700</v>
      </c>
      <c r="G607" t="str">
        <f>_xlfn.XLOOKUP(Sales[[#This Row],[Order ID]],ST[Order ID],ST[Employee ID])</f>
        <v>E07</v>
      </c>
      <c r="H607" t="str">
        <f>_xlfn.XLOOKUP(G607,SM[Employee ID],SM[Salesperson])</f>
        <v>Aditya Kapoor</v>
      </c>
      <c r="I607" t="str">
        <f>_xlfn.XLOOKUP(G607,SM[Employee ID],SM[Region])</f>
        <v>West</v>
      </c>
      <c r="J607" t="str">
        <f>_xlfn.XLOOKUP(G607,SM[Employee ID],SM[State/City])</f>
        <v>Mumbai</v>
      </c>
      <c r="K607" s="2">
        <f>_xlfn.XLOOKUP(Sales[[#This Row],[Order ID]],ST[Order ID],ST[Units Sold])</f>
        <v>1</v>
      </c>
      <c r="L607">
        <f t="shared" si="9"/>
        <v>7700</v>
      </c>
    </row>
    <row r="608" spans="1:12" x14ac:dyDescent="0.35">
      <c r="A608" s="7">
        <v>1578</v>
      </c>
      <c r="B608" s="1">
        <v>45563</v>
      </c>
      <c r="C608" s="2" t="s">
        <v>18</v>
      </c>
      <c r="D608" t="str">
        <f>_xlfn.XLOOKUP(Merged_Sales_Data!C608,PM[Product ID],PM[Product Name])</f>
        <v>LED Monitor 24"</v>
      </c>
      <c r="E608" t="str">
        <f>VLOOKUP(C608,PM[],3,FALSE)</f>
        <v>Electronics</v>
      </c>
      <c r="F608">
        <f>_xlfn.XLOOKUP(C608,PM[Product ID],PM[Unit Price (₹)])</f>
        <v>7700</v>
      </c>
      <c r="G608" t="str">
        <f>_xlfn.XLOOKUP(Sales[[#This Row],[Order ID]],ST[Order ID],ST[Employee ID])</f>
        <v>E04</v>
      </c>
      <c r="H608" t="str">
        <f>_xlfn.XLOOKUP(G608,SM[Employee ID],SM[Salesperson])</f>
        <v>Priya Nair</v>
      </c>
      <c r="I608" t="str">
        <f>_xlfn.XLOOKUP(G608,SM[Employee ID],SM[Region])</f>
        <v>South</v>
      </c>
      <c r="J608" t="str">
        <f>_xlfn.XLOOKUP(G608,SM[Employee ID],SM[State/City])</f>
        <v>Bengaluru</v>
      </c>
      <c r="K608" s="2">
        <f>_xlfn.XLOOKUP(Sales[[#This Row],[Order ID]],ST[Order ID],ST[Units Sold])</f>
        <v>8</v>
      </c>
      <c r="L608">
        <f t="shared" si="9"/>
        <v>61600</v>
      </c>
    </row>
    <row r="609" spans="1:12" x14ac:dyDescent="0.35">
      <c r="A609" s="7">
        <v>1596</v>
      </c>
      <c r="B609" s="1">
        <v>45563</v>
      </c>
      <c r="C609" s="2" t="s">
        <v>18</v>
      </c>
      <c r="D609" t="str">
        <f>_xlfn.XLOOKUP(Merged_Sales_Data!C609,PM[Product ID],PM[Product Name])</f>
        <v>LED Monitor 24"</v>
      </c>
      <c r="E609" t="str">
        <f>VLOOKUP(C609,PM[],3,FALSE)</f>
        <v>Electronics</v>
      </c>
      <c r="F609">
        <f>_xlfn.XLOOKUP(C609,PM[Product ID],PM[Unit Price (₹)])</f>
        <v>7700</v>
      </c>
      <c r="G609" t="str">
        <f>_xlfn.XLOOKUP(Sales[[#This Row],[Order ID]],ST[Order ID],ST[Employee ID])</f>
        <v>E03</v>
      </c>
      <c r="H609" t="str">
        <f>_xlfn.XLOOKUP(G609,SM[Employee ID],SM[Salesperson])</f>
        <v>Rohan Mehta</v>
      </c>
      <c r="I609" t="str">
        <f>_xlfn.XLOOKUP(G609,SM[Employee ID],SM[Region])</f>
        <v>South</v>
      </c>
      <c r="J609" t="str">
        <f>_xlfn.XLOOKUP(G609,SM[Employee ID],SM[State/City])</f>
        <v>Bengaluru</v>
      </c>
      <c r="K609" s="2">
        <f>_xlfn.XLOOKUP(Sales[[#This Row],[Order ID]],ST[Order ID],ST[Units Sold])</f>
        <v>3</v>
      </c>
      <c r="L609">
        <f t="shared" si="9"/>
        <v>23100</v>
      </c>
    </row>
    <row r="610" spans="1:12" x14ac:dyDescent="0.35">
      <c r="A610" s="7">
        <v>1604</v>
      </c>
      <c r="B610" s="1">
        <v>45565</v>
      </c>
      <c r="C610" s="2" t="s">
        <v>8</v>
      </c>
      <c r="D610" t="str">
        <f>_xlfn.XLOOKUP(Merged_Sales_Data!C610,PM[Product ID],PM[Product Name])</f>
        <v>USB-C Hub</v>
      </c>
      <c r="E610" t="str">
        <f>VLOOKUP(C610,PM[],3,FALSE)</f>
        <v>Accessories</v>
      </c>
      <c r="F610">
        <f>_xlfn.XLOOKUP(C610,PM[Product ID],PM[Unit Price (₹)])</f>
        <v>880</v>
      </c>
      <c r="G610" t="str">
        <f>_xlfn.XLOOKUP(Sales[[#This Row],[Order ID]],ST[Order ID],ST[Employee ID])</f>
        <v>E02</v>
      </c>
      <c r="H610" t="str">
        <f>_xlfn.XLOOKUP(G610,SM[Employee ID],SM[Salesperson])</f>
        <v>Ishita Verma</v>
      </c>
      <c r="I610" t="str">
        <f>_xlfn.XLOOKUP(G610,SM[Employee ID],SM[Region])</f>
        <v>North</v>
      </c>
      <c r="J610" t="str">
        <f>_xlfn.XLOOKUP(G610,SM[Employee ID],SM[State/City])</f>
        <v>Chandigarh</v>
      </c>
      <c r="K610" s="2">
        <f>_xlfn.XLOOKUP(Sales[[#This Row],[Order ID]],ST[Order ID],ST[Units Sold])</f>
        <v>1</v>
      </c>
      <c r="L610">
        <f t="shared" si="9"/>
        <v>880</v>
      </c>
    </row>
    <row r="611" spans="1:12" x14ac:dyDescent="0.35">
      <c r="A611" s="7">
        <v>1616</v>
      </c>
      <c r="B611" s="1">
        <v>45568</v>
      </c>
      <c r="C611" s="2" t="s">
        <v>5</v>
      </c>
      <c r="D611" t="str">
        <f>_xlfn.XLOOKUP(Merged_Sales_Data!C611,PM[Product ID],PM[Product Name])</f>
        <v>Ergo Office Chair</v>
      </c>
      <c r="E611" t="str">
        <f>VLOOKUP(C611,PM[],3,FALSE)</f>
        <v>Office Supplies</v>
      </c>
      <c r="F611">
        <f>_xlfn.XLOOKUP(C611,PM[Product ID],PM[Unit Price (₹)])</f>
        <v>6750</v>
      </c>
      <c r="G611" t="str">
        <f>_xlfn.XLOOKUP(Sales[[#This Row],[Order ID]],ST[Order ID],ST[Employee ID])</f>
        <v>E01</v>
      </c>
      <c r="H611" t="str">
        <f>_xlfn.XLOOKUP(G611,SM[Employee ID],SM[Salesperson])</f>
        <v>Aarav Sharma</v>
      </c>
      <c r="I611" t="str">
        <f>_xlfn.XLOOKUP(G611,SM[Employee ID],SM[Region])</f>
        <v>North</v>
      </c>
      <c r="J611" t="str">
        <f>_xlfn.XLOOKUP(G611,SM[Employee ID],SM[State/City])</f>
        <v>Lucknow</v>
      </c>
      <c r="K611" s="2">
        <f>_xlfn.XLOOKUP(Sales[[#This Row],[Order ID]],ST[Order ID],ST[Units Sold])</f>
        <v>2</v>
      </c>
      <c r="L611">
        <f t="shared" si="9"/>
        <v>13500</v>
      </c>
    </row>
    <row r="612" spans="1:12" x14ac:dyDescent="0.35">
      <c r="A612" s="7">
        <v>1634</v>
      </c>
      <c r="B612" s="1">
        <v>45568</v>
      </c>
      <c r="C612" s="2" t="s">
        <v>12</v>
      </c>
      <c r="D612" t="str">
        <f>_xlfn.XLOOKUP(Merged_Sales_Data!C612,PM[Product ID],PM[Product Name])</f>
        <v>Bookshelf Unit</v>
      </c>
      <c r="E612" t="str">
        <f>VLOOKUP(C612,PM[],3,FALSE)</f>
        <v>Furniture</v>
      </c>
      <c r="F612">
        <f>_xlfn.XLOOKUP(C612,PM[Product ID],PM[Unit Price (₹)])</f>
        <v>3910</v>
      </c>
      <c r="G612" t="str">
        <f>_xlfn.XLOOKUP(Sales[[#This Row],[Order ID]],ST[Order ID],ST[Employee ID])</f>
        <v>E04</v>
      </c>
      <c r="H612" t="str">
        <f>_xlfn.XLOOKUP(G612,SM[Employee ID],SM[Salesperson])</f>
        <v>Priya Nair</v>
      </c>
      <c r="I612" t="str">
        <f>_xlfn.XLOOKUP(G612,SM[Employee ID],SM[Region])</f>
        <v>South</v>
      </c>
      <c r="J612" t="str">
        <f>_xlfn.XLOOKUP(G612,SM[Employee ID],SM[State/City])</f>
        <v>Bengaluru</v>
      </c>
      <c r="K612" s="2">
        <f>_xlfn.XLOOKUP(Sales[[#This Row],[Order ID]],ST[Order ID],ST[Units Sold])</f>
        <v>10</v>
      </c>
      <c r="L612">
        <f t="shared" si="9"/>
        <v>39100</v>
      </c>
    </row>
    <row r="613" spans="1:12" x14ac:dyDescent="0.35">
      <c r="A613" s="7">
        <v>1614</v>
      </c>
      <c r="B613" s="1">
        <v>45572</v>
      </c>
      <c r="C613" s="2" t="s">
        <v>18</v>
      </c>
      <c r="D613" t="str">
        <f>_xlfn.XLOOKUP(Merged_Sales_Data!C613,PM[Product ID],PM[Product Name])</f>
        <v>LED Monitor 24"</v>
      </c>
      <c r="E613" t="str">
        <f>VLOOKUP(C613,PM[],3,FALSE)</f>
        <v>Electronics</v>
      </c>
      <c r="F613">
        <f>_xlfn.XLOOKUP(C613,PM[Product ID],PM[Unit Price (₹)])</f>
        <v>7700</v>
      </c>
      <c r="G613" t="str">
        <f>_xlfn.XLOOKUP(Sales[[#This Row],[Order ID]],ST[Order ID],ST[Employee ID])</f>
        <v>E06</v>
      </c>
      <c r="H613" t="str">
        <f>_xlfn.XLOOKUP(G613,SM[Employee ID],SM[Salesperson])</f>
        <v>Sneha Roy</v>
      </c>
      <c r="I613" t="str">
        <f>_xlfn.XLOOKUP(G613,SM[Employee ID],SM[Region])</f>
        <v>East</v>
      </c>
      <c r="J613" t="str">
        <f>_xlfn.XLOOKUP(G613,SM[Employee ID],SM[State/City])</f>
        <v>Kolkata</v>
      </c>
      <c r="K613" s="2">
        <f>_xlfn.XLOOKUP(Sales[[#This Row],[Order ID]],ST[Order ID],ST[Units Sold])</f>
        <v>2</v>
      </c>
      <c r="L613">
        <f t="shared" si="9"/>
        <v>15400</v>
      </c>
    </row>
    <row r="614" spans="1:12" x14ac:dyDescent="0.35">
      <c r="A614" s="7">
        <v>1619</v>
      </c>
      <c r="B614" s="1">
        <v>45572</v>
      </c>
      <c r="C614" s="2" t="s">
        <v>5</v>
      </c>
      <c r="D614" t="str">
        <f>_xlfn.XLOOKUP(Merged_Sales_Data!C614,PM[Product ID],PM[Product Name])</f>
        <v>Ergo Office Chair</v>
      </c>
      <c r="E614" t="str">
        <f>VLOOKUP(C614,PM[],3,FALSE)</f>
        <v>Office Supplies</v>
      </c>
      <c r="F614">
        <f>_xlfn.XLOOKUP(C614,PM[Product ID],PM[Unit Price (₹)])</f>
        <v>6750</v>
      </c>
      <c r="G614" t="str">
        <f>_xlfn.XLOOKUP(Sales[[#This Row],[Order ID]],ST[Order ID],ST[Employee ID])</f>
        <v>E08</v>
      </c>
      <c r="H614" t="str">
        <f>_xlfn.XLOOKUP(G614,SM[Employee ID],SM[Salesperson])</f>
        <v>Neha Joshi</v>
      </c>
      <c r="I614" t="str">
        <f>_xlfn.XLOOKUP(G614,SM[Employee ID],SM[Region])</f>
        <v>West</v>
      </c>
      <c r="J614" t="str">
        <f>_xlfn.XLOOKUP(G614,SM[Employee ID],SM[State/City])</f>
        <v>Ahmedabad</v>
      </c>
      <c r="K614" s="2">
        <f>_xlfn.XLOOKUP(Sales[[#This Row],[Order ID]],ST[Order ID],ST[Units Sold])</f>
        <v>6</v>
      </c>
      <c r="L614">
        <f t="shared" si="9"/>
        <v>40500</v>
      </c>
    </row>
    <row r="615" spans="1:12" x14ac:dyDescent="0.35">
      <c r="A615" s="7">
        <v>1639</v>
      </c>
      <c r="B615" s="1">
        <v>45572</v>
      </c>
      <c r="C615" s="2" t="s">
        <v>20</v>
      </c>
      <c r="D615" t="str">
        <f>_xlfn.XLOOKUP(Merged_Sales_Data!C615,PM[Product ID],PM[Product Name])</f>
        <v>Standing Desk</v>
      </c>
      <c r="E615" t="str">
        <f>VLOOKUP(C615,PM[],3,FALSE)</f>
        <v>Office Supplies</v>
      </c>
      <c r="F615">
        <f>_xlfn.XLOOKUP(C615,PM[Product ID],PM[Unit Price (₹)])</f>
        <v>11010</v>
      </c>
      <c r="G615" t="str">
        <f>_xlfn.XLOOKUP(Sales[[#This Row],[Order ID]],ST[Order ID],ST[Employee ID])</f>
        <v>E06</v>
      </c>
      <c r="H615" t="str">
        <f>_xlfn.XLOOKUP(G615,SM[Employee ID],SM[Salesperson])</f>
        <v>Sneha Roy</v>
      </c>
      <c r="I615" t="str">
        <f>_xlfn.XLOOKUP(G615,SM[Employee ID],SM[Region])</f>
        <v>East</v>
      </c>
      <c r="J615" t="str">
        <f>_xlfn.XLOOKUP(G615,SM[Employee ID],SM[State/City])</f>
        <v>Kolkata</v>
      </c>
      <c r="K615" s="2">
        <f>_xlfn.XLOOKUP(Sales[[#This Row],[Order ID]],ST[Order ID],ST[Units Sold])</f>
        <v>1</v>
      </c>
      <c r="L615">
        <f t="shared" si="9"/>
        <v>11010</v>
      </c>
    </row>
    <row r="616" spans="1:12" x14ac:dyDescent="0.35">
      <c r="A616" s="7">
        <v>1649</v>
      </c>
      <c r="B616" s="1">
        <v>45572</v>
      </c>
      <c r="C616" s="2" t="s">
        <v>20</v>
      </c>
      <c r="D616" t="str">
        <f>_xlfn.XLOOKUP(Merged_Sales_Data!C616,PM[Product ID],PM[Product Name])</f>
        <v>Standing Desk</v>
      </c>
      <c r="E616" t="str">
        <f>VLOOKUP(C616,PM[],3,FALSE)</f>
        <v>Office Supplies</v>
      </c>
      <c r="F616">
        <f>_xlfn.XLOOKUP(C616,PM[Product ID],PM[Unit Price (₹)])</f>
        <v>11010</v>
      </c>
      <c r="G616" t="str">
        <f>_xlfn.XLOOKUP(Sales[[#This Row],[Order ID]],ST[Order ID],ST[Employee ID])</f>
        <v>E07</v>
      </c>
      <c r="H616" t="str">
        <f>_xlfn.XLOOKUP(G616,SM[Employee ID],SM[Salesperson])</f>
        <v>Aditya Kapoor</v>
      </c>
      <c r="I616" t="str">
        <f>_xlfn.XLOOKUP(G616,SM[Employee ID],SM[Region])</f>
        <v>West</v>
      </c>
      <c r="J616" t="str">
        <f>_xlfn.XLOOKUP(G616,SM[Employee ID],SM[State/City])</f>
        <v>Mumbai</v>
      </c>
      <c r="K616" s="2">
        <f>_xlfn.XLOOKUP(Sales[[#This Row],[Order ID]],ST[Order ID],ST[Units Sold])</f>
        <v>1</v>
      </c>
      <c r="L616">
        <f t="shared" si="9"/>
        <v>11010</v>
      </c>
    </row>
    <row r="617" spans="1:12" x14ac:dyDescent="0.35">
      <c r="A617" s="7">
        <v>1633</v>
      </c>
      <c r="B617" s="1">
        <v>45574</v>
      </c>
      <c r="C617" s="2" t="s">
        <v>10</v>
      </c>
      <c r="D617" t="str">
        <f>_xlfn.XLOOKUP(Merged_Sales_Data!C617,PM[Product ID],PM[Product Name])</f>
        <v>Filing Cabinet</v>
      </c>
      <c r="E617" t="str">
        <f>VLOOKUP(C617,PM[],3,FALSE)</f>
        <v>Furniture</v>
      </c>
      <c r="F617">
        <f>_xlfn.XLOOKUP(C617,PM[Product ID],PM[Unit Price (₹)])</f>
        <v>4070</v>
      </c>
      <c r="G617" t="str">
        <f>_xlfn.XLOOKUP(Sales[[#This Row],[Order ID]],ST[Order ID],ST[Employee ID])</f>
        <v>E03</v>
      </c>
      <c r="H617" t="str">
        <f>_xlfn.XLOOKUP(G617,SM[Employee ID],SM[Salesperson])</f>
        <v>Rohan Mehta</v>
      </c>
      <c r="I617" t="str">
        <f>_xlfn.XLOOKUP(G617,SM[Employee ID],SM[Region])</f>
        <v>South</v>
      </c>
      <c r="J617" t="str">
        <f>_xlfn.XLOOKUP(G617,SM[Employee ID],SM[State/City])</f>
        <v>Bengaluru</v>
      </c>
      <c r="K617" s="2">
        <f>_xlfn.XLOOKUP(Sales[[#This Row],[Order ID]],ST[Order ID],ST[Units Sold])</f>
        <v>2</v>
      </c>
      <c r="L617">
        <f t="shared" si="9"/>
        <v>8140</v>
      </c>
    </row>
    <row r="618" spans="1:12" x14ac:dyDescent="0.35">
      <c r="A618" s="7">
        <v>1648</v>
      </c>
      <c r="B618" s="1">
        <v>45574</v>
      </c>
      <c r="C618" s="2" t="s">
        <v>18</v>
      </c>
      <c r="D618" t="str">
        <f>_xlfn.XLOOKUP(Merged_Sales_Data!C618,PM[Product ID],PM[Product Name])</f>
        <v>LED Monitor 24"</v>
      </c>
      <c r="E618" t="str">
        <f>VLOOKUP(C618,PM[],3,FALSE)</f>
        <v>Electronics</v>
      </c>
      <c r="F618">
        <f>_xlfn.XLOOKUP(C618,PM[Product ID],PM[Unit Price (₹)])</f>
        <v>7700</v>
      </c>
      <c r="G618" t="str">
        <f>_xlfn.XLOOKUP(Sales[[#This Row],[Order ID]],ST[Order ID],ST[Employee ID])</f>
        <v>E04</v>
      </c>
      <c r="H618" t="str">
        <f>_xlfn.XLOOKUP(G618,SM[Employee ID],SM[Salesperson])</f>
        <v>Priya Nair</v>
      </c>
      <c r="I618" t="str">
        <f>_xlfn.XLOOKUP(G618,SM[Employee ID],SM[Region])</f>
        <v>South</v>
      </c>
      <c r="J618" t="str">
        <f>_xlfn.XLOOKUP(G618,SM[Employee ID],SM[State/City])</f>
        <v>Bengaluru</v>
      </c>
      <c r="K618" s="2">
        <f>_xlfn.XLOOKUP(Sales[[#This Row],[Order ID]],ST[Order ID],ST[Units Sold])</f>
        <v>1</v>
      </c>
      <c r="L618">
        <f t="shared" si="9"/>
        <v>7700</v>
      </c>
    </row>
    <row r="619" spans="1:12" x14ac:dyDescent="0.35">
      <c r="A619" s="7">
        <v>1611</v>
      </c>
      <c r="B619" s="1">
        <v>45575</v>
      </c>
      <c r="C619" s="2" t="s">
        <v>21</v>
      </c>
      <c r="D619" t="str">
        <f>_xlfn.XLOOKUP(Merged_Sales_Data!C619,PM[Product ID],PM[Product Name])</f>
        <v>Wireless Mouse</v>
      </c>
      <c r="E619" t="str">
        <f>VLOOKUP(C619,PM[],3,FALSE)</f>
        <v>Electronics</v>
      </c>
      <c r="F619">
        <f>_xlfn.XLOOKUP(C619,PM[Product ID],PM[Unit Price (₹)])</f>
        <v>780</v>
      </c>
      <c r="G619" t="str">
        <f>_xlfn.XLOOKUP(Sales[[#This Row],[Order ID]],ST[Order ID],ST[Employee ID])</f>
        <v>E04</v>
      </c>
      <c r="H619" t="str">
        <f>_xlfn.XLOOKUP(G619,SM[Employee ID],SM[Salesperson])</f>
        <v>Priya Nair</v>
      </c>
      <c r="I619" t="str">
        <f>_xlfn.XLOOKUP(G619,SM[Employee ID],SM[Region])</f>
        <v>South</v>
      </c>
      <c r="J619" t="str">
        <f>_xlfn.XLOOKUP(G619,SM[Employee ID],SM[State/City])</f>
        <v>Bengaluru</v>
      </c>
      <c r="K619" s="2">
        <f>_xlfn.XLOOKUP(Sales[[#This Row],[Order ID]],ST[Order ID],ST[Units Sold])</f>
        <v>1</v>
      </c>
      <c r="L619">
        <f t="shared" si="9"/>
        <v>780</v>
      </c>
    </row>
    <row r="620" spans="1:12" x14ac:dyDescent="0.35">
      <c r="A620" s="7">
        <v>1620</v>
      </c>
      <c r="B620" s="1">
        <v>45575</v>
      </c>
      <c r="C620" s="2" t="s">
        <v>18</v>
      </c>
      <c r="D620" t="str">
        <f>_xlfn.XLOOKUP(Merged_Sales_Data!C620,PM[Product ID],PM[Product Name])</f>
        <v>LED Monitor 24"</v>
      </c>
      <c r="E620" t="str">
        <f>VLOOKUP(C620,PM[],3,FALSE)</f>
        <v>Electronics</v>
      </c>
      <c r="F620">
        <f>_xlfn.XLOOKUP(C620,PM[Product ID],PM[Unit Price (₹)])</f>
        <v>7700</v>
      </c>
      <c r="G620" t="str">
        <f>_xlfn.XLOOKUP(Sales[[#This Row],[Order ID]],ST[Order ID],ST[Employee ID])</f>
        <v>E01</v>
      </c>
      <c r="H620" t="str">
        <f>_xlfn.XLOOKUP(G620,SM[Employee ID],SM[Salesperson])</f>
        <v>Aarav Sharma</v>
      </c>
      <c r="I620" t="str">
        <f>_xlfn.XLOOKUP(G620,SM[Employee ID],SM[Region])</f>
        <v>North</v>
      </c>
      <c r="J620" t="str">
        <f>_xlfn.XLOOKUP(G620,SM[Employee ID],SM[State/City])</f>
        <v>Lucknow</v>
      </c>
      <c r="K620" s="2">
        <f>_xlfn.XLOOKUP(Sales[[#This Row],[Order ID]],ST[Order ID],ST[Units Sold])</f>
        <v>6</v>
      </c>
      <c r="L620">
        <f t="shared" si="9"/>
        <v>46200</v>
      </c>
    </row>
    <row r="621" spans="1:12" x14ac:dyDescent="0.35">
      <c r="A621" s="7">
        <v>1628</v>
      </c>
      <c r="B621" s="1">
        <v>45575</v>
      </c>
      <c r="C621" s="2" t="s">
        <v>10</v>
      </c>
      <c r="D621" t="str">
        <f>_xlfn.XLOOKUP(Merged_Sales_Data!C621,PM[Product ID],PM[Product Name])</f>
        <v>Filing Cabinet</v>
      </c>
      <c r="E621" t="str">
        <f>VLOOKUP(C621,PM[],3,FALSE)</f>
        <v>Furniture</v>
      </c>
      <c r="F621">
        <f>_xlfn.XLOOKUP(C621,PM[Product ID],PM[Unit Price (₹)])</f>
        <v>4070</v>
      </c>
      <c r="G621" t="str">
        <f>_xlfn.XLOOKUP(Sales[[#This Row],[Order ID]],ST[Order ID],ST[Employee ID])</f>
        <v>E07</v>
      </c>
      <c r="H621" t="str">
        <f>_xlfn.XLOOKUP(G621,SM[Employee ID],SM[Salesperson])</f>
        <v>Aditya Kapoor</v>
      </c>
      <c r="I621" t="str">
        <f>_xlfn.XLOOKUP(G621,SM[Employee ID],SM[Region])</f>
        <v>West</v>
      </c>
      <c r="J621" t="str">
        <f>_xlfn.XLOOKUP(G621,SM[Employee ID],SM[State/City])</f>
        <v>Mumbai</v>
      </c>
      <c r="K621" s="2">
        <f>_xlfn.XLOOKUP(Sales[[#This Row],[Order ID]],ST[Order ID],ST[Units Sold])</f>
        <v>1</v>
      </c>
      <c r="L621">
        <f t="shared" si="9"/>
        <v>4070</v>
      </c>
    </row>
    <row r="622" spans="1:12" x14ac:dyDescent="0.35">
      <c r="A622" s="7">
        <v>1644</v>
      </c>
      <c r="B622" s="1">
        <v>45577</v>
      </c>
      <c r="C622" s="2" t="s">
        <v>20</v>
      </c>
      <c r="D622" t="str">
        <f>_xlfn.XLOOKUP(Merged_Sales_Data!C622,PM[Product ID],PM[Product Name])</f>
        <v>Standing Desk</v>
      </c>
      <c r="E622" t="str">
        <f>VLOOKUP(C622,PM[],3,FALSE)</f>
        <v>Office Supplies</v>
      </c>
      <c r="F622">
        <f>_xlfn.XLOOKUP(C622,PM[Product ID],PM[Unit Price (₹)])</f>
        <v>11010</v>
      </c>
      <c r="G622" t="str">
        <f>_xlfn.XLOOKUP(Sales[[#This Row],[Order ID]],ST[Order ID],ST[Employee ID])</f>
        <v>E06</v>
      </c>
      <c r="H622" t="str">
        <f>_xlfn.XLOOKUP(G622,SM[Employee ID],SM[Salesperson])</f>
        <v>Sneha Roy</v>
      </c>
      <c r="I622" t="str">
        <f>_xlfn.XLOOKUP(G622,SM[Employee ID],SM[Region])</f>
        <v>East</v>
      </c>
      <c r="J622" t="str">
        <f>_xlfn.XLOOKUP(G622,SM[Employee ID],SM[State/City])</f>
        <v>Kolkata</v>
      </c>
      <c r="K622" s="2">
        <f>_xlfn.XLOOKUP(Sales[[#This Row],[Order ID]],ST[Order ID],ST[Units Sold])</f>
        <v>2</v>
      </c>
      <c r="L622">
        <f t="shared" si="9"/>
        <v>22020</v>
      </c>
    </row>
    <row r="623" spans="1:12" x14ac:dyDescent="0.35">
      <c r="A623" s="7">
        <v>1646</v>
      </c>
      <c r="B623" s="1">
        <v>45577</v>
      </c>
      <c r="C623" s="2" t="s">
        <v>12</v>
      </c>
      <c r="D623" t="str">
        <f>_xlfn.XLOOKUP(Merged_Sales_Data!C623,PM[Product ID],PM[Product Name])</f>
        <v>Bookshelf Unit</v>
      </c>
      <c r="E623" t="str">
        <f>VLOOKUP(C623,PM[],3,FALSE)</f>
        <v>Furniture</v>
      </c>
      <c r="F623">
        <f>_xlfn.XLOOKUP(C623,PM[Product ID],PM[Unit Price (₹)])</f>
        <v>3910</v>
      </c>
      <c r="G623" t="str">
        <f>_xlfn.XLOOKUP(Sales[[#This Row],[Order ID]],ST[Order ID],ST[Employee ID])</f>
        <v>E08</v>
      </c>
      <c r="H623" t="str">
        <f>_xlfn.XLOOKUP(G623,SM[Employee ID],SM[Salesperson])</f>
        <v>Neha Joshi</v>
      </c>
      <c r="I623" t="str">
        <f>_xlfn.XLOOKUP(G623,SM[Employee ID],SM[Region])</f>
        <v>West</v>
      </c>
      <c r="J623" t="str">
        <f>_xlfn.XLOOKUP(G623,SM[Employee ID],SM[State/City])</f>
        <v>Ahmedabad</v>
      </c>
      <c r="K623" s="2">
        <f>_xlfn.XLOOKUP(Sales[[#This Row],[Order ID]],ST[Order ID],ST[Units Sold])</f>
        <v>2</v>
      </c>
      <c r="L623">
        <f t="shared" si="9"/>
        <v>7820</v>
      </c>
    </row>
    <row r="624" spans="1:12" x14ac:dyDescent="0.35">
      <c r="A624" s="7">
        <v>1618</v>
      </c>
      <c r="B624" s="1">
        <v>45578</v>
      </c>
      <c r="C624" s="2" t="s">
        <v>5</v>
      </c>
      <c r="D624" t="str">
        <f>_xlfn.XLOOKUP(Merged_Sales_Data!C624,PM[Product ID],PM[Product Name])</f>
        <v>Ergo Office Chair</v>
      </c>
      <c r="E624" t="str">
        <f>VLOOKUP(C624,PM[],3,FALSE)</f>
        <v>Office Supplies</v>
      </c>
      <c r="F624">
        <f>_xlfn.XLOOKUP(C624,PM[Product ID],PM[Unit Price (₹)])</f>
        <v>6750</v>
      </c>
      <c r="G624" t="str">
        <f>_xlfn.XLOOKUP(Sales[[#This Row],[Order ID]],ST[Order ID],ST[Employee ID])</f>
        <v>E01</v>
      </c>
      <c r="H624" t="str">
        <f>_xlfn.XLOOKUP(G624,SM[Employee ID],SM[Salesperson])</f>
        <v>Aarav Sharma</v>
      </c>
      <c r="I624" t="str">
        <f>_xlfn.XLOOKUP(G624,SM[Employee ID],SM[Region])</f>
        <v>North</v>
      </c>
      <c r="J624" t="str">
        <f>_xlfn.XLOOKUP(G624,SM[Employee ID],SM[State/City])</f>
        <v>Lucknow</v>
      </c>
      <c r="K624" s="2">
        <f>_xlfn.XLOOKUP(Sales[[#This Row],[Order ID]],ST[Order ID],ST[Units Sold])</f>
        <v>1</v>
      </c>
      <c r="L624">
        <f t="shared" si="9"/>
        <v>6750</v>
      </c>
    </row>
    <row r="625" spans="1:12" x14ac:dyDescent="0.35">
      <c r="A625" s="7">
        <v>1636</v>
      </c>
      <c r="B625" s="1">
        <v>45578</v>
      </c>
      <c r="C625" s="2" t="s">
        <v>21</v>
      </c>
      <c r="D625" t="str">
        <f>_xlfn.XLOOKUP(Merged_Sales_Data!C625,PM[Product ID],PM[Product Name])</f>
        <v>Wireless Mouse</v>
      </c>
      <c r="E625" t="str">
        <f>VLOOKUP(C625,PM[],3,FALSE)</f>
        <v>Electronics</v>
      </c>
      <c r="F625">
        <f>_xlfn.XLOOKUP(C625,PM[Product ID],PM[Unit Price (₹)])</f>
        <v>780</v>
      </c>
      <c r="G625" t="str">
        <f>_xlfn.XLOOKUP(Sales[[#This Row],[Order ID]],ST[Order ID],ST[Employee ID])</f>
        <v>E04</v>
      </c>
      <c r="H625" t="str">
        <f>_xlfn.XLOOKUP(G625,SM[Employee ID],SM[Salesperson])</f>
        <v>Priya Nair</v>
      </c>
      <c r="I625" t="str">
        <f>_xlfn.XLOOKUP(G625,SM[Employee ID],SM[Region])</f>
        <v>South</v>
      </c>
      <c r="J625" t="str">
        <f>_xlfn.XLOOKUP(G625,SM[Employee ID],SM[State/City])</f>
        <v>Bengaluru</v>
      </c>
      <c r="K625" s="2">
        <f>_xlfn.XLOOKUP(Sales[[#This Row],[Order ID]],ST[Order ID],ST[Units Sold])</f>
        <v>2</v>
      </c>
      <c r="L625">
        <f t="shared" si="9"/>
        <v>1560</v>
      </c>
    </row>
    <row r="626" spans="1:12" x14ac:dyDescent="0.35">
      <c r="A626" s="7">
        <v>1615</v>
      </c>
      <c r="B626" s="1">
        <v>45579</v>
      </c>
      <c r="C626" s="2" t="s">
        <v>21</v>
      </c>
      <c r="D626" t="str">
        <f>_xlfn.XLOOKUP(Merged_Sales_Data!C626,PM[Product ID],PM[Product Name])</f>
        <v>Wireless Mouse</v>
      </c>
      <c r="E626" t="str">
        <f>VLOOKUP(C626,PM[],3,FALSE)</f>
        <v>Electronics</v>
      </c>
      <c r="F626">
        <f>_xlfn.XLOOKUP(C626,PM[Product ID],PM[Unit Price (₹)])</f>
        <v>780</v>
      </c>
      <c r="G626" t="str">
        <f>_xlfn.XLOOKUP(Sales[[#This Row],[Order ID]],ST[Order ID],ST[Employee ID])</f>
        <v>E02</v>
      </c>
      <c r="H626" t="str">
        <f>_xlfn.XLOOKUP(G626,SM[Employee ID],SM[Salesperson])</f>
        <v>Ishita Verma</v>
      </c>
      <c r="I626" t="str">
        <f>_xlfn.XLOOKUP(G626,SM[Employee ID],SM[Region])</f>
        <v>North</v>
      </c>
      <c r="J626" t="str">
        <f>_xlfn.XLOOKUP(G626,SM[Employee ID],SM[State/City])</f>
        <v>Chandigarh</v>
      </c>
      <c r="K626" s="2">
        <f>_xlfn.XLOOKUP(Sales[[#This Row],[Order ID]],ST[Order ID],ST[Units Sold])</f>
        <v>10</v>
      </c>
      <c r="L626">
        <f t="shared" si="9"/>
        <v>7800</v>
      </c>
    </row>
    <row r="627" spans="1:12" x14ac:dyDescent="0.35">
      <c r="A627" s="7">
        <v>1623</v>
      </c>
      <c r="B627" s="1">
        <v>45579</v>
      </c>
      <c r="C627" s="2" t="s">
        <v>8</v>
      </c>
      <c r="D627" t="str">
        <f>_xlfn.XLOOKUP(Merged_Sales_Data!C627,PM[Product ID],PM[Product Name])</f>
        <v>USB-C Hub</v>
      </c>
      <c r="E627" t="str">
        <f>VLOOKUP(C627,PM[],3,FALSE)</f>
        <v>Accessories</v>
      </c>
      <c r="F627">
        <f>_xlfn.XLOOKUP(C627,PM[Product ID],PM[Unit Price (₹)])</f>
        <v>880</v>
      </c>
      <c r="G627" t="str">
        <f>_xlfn.XLOOKUP(Sales[[#This Row],[Order ID]],ST[Order ID],ST[Employee ID])</f>
        <v>E03</v>
      </c>
      <c r="H627" t="str">
        <f>_xlfn.XLOOKUP(G627,SM[Employee ID],SM[Salesperson])</f>
        <v>Rohan Mehta</v>
      </c>
      <c r="I627" t="str">
        <f>_xlfn.XLOOKUP(G627,SM[Employee ID],SM[Region])</f>
        <v>South</v>
      </c>
      <c r="J627" t="str">
        <f>_xlfn.XLOOKUP(G627,SM[Employee ID],SM[State/City])</f>
        <v>Bengaluru</v>
      </c>
      <c r="K627" s="2">
        <f>_xlfn.XLOOKUP(Sales[[#This Row],[Order ID]],ST[Order ID],ST[Units Sold])</f>
        <v>2</v>
      </c>
      <c r="L627">
        <f t="shared" si="9"/>
        <v>1760</v>
      </c>
    </row>
    <row r="628" spans="1:12" x14ac:dyDescent="0.35">
      <c r="A628" s="7">
        <v>1657</v>
      </c>
      <c r="B628" s="1">
        <v>45579</v>
      </c>
      <c r="C628" s="2" t="s">
        <v>21</v>
      </c>
      <c r="D628" t="str">
        <f>_xlfn.XLOOKUP(Merged_Sales_Data!C628,PM[Product ID],PM[Product Name])</f>
        <v>Wireless Mouse</v>
      </c>
      <c r="E628" t="str">
        <f>VLOOKUP(C628,PM[],3,FALSE)</f>
        <v>Electronics</v>
      </c>
      <c r="F628">
        <f>_xlfn.XLOOKUP(C628,PM[Product ID],PM[Unit Price (₹)])</f>
        <v>780</v>
      </c>
      <c r="G628" t="str">
        <f>_xlfn.XLOOKUP(Sales[[#This Row],[Order ID]],ST[Order ID],ST[Employee ID])</f>
        <v>E02</v>
      </c>
      <c r="H628" t="str">
        <f>_xlfn.XLOOKUP(G628,SM[Employee ID],SM[Salesperson])</f>
        <v>Ishita Verma</v>
      </c>
      <c r="I628" t="str">
        <f>_xlfn.XLOOKUP(G628,SM[Employee ID],SM[Region])</f>
        <v>North</v>
      </c>
      <c r="J628" t="str">
        <f>_xlfn.XLOOKUP(G628,SM[Employee ID],SM[State/City])</f>
        <v>Chandigarh</v>
      </c>
      <c r="K628" s="2">
        <f>_xlfn.XLOOKUP(Sales[[#This Row],[Order ID]],ST[Order ID],ST[Units Sold])</f>
        <v>1</v>
      </c>
      <c r="L628">
        <f t="shared" si="9"/>
        <v>780</v>
      </c>
    </row>
    <row r="629" spans="1:12" x14ac:dyDescent="0.35">
      <c r="A629" s="7">
        <v>1613</v>
      </c>
      <c r="B629" s="1">
        <v>45580</v>
      </c>
      <c r="C629" s="2" t="s">
        <v>5</v>
      </c>
      <c r="D629" t="str">
        <f>_xlfn.XLOOKUP(Merged_Sales_Data!C629,PM[Product ID],PM[Product Name])</f>
        <v>Ergo Office Chair</v>
      </c>
      <c r="E629" t="str">
        <f>VLOOKUP(C629,PM[],3,FALSE)</f>
        <v>Office Supplies</v>
      </c>
      <c r="F629">
        <f>_xlfn.XLOOKUP(C629,PM[Product ID],PM[Unit Price (₹)])</f>
        <v>6750</v>
      </c>
      <c r="G629" t="str">
        <f>_xlfn.XLOOKUP(Sales[[#This Row],[Order ID]],ST[Order ID],ST[Employee ID])</f>
        <v>E07</v>
      </c>
      <c r="H629" t="str">
        <f>_xlfn.XLOOKUP(G629,SM[Employee ID],SM[Salesperson])</f>
        <v>Aditya Kapoor</v>
      </c>
      <c r="I629" t="str">
        <f>_xlfn.XLOOKUP(G629,SM[Employee ID],SM[Region])</f>
        <v>West</v>
      </c>
      <c r="J629" t="str">
        <f>_xlfn.XLOOKUP(G629,SM[Employee ID],SM[State/City])</f>
        <v>Mumbai</v>
      </c>
      <c r="K629" s="2">
        <f>_xlfn.XLOOKUP(Sales[[#This Row],[Order ID]],ST[Order ID],ST[Units Sold])</f>
        <v>2</v>
      </c>
      <c r="L629">
        <f t="shared" si="9"/>
        <v>13500</v>
      </c>
    </row>
    <row r="630" spans="1:12" x14ac:dyDescent="0.35">
      <c r="A630" s="7">
        <v>1625</v>
      </c>
      <c r="B630" s="1">
        <v>45581</v>
      </c>
      <c r="C630" s="2" t="s">
        <v>10</v>
      </c>
      <c r="D630" t="str">
        <f>_xlfn.XLOOKUP(Merged_Sales_Data!C630,PM[Product ID],PM[Product Name])</f>
        <v>Filing Cabinet</v>
      </c>
      <c r="E630" t="str">
        <f>VLOOKUP(C630,PM[],3,FALSE)</f>
        <v>Furniture</v>
      </c>
      <c r="F630">
        <f>_xlfn.XLOOKUP(C630,PM[Product ID],PM[Unit Price (₹)])</f>
        <v>4070</v>
      </c>
      <c r="G630" t="str">
        <f>_xlfn.XLOOKUP(Sales[[#This Row],[Order ID]],ST[Order ID],ST[Employee ID])</f>
        <v>E03</v>
      </c>
      <c r="H630" t="str">
        <f>_xlfn.XLOOKUP(G630,SM[Employee ID],SM[Salesperson])</f>
        <v>Rohan Mehta</v>
      </c>
      <c r="I630" t="str">
        <f>_xlfn.XLOOKUP(G630,SM[Employee ID],SM[Region])</f>
        <v>South</v>
      </c>
      <c r="J630" t="str">
        <f>_xlfn.XLOOKUP(G630,SM[Employee ID],SM[State/City])</f>
        <v>Bengaluru</v>
      </c>
      <c r="K630" s="2">
        <f>_xlfn.XLOOKUP(Sales[[#This Row],[Order ID]],ST[Order ID],ST[Units Sold])</f>
        <v>6</v>
      </c>
      <c r="L630">
        <f t="shared" si="9"/>
        <v>24420</v>
      </c>
    </row>
    <row r="631" spans="1:12" x14ac:dyDescent="0.35">
      <c r="A631" s="7">
        <v>1629</v>
      </c>
      <c r="B631" s="1">
        <v>45581</v>
      </c>
      <c r="C631" s="2" t="s">
        <v>18</v>
      </c>
      <c r="D631" t="str">
        <f>_xlfn.XLOOKUP(Merged_Sales_Data!C631,PM[Product ID],PM[Product Name])</f>
        <v>LED Monitor 24"</v>
      </c>
      <c r="E631" t="str">
        <f>VLOOKUP(C631,PM[],3,FALSE)</f>
        <v>Electronics</v>
      </c>
      <c r="F631">
        <f>_xlfn.XLOOKUP(C631,PM[Product ID],PM[Unit Price (₹)])</f>
        <v>7700</v>
      </c>
      <c r="G631" t="str">
        <f>_xlfn.XLOOKUP(Sales[[#This Row],[Order ID]],ST[Order ID],ST[Employee ID])</f>
        <v>E07</v>
      </c>
      <c r="H631" t="str">
        <f>_xlfn.XLOOKUP(G631,SM[Employee ID],SM[Salesperson])</f>
        <v>Aditya Kapoor</v>
      </c>
      <c r="I631" t="str">
        <f>_xlfn.XLOOKUP(G631,SM[Employee ID],SM[Region])</f>
        <v>West</v>
      </c>
      <c r="J631" t="str">
        <f>_xlfn.XLOOKUP(G631,SM[Employee ID],SM[State/City])</f>
        <v>Mumbai</v>
      </c>
      <c r="K631" s="2">
        <f>_xlfn.XLOOKUP(Sales[[#This Row],[Order ID]],ST[Order ID],ST[Units Sold])</f>
        <v>6</v>
      </c>
      <c r="L631">
        <f t="shared" si="9"/>
        <v>46200</v>
      </c>
    </row>
    <row r="632" spans="1:12" x14ac:dyDescent="0.35">
      <c r="A632" s="7">
        <v>1632</v>
      </c>
      <c r="B632" s="1">
        <v>45582</v>
      </c>
      <c r="C632" s="2" t="s">
        <v>10</v>
      </c>
      <c r="D632" t="str">
        <f>_xlfn.XLOOKUP(Merged_Sales_Data!C632,PM[Product ID],PM[Product Name])</f>
        <v>Filing Cabinet</v>
      </c>
      <c r="E632" t="str">
        <f>VLOOKUP(C632,PM[],3,FALSE)</f>
        <v>Furniture</v>
      </c>
      <c r="F632">
        <f>_xlfn.XLOOKUP(C632,PM[Product ID],PM[Unit Price (₹)])</f>
        <v>4070</v>
      </c>
      <c r="G632" t="str">
        <f>_xlfn.XLOOKUP(Sales[[#This Row],[Order ID]],ST[Order ID],ST[Employee ID])</f>
        <v>E07</v>
      </c>
      <c r="H632" t="str">
        <f>_xlfn.XLOOKUP(G632,SM[Employee ID],SM[Salesperson])</f>
        <v>Aditya Kapoor</v>
      </c>
      <c r="I632" t="str">
        <f>_xlfn.XLOOKUP(G632,SM[Employee ID],SM[Region])</f>
        <v>West</v>
      </c>
      <c r="J632" t="str">
        <f>_xlfn.XLOOKUP(G632,SM[Employee ID],SM[State/City])</f>
        <v>Mumbai</v>
      </c>
      <c r="K632" s="2">
        <f>_xlfn.XLOOKUP(Sales[[#This Row],[Order ID]],ST[Order ID],ST[Units Sold])</f>
        <v>6</v>
      </c>
      <c r="L632">
        <f t="shared" si="9"/>
        <v>24420</v>
      </c>
    </row>
    <row r="633" spans="1:12" x14ac:dyDescent="0.35">
      <c r="A633" s="7">
        <v>1659</v>
      </c>
      <c r="B633" s="1">
        <v>45582</v>
      </c>
      <c r="C633" s="2" t="s">
        <v>21</v>
      </c>
      <c r="D633" t="str">
        <f>_xlfn.XLOOKUP(Merged_Sales_Data!C633,PM[Product ID],PM[Product Name])</f>
        <v>Wireless Mouse</v>
      </c>
      <c r="E633" t="str">
        <f>VLOOKUP(C633,PM[],3,FALSE)</f>
        <v>Electronics</v>
      </c>
      <c r="F633">
        <f>_xlfn.XLOOKUP(C633,PM[Product ID],PM[Unit Price (₹)])</f>
        <v>780</v>
      </c>
      <c r="G633" t="str">
        <f>_xlfn.XLOOKUP(Sales[[#This Row],[Order ID]],ST[Order ID],ST[Employee ID])</f>
        <v>E03</v>
      </c>
      <c r="H633" t="str">
        <f>_xlfn.XLOOKUP(G633,SM[Employee ID],SM[Salesperson])</f>
        <v>Rohan Mehta</v>
      </c>
      <c r="I633" t="str">
        <f>_xlfn.XLOOKUP(G633,SM[Employee ID],SM[Region])</f>
        <v>South</v>
      </c>
      <c r="J633" t="str">
        <f>_xlfn.XLOOKUP(G633,SM[Employee ID],SM[State/City])</f>
        <v>Bengaluru</v>
      </c>
      <c r="K633" s="2">
        <f>_xlfn.XLOOKUP(Sales[[#This Row],[Order ID]],ST[Order ID],ST[Units Sold])</f>
        <v>2</v>
      </c>
      <c r="L633">
        <f t="shared" si="9"/>
        <v>1560</v>
      </c>
    </row>
    <row r="634" spans="1:12" x14ac:dyDescent="0.35">
      <c r="A634" s="7">
        <v>1612</v>
      </c>
      <c r="B634" s="1">
        <v>45583</v>
      </c>
      <c r="C634" s="2" t="s">
        <v>8</v>
      </c>
      <c r="D634" t="str">
        <f>_xlfn.XLOOKUP(Merged_Sales_Data!C634,PM[Product ID],PM[Product Name])</f>
        <v>USB-C Hub</v>
      </c>
      <c r="E634" t="str">
        <f>VLOOKUP(C634,PM[],3,FALSE)</f>
        <v>Accessories</v>
      </c>
      <c r="F634">
        <f>_xlfn.XLOOKUP(C634,PM[Product ID],PM[Unit Price (₹)])</f>
        <v>880</v>
      </c>
      <c r="G634" t="str">
        <f>_xlfn.XLOOKUP(Sales[[#This Row],[Order ID]],ST[Order ID],ST[Employee ID])</f>
        <v>E08</v>
      </c>
      <c r="H634" t="str">
        <f>_xlfn.XLOOKUP(G634,SM[Employee ID],SM[Salesperson])</f>
        <v>Neha Joshi</v>
      </c>
      <c r="I634" t="str">
        <f>_xlfn.XLOOKUP(G634,SM[Employee ID],SM[Region])</f>
        <v>West</v>
      </c>
      <c r="J634" t="str">
        <f>_xlfn.XLOOKUP(G634,SM[Employee ID],SM[State/City])</f>
        <v>Ahmedabad</v>
      </c>
      <c r="K634" s="2">
        <f>_xlfn.XLOOKUP(Sales[[#This Row],[Order ID]],ST[Order ID],ST[Units Sold])</f>
        <v>4</v>
      </c>
      <c r="L634">
        <f t="shared" si="9"/>
        <v>3520</v>
      </c>
    </row>
    <row r="635" spans="1:12" x14ac:dyDescent="0.35">
      <c r="A635" s="7">
        <v>1624</v>
      </c>
      <c r="B635" s="1">
        <v>45583</v>
      </c>
      <c r="C635" s="2" t="s">
        <v>20</v>
      </c>
      <c r="D635" t="str">
        <f>_xlfn.XLOOKUP(Merged_Sales_Data!C635,PM[Product ID],PM[Product Name])</f>
        <v>Standing Desk</v>
      </c>
      <c r="E635" t="str">
        <f>VLOOKUP(C635,PM[],3,FALSE)</f>
        <v>Office Supplies</v>
      </c>
      <c r="F635">
        <f>_xlfn.XLOOKUP(C635,PM[Product ID],PM[Unit Price (₹)])</f>
        <v>11010</v>
      </c>
      <c r="G635" t="str">
        <f>_xlfn.XLOOKUP(Sales[[#This Row],[Order ID]],ST[Order ID],ST[Employee ID])</f>
        <v>E05</v>
      </c>
      <c r="H635" t="str">
        <f>_xlfn.XLOOKUP(G635,SM[Employee ID],SM[Salesperson])</f>
        <v>Karan Malhotra</v>
      </c>
      <c r="I635" t="str">
        <f>_xlfn.XLOOKUP(G635,SM[Employee ID],SM[Region])</f>
        <v>East</v>
      </c>
      <c r="J635" t="str">
        <f>_xlfn.XLOOKUP(G635,SM[Employee ID],SM[State/City])</f>
        <v>Kolkata</v>
      </c>
      <c r="K635" s="2">
        <f>_xlfn.XLOOKUP(Sales[[#This Row],[Order ID]],ST[Order ID],ST[Units Sold])</f>
        <v>1</v>
      </c>
      <c r="L635">
        <f t="shared" si="9"/>
        <v>11010</v>
      </c>
    </row>
    <row r="636" spans="1:12" x14ac:dyDescent="0.35">
      <c r="A636" s="7">
        <v>1631</v>
      </c>
      <c r="B636" s="1">
        <v>45583</v>
      </c>
      <c r="C636" s="2" t="s">
        <v>14</v>
      </c>
      <c r="D636" t="str">
        <f>_xlfn.XLOOKUP(Merged_Sales_Data!C636,PM[Product ID],PM[Product Name])</f>
        <v>Laptop Backpack</v>
      </c>
      <c r="E636" t="str">
        <f>VLOOKUP(C636,PM[],3,FALSE)</f>
        <v>Accessories</v>
      </c>
      <c r="F636">
        <f>_xlfn.XLOOKUP(C636,PM[Product ID],PM[Unit Price (₹)])</f>
        <v>1110</v>
      </c>
      <c r="G636" t="str">
        <f>_xlfn.XLOOKUP(Sales[[#This Row],[Order ID]],ST[Order ID],ST[Employee ID])</f>
        <v>E03</v>
      </c>
      <c r="H636" t="str">
        <f>_xlfn.XLOOKUP(G636,SM[Employee ID],SM[Salesperson])</f>
        <v>Rohan Mehta</v>
      </c>
      <c r="I636" t="str">
        <f>_xlfn.XLOOKUP(G636,SM[Employee ID],SM[Region])</f>
        <v>South</v>
      </c>
      <c r="J636" t="str">
        <f>_xlfn.XLOOKUP(G636,SM[Employee ID],SM[State/City])</f>
        <v>Bengaluru</v>
      </c>
      <c r="K636" s="2">
        <f>_xlfn.XLOOKUP(Sales[[#This Row],[Order ID]],ST[Order ID],ST[Units Sold])</f>
        <v>1</v>
      </c>
      <c r="L636">
        <f t="shared" si="9"/>
        <v>1110</v>
      </c>
    </row>
    <row r="637" spans="1:12" x14ac:dyDescent="0.35">
      <c r="A637" s="7">
        <v>1635</v>
      </c>
      <c r="B637" s="1">
        <v>45583</v>
      </c>
      <c r="C637" s="2" t="s">
        <v>12</v>
      </c>
      <c r="D637" t="str">
        <f>_xlfn.XLOOKUP(Merged_Sales_Data!C637,PM[Product ID],PM[Product Name])</f>
        <v>Bookshelf Unit</v>
      </c>
      <c r="E637" t="str">
        <f>VLOOKUP(C637,PM[],3,FALSE)</f>
        <v>Furniture</v>
      </c>
      <c r="F637">
        <f>_xlfn.XLOOKUP(C637,PM[Product ID],PM[Unit Price (₹)])</f>
        <v>3910</v>
      </c>
      <c r="G637" t="str">
        <f>_xlfn.XLOOKUP(Sales[[#This Row],[Order ID]],ST[Order ID],ST[Employee ID])</f>
        <v>E08</v>
      </c>
      <c r="H637" t="str">
        <f>_xlfn.XLOOKUP(G637,SM[Employee ID],SM[Salesperson])</f>
        <v>Neha Joshi</v>
      </c>
      <c r="I637" t="str">
        <f>_xlfn.XLOOKUP(G637,SM[Employee ID],SM[Region])</f>
        <v>West</v>
      </c>
      <c r="J637" t="str">
        <f>_xlfn.XLOOKUP(G637,SM[Employee ID],SM[State/City])</f>
        <v>Ahmedabad</v>
      </c>
      <c r="K637" s="2">
        <f>_xlfn.XLOOKUP(Sales[[#This Row],[Order ID]],ST[Order ID],ST[Units Sold])</f>
        <v>1</v>
      </c>
      <c r="L637">
        <f t="shared" si="9"/>
        <v>3910</v>
      </c>
    </row>
    <row r="638" spans="1:12" x14ac:dyDescent="0.35">
      <c r="A638" s="7">
        <v>1643</v>
      </c>
      <c r="B638" s="1">
        <v>45583</v>
      </c>
      <c r="C638" s="2" t="s">
        <v>10</v>
      </c>
      <c r="D638" t="str">
        <f>_xlfn.XLOOKUP(Merged_Sales_Data!C638,PM[Product ID],PM[Product Name])</f>
        <v>Filing Cabinet</v>
      </c>
      <c r="E638" t="str">
        <f>VLOOKUP(C638,PM[],3,FALSE)</f>
        <v>Furniture</v>
      </c>
      <c r="F638">
        <f>_xlfn.XLOOKUP(C638,PM[Product ID],PM[Unit Price (₹)])</f>
        <v>4070</v>
      </c>
      <c r="G638" t="str">
        <f>_xlfn.XLOOKUP(Sales[[#This Row],[Order ID]],ST[Order ID],ST[Employee ID])</f>
        <v>E05</v>
      </c>
      <c r="H638" t="str">
        <f>_xlfn.XLOOKUP(G638,SM[Employee ID],SM[Salesperson])</f>
        <v>Karan Malhotra</v>
      </c>
      <c r="I638" t="str">
        <f>_xlfn.XLOOKUP(G638,SM[Employee ID],SM[Region])</f>
        <v>East</v>
      </c>
      <c r="J638" t="str">
        <f>_xlfn.XLOOKUP(G638,SM[Employee ID],SM[State/City])</f>
        <v>Kolkata</v>
      </c>
      <c r="K638" s="2">
        <f>_xlfn.XLOOKUP(Sales[[#This Row],[Order ID]],ST[Order ID],ST[Units Sold])</f>
        <v>5</v>
      </c>
      <c r="L638">
        <f t="shared" si="9"/>
        <v>20350</v>
      </c>
    </row>
    <row r="639" spans="1:12" x14ac:dyDescent="0.35">
      <c r="A639" s="7">
        <v>1647</v>
      </c>
      <c r="B639" s="1">
        <v>45584</v>
      </c>
      <c r="C639" s="2" t="s">
        <v>10</v>
      </c>
      <c r="D639" t="str">
        <f>_xlfn.XLOOKUP(Merged_Sales_Data!C639,PM[Product ID],PM[Product Name])</f>
        <v>Filing Cabinet</v>
      </c>
      <c r="E639" t="str">
        <f>VLOOKUP(C639,PM[],3,FALSE)</f>
        <v>Furniture</v>
      </c>
      <c r="F639">
        <f>_xlfn.XLOOKUP(C639,PM[Product ID],PM[Unit Price (₹)])</f>
        <v>4070</v>
      </c>
      <c r="G639" t="str">
        <f>_xlfn.XLOOKUP(Sales[[#This Row],[Order ID]],ST[Order ID],ST[Employee ID])</f>
        <v>E06</v>
      </c>
      <c r="H639" t="str">
        <f>_xlfn.XLOOKUP(G639,SM[Employee ID],SM[Salesperson])</f>
        <v>Sneha Roy</v>
      </c>
      <c r="I639" t="str">
        <f>_xlfn.XLOOKUP(G639,SM[Employee ID],SM[Region])</f>
        <v>East</v>
      </c>
      <c r="J639" t="str">
        <f>_xlfn.XLOOKUP(G639,SM[Employee ID],SM[State/City])</f>
        <v>Kolkata</v>
      </c>
      <c r="K639" s="2">
        <f>_xlfn.XLOOKUP(Sales[[#This Row],[Order ID]],ST[Order ID],ST[Units Sold])</f>
        <v>1</v>
      </c>
      <c r="L639">
        <f t="shared" si="9"/>
        <v>4070</v>
      </c>
    </row>
    <row r="640" spans="1:12" x14ac:dyDescent="0.35">
      <c r="A640" s="7">
        <v>1650</v>
      </c>
      <c r="B640" s="1">
        <v>45584</v>
      </c>
      <c r="C640" s="2" t="s">
        <v>5</v>
      </c>
      <c r="D640" t="str">
        <f>_xlfn.XLOOKUP(Merged_Sales_Data!C640,PM[Product ID],PM[Product Name])</f>
        <v>Ergo Office Chair</v>
      </c>
      <c r="E640" t="str">
        <f>VLOOKUP(C640,PM[],3,FALSE)</f>
        <v>Office Supplies</v>
      </c>
      <c r="F640">
        <f>_xlfn.XLOOKUP(C640,PM[Product ID],PM[Unit Price (₹)])</f>
        <v>6750</v>
      </c>
      <c r="G640" t="str">
        <f>_xlfn.XLOOKUP(Sales[[#This Row],[Order ID]],ST[Order ID],ST[Employee ID])</f>
        <v>E06</v>
      </c>
      <c r="H640" t="str">
        <f>_xlfn.XLOOKUP(G640,SM[Employee ID],SM[Salesperson])</f>
        <v>Sneha Roy</v>
      </c>
      <c r="I640" t="str">
        <f>_xlfn.XLOOKUP(G640,SM[Employee ID],SM[Region])</f>
        <v>East</v>
      </c>
      <c r="J640" t="str">
        <f>_xlfn.XLOOKUP(G640,SM[Employee ID],SM[State/City])</f>
        <v>Kolkata</v>
      </c>
      <c r="K640" s="2">
        <f>_xlfn.XLOOKUP(Sales[[#This Row],[Order ID]],ST[Order ID],ST[Units Sold])</f>
        <v>4</v>
      </c>
      <c r="L640">
        <f t="shared" si="9"/>
        <v>27000</v>
      </c>
    </row>
    <row r="641" spans="1:12" x14ac:dyDescent="0.35">
      <c r="A641" s="7">
        <v>1617</v>
      </c>
      <c r="B641" s="1">
        <v>45585</v>
      </c>
      <c r="C641" s="2" t="s">
        <v>21</v>
      </c>
      <c r="D641" t="str">
        <f>_xlfn.XLOOKUP(Merged_Sales_Data!C641,PM[Product ID],PM[Product Name])</f>
        <v>Wireless Mouse</v>
      </c>
      <c r="E641" t="str">
        <f>VLOOKUP(C641,PM[],3,FALSE)</f>
        <v>Electronics</v>
      </c>
      <c r="F641">
        <f>_xlfn.XLOOKUP(C641,PM[Product ID],PM[Unit Price (₹)])</f>
        <v>780</v>
      </c>
      <c r="G641" t="str">
        <f>_xlfn.XLOOKUP(Sales[[#This Row],[Order ID]],ST[Order ID],ST[Employee ID])</f>
        <v>E02</v>
      </c>
      <c r="H641" t="str">
        <f>_xlfn.XLOOKUP(G641,SM[Employee ID],SM[Salesperson])</f>
        <v>Ishita Verma</v>
      </c>
      <c r="I641" t="str">
        <f>_xlfn.XLOOKUP(G641,SM[Employee ID],SM[Region])</f>
        <v>North</v>
      </c>
      <c r="J641" t="str">
        <f>_xlfn.XLOOKUP(G641,SM[Employee ID],SM[State/City])</f>
        <v>Chandigarh</v>
      </c>
      <c r="K641" s="2">
        <f>_xlfn.XLOOKUP(Sales[[#This Row],[Order ID]],ST[Order ID],ST[Units Sold])</f>
        <v>5</v>
      </c>
      <c r="L641">
        <f t="shared" si="9"/>
        <v>3900</v>
      </c>
    </row>
    <row r="642" spans="1:12" x14ac:dyDescent="0.35">
      <c r="A642" s="7">
        <v>1621</v>
      </c>
      <c r="B642" s="1">
        <v>45585</v>
      </c>
      <c r="C642" s="2" t="s">
        <v>12</v>
      </c>
      <c r="D642" t="str">
        <f>_xlfn.XLOOKUP(Merged_Sales_Data!C642,PM[Product ID],PM[Product Name])</f>
        <v>Bookshelf Unit</v>
      </c>
      <c r="E642" t="str">
        <f>VLOOKUP(C642,PM[],3,FALSE)</f>
        <v>Furniture</v>
      </c>
      <c r="F642">
        <f>_xlfn.XLOOKUP(C642,PM[Product ID],PM[Unit Price (₹)])</f>
        <v>3910</v>
      </c>
      <c r="G642" t="str">
        <f>_xlfn.XLOOKUP(Sales[[#This Row],[Order ID]],ST[Order ID],ST[Employee ID])</f>
        <v>E04</v>
      </c>
      <c r="H642" t="str">
        <f>_xlfn.XLOOKUP(G642,SM[Employee ID],SM[Salesperson])</f>
        <v>Priya Nair</v>
      </c>
      <c r="I642" t="str">
        <f>_xlfn.XLOOKUP(G642,SM[Employee ID],SM[Region])</f>
        <v>South</v>
      </c>
      <c r="J642" t="str">
        <f>_xlfn.XLOOKUP(G642,SM[Employee ID],SM[State/City])</f>
        <v>Bengaluru</v>
      </c>
      <c r="K642" s="2">
        <f>_xlfn.XLOOKUP(Sales[[#This Row],[Order ID]],ST[Order ID],ST[Units Sold])</f>
        <v>8</v>
      </c>
      <c r="L642">
        <f t="shared" si="9"/>
        <v>31280</v>
      </c>
    </row>
    <row r="643" spans="1:12" x14ac:dyDescent="0.35">
      <c r="A643" s="7">
        <v>1651</v>
      </c>
      <c r="B643" s="1">
        <v>45586</v>
      </c>
      <c r="C643" s="2" t="s">
        <v>14</v>
      </c>
      <c r="D643" t="str">
        <f>_xlfn.XLOOKUP(Merged_Sales_Data!C643,PM[Product ID],PM[Product Name])</f>
        <v>Laptop Backpack</v>
      </c>
      <c r="E643" t="str">
        <f>VLOOKUP(C643,PM[],3,FALSE)</f>
        <v>Accessories</v>
      </c>
      <c r="F643">
        <f>_xlfn.XLOOKUP(C643,PM[Product ID],PM[Unit Price (₹)])</f>
        <v>1110</v>
      </c>
      <c r="G643" t="str">
        <f>_xlfn.XLOOKUP(Sales[[#This Row],[Order ID]],ST[Order ID],ST[Employee ID])</f>
        <v>E04</v>
      </c>
      <c r="H643" t="str">
        <f>_xlfn.XLOOKUP(G643,SM[Employee ID],SM[Salesperson])</f>
        <v>Priya Nair</v>
      </c>
      <c r="I643" t="str">
        <f>_xlfn.XLOOKUP(G643,SM[Employee ID],SM[Region])</f>
        <v>South</v>
      </c>
      <c r="J643" t="str">
        <f>_xlfn.XLOOKUP(G643,SM[Employee ID],SM[State/City])</f>
        <v>Bengaluru</v>
      </c>
      <c r="K643" s="2">
        <f>_xlfn.XLOOKUP(Sales[[#This Row],[Order ID]],ST[Order ID],ST[Units Sold])</f>
        <v>6</v>
      </c>
      <c r="L643">
        <f t="shared" ref="L643:L706" si="10">F643*K643</f>
        <v>6660</v>
      </c>
    </row>
    <row r="644" spans="1:12" x14ac:dyDescent="0.35">
      <c r="A644" s="7">
        <v>1655</v>
      </c>
      <c r="B644" s="1">
        <v>45586</v>
      </c>
      <c r="C644" s="2" t="s">
        <v>18</v>
      </c>
      <c r="D644" t="str">
        <f>_xlfn.XLOOKUP(Merged_Sales_Data!C644,PM[Product ID],PM[Product Name])</f>
        <v>LED Monitor 24"</v>
      </c>
      <c r="E644" t="str">
        <f>VLOOKUP(C644,PM[],3,FALSE)</f>
        <v>Electronics</v>
      </c>
      <c r="F644">
        <f>_xlfn.XLOOKUP(C644,PM[Product ID],PM[Unit Price (₹)])</f>
        <v>7700</v>
      </c>
      <c r="G644" t="str">
        <f>_xlfn.XLOOKUP(Sales[[#This Row],[Order ID]],ST[Order ID],ST[Employee ID])</f>
        <v>E08</v>
      </c>
      <c r="H644" t="str">
        <f>_xlfn.XLOOKUP(G644,SM[Employee ID],SM[Salesperson])</f>
        <v>Neha Joshi</v>
      </c>
      <c r="I644" t="str">
        <f>_xlfn.XLOOKUP(G644,SM[Employee ID],SM[Region])</f>
        <v>West</v>
      </c>
      <c r="J644" t="str">
        <f>_xlfn.XLOOKUP(G644,SM[Employee ID],SM[State/City])</f>
        <v>Ahmedabad</v>
      </c>
      <c r="K644" s="2">
        <f>_xlfn.XLOOKUP(Sales[[#This Row],[Order ID]],ST[Order ID],ST[Units Sold])</f>
        <v>6</v>
      </c>
      <c r="L644">
        <f t="shared" si="10"/>
        <v>46200</v>
      </c>
    </row>
    <row r="645" spans="1:12" x14ac:dyDescent="0.35">
      <c r="A645" s="7">
        <v>1626</v>
      </c>
      <c r="B645" s="1">
        <v>45587</v>
      </c>
      <c r="C645" s="2" t="s">
        <v>12</v>
      </c>
      <c r="D645" t="str">
        <f>_xlfn.XLOOKUP(Merged_Sales_Data!C645,PM[Product ID],PM[Product Name])</f>
        <v>Bookshelf Unit</v>
      </c>
      <c r="E645" t="str">
        <f>VLOOKUP(C645,PM[],3,FALSE)</f>
        <v>Furniture</v>
      </c>
      <c r="F645">
        <f>_xlfn.XLOOKUP(C645,PM[Product ID],PM[Unit Price (₹)])</f>
        <v>3910</v>
      </c>
      <c r="G645" t="str">
        <f>_xlfn.XLOOKUP(Sales[[#This Row],[Order ID]],ST[Order ID],ST[Employee ID])</f>
        <v>E01</v>
      </c>
      <c r="H645" t="str">
        <f>_xlfn.XLOOKUP(G645,SM[Employee ID],SM[Salesperson])</f>
        <v>Aarav Sharma</v>
      </c>
      <c r="I645" t="str">
        <f>_xlfn.XLOOKUP(G645,SM[Employee ID],SM[Region])</f>
        <v>North</v>
      </c>
      <c r="J645" t="str">
        <f>_xlfn.XLOOKUP(G645,SM[Employee ID],SM[State/City])</f>
        <v>Lucknow</v>
      </c>
      <c r="K645" s="2">
        <f>_xlfn.XLOOKUP(Sales[[#This Row],[Order ID]],ST[Order ID],ST[Units Sold])</f>
        <v>10</v>
      </c>
      <c r="L645">
        <f t="shared" si="10"/>
        <v>39100</v>
      </c>
    </row>
    <row r="646" spans="1:12" x14ac:dyDescent="0.35">
      <c r="A646" s="7">
        <v>1627</v>
      </c>
      <c r="B646" s="1">
        <v>45588</v>
      </c>
      <c r="C646" s="2" t="s">
        <v>8</v>
      </c>
      <c r="D646" t="str">
        <f>_xlfn.XLOOKUP(Merged_Sales_Data!C646,PM[Product ID],PM[Product Name])</f>
        <v>USB-C Hub</v>
      </c>
      <c r="E646" t="str">
        <f>VLOOKUP(C646,PM[],3,FALSE)</f>
        <v>Accessories</v>
      </c>
      <c r="F646">
        <f>_xlfn.XLOOKUP(C646,PM[Product ID],PM[Unit Price (₹)])</f>
        <v>880</v>
      </c>
      <c r="G646" t="str">
        <f>_xlfn.XLOOKUP(Sales[[#This Row],[Order ID]],ST[Order ID],ST[Employee ID])</f>
        <v>E07</v>
      </c>
      <c r="H646" t="str">
        <f>_xlfn.XLOOKUP(G646,SM[Employee ID],SM[Salesperson])</f>
        <v>Aditya Kapoor</v>
      </c>
      <c r="I646" t="str">
        <f>_xlfn.XLOOKUP(G646,SM[Employee ID],SM[Region])</f>
        <v>West</v>
      </c>
      <c r="J646" t="str">
        <f>_xlfn.XLOOKUP(G646,SM[Employee ID],SM[State/City])</f>
        <v>Mumbai</v>
      </c>
      <c r="K646" s="2">
        <f>_xlfn.XLOOKUP(Sales[[#This Row],[Order ID]],ST[Order ID],ST[Units Sold])</f>
        <v>3</v>
      </c>
      <c r="L646">
        <f t="shared" si="10"/>
        <v>2640</v>
      </c>
    </row>
    <row r="647" spans="1:12" x14ac:dyDescent="0.35">
      <c r="A647" s="7">
        <v>1658</v>
      </c>
      <c r="B647" s="1">
        <v>45588</v>
      </c>
      <c r="C647" s="2" t="s">
        <v>5</v>
      </c>
      <c r="D647" t="str">
        <f>_xlfn.XLOOKUP(Merged_Sales_Data!C647,PM[Product ID],PM[Product Name])</f>
        <v>Ergo Office Chair</v>
      </c>
      <c r="E647" t="str">
        <f>VLOOKUP(C647,PM[],3,FALSE)</f>
        <v>Office Supplies</v>
      </c>
      <c r="F647">
        <f>_xlfn.XLOOKUP(C647,PM[Product ID],PM[Unit Price (₹)])</f>
        <v>6750</v>
      </c>
      <c r="G647" t="str">
        <f>_xlfn.XLOOKUP(Sales[[#This Row],[Order ID]],ST[Order ID],ST[Employee ID])</f>
        <v>E03</v>
      </c>
      <c r="H647" t="str">
        <f>_xlfn.XLOOKUP(G647,SM[Employee ID],SM[Salesperson])</f>
        <v>Rohan Mehta</v>
      </c>
      <c r="I647" t="str">
        <f>_xlfn.XLOOKUP(G647,SM[Employee ID],SM[Region])</f>
        <v>South</v>
      </c>
      <c r="J647" t="str">
        <f>_xlfn.XLOOKUP(G647,SM[Employee ID],SM[State/City])</f>
        <v>Bengaluru</v>
      </c>
      <c r="K647" s="2">
        <f>_xlfn.XLOOKUP(Sales[[#This Row],[Order ID]],ST[Order ID],ST[Units Sold])</f>
        <v>1</v>
      </c>
      <c r="L647">
        <f t="shared" si="10"/>
        <v>6750</v>
      </c>
    </row>
    <row r="648" spans="1:12" x14ac:dyDescent="0.35">
      <c r="A648" s="7">
        <v>1610</v>
      </c>
      <c r="B648" s="1">
        <v>45589</v>
      </c>
      <c r="C648" s="2" t="s">
        <v>8</v>
      </c>
      <c r="D648" t="str">
        <f>_xlfn.XLOOKUP(Merged_Sales_Data!C648,PM[Product ID],PM[Product Name])</f>
        <v>USB-C Hub</v>
      </c>
      <c r="E648" t="str">
        <f>VLOOKUP(C648,PM[],3,FALSE)</f>
        <v>Accessories</v>
      </c>
      <c r="F648">
        <f>_xlfn.XLOOKUP(C648,PM[Product ID],PM[Unit Price (₹)])</f>
        <v>880</v>
      </c>
      <c r="G648" t="str">
        <f>_xlfn.XLOOKUP(Sales[[#This Row],[Order ID]],ST[Order ID],ST[Employee ID])</f>
        <v>E07</v>
      </c>
      <c r="H648" t="str">
        <f>_xlfn.XLOOKUP(G648,SM[Employee ID],SM[Salesperson])</f>
        <v>Aditya Kapoor</v>
      </c>
      <c r="I648" t="str">
        <f>_xlfn.XLOOKUP(G648,SM[Employee ID],SM[Region])</f>
        <v>West</v>
      </c>
      <c r="J648" t="str">
        <f>_xlfn.XLOOKUP(G648,SM[Employee ID],SM[State/City])</f>
        <v>Mumbai</v>
      </c>
      <c r="K648" s="2">
        <f>_xlfn.XLOOKUP(Sales[[#This Row],[Order ID]],ST[Order ID],ST[Units Sold])</f>
        <v>1</v>
      </c>
      <c r="L648">
        <f t="shared" si="10"/>
        <v>880</v>
      </c>
    </row>
    <row r="649" spans="1:12" x14ac:dyDescent="0.35">
      <c r="A649" s="7">
        <v>1653</v>
      </c>
      <c r="B649" s="1">
        <v>45589</v>
      </c>
      <c r="C649" s="2" t="s">
        <v>14</v>
      </c>
      <c r="D649" t="str">
        <f>_xlfn.XLOOKUP(Merged_Sales_Data!C649,PM[Product ID],PM[Product Name])</f>
        <v>Laptop Backpack</v>
      </c>
      <c r="E649" t="str">
        <f>VLOOKUP(C649,PM[],3,FALSE)</f>
        <v>Accessories</v>
      </c>
      <c r="F649">
        <f>_xlfn.XLOOKUP(C649,PM[Product ID],PM[Unit Price (₹)])</f>
        <v>1110</v>
      </c>
      <c r="G649" t="str">
        <f>_xlfn.XLOOKUP(Sales[[#This Row],[Order ID]],ST[Order ID],ST[Employee ID])</f>
        <v>E08</v>
      </c>
      <c r="H649" t="str">
        <f>_xlfn.XLOOKUP(G649,SM[Employee ID],SM[Salesperson])</f>
        <v>Neha Joshi</v>
      </c>
      <c r="I649" t="str">
        <f>_xlfn.XLOOKUP(G649,SM[Employee ID],SM[Region])</f>
        <v>West</v>
      </c>
      <c r="J649" t="str">
        <f>_xlfn.XLOOKUP(G649,SM[Employee ID],SM[State/City])</f>
        <v>Ahmedabad</v>
      </c>
      <c r="K649" s="2">
        <f>_xlfn.XLOOKUP(Sales[[#This Row],[Order ID]],ST[Order ID],ST[Units Sold])</f>
        <v>1</v>
      </c>
      <c r="L649">
        <f t="shared" si="10"/>
        <v>1110</v>
      </c>
    </row>
    <row r="650" spans="1:12" x14ac:dyDescent="0.35">
      <c r="A650" s="7">
        <v>1654</v>
      </c>
      <c r="B650" s="1">
        <v>45589</v>
      </c>
      <c r="C650" s="2" t="s">
        <v>18</v>
      </c>
      <c r="D650" t="str">
        <f>_xlfn.XLOOKUP(Merged_Sales_Data!C650,PM[Product ID],PM[Product Name])</f>
        <v>LED Monitor 24"</v>
      </c>
      <c r="E650" t="str">
        <f>VLOOKUP(C650,PM[],3,FALSE)</f>
        <v>Electronics</v>
      </c>
      <c r="F650">
        <f>_xlfn.XLOOKUP(C650,PM[Product ID],PM[Unit Price (₹)])</f>
        <v>7700</v>
      </c>
      <c r="G650" t="str">
        <f>_xlfn.XLOOKUP(Sales[[#This Row],[Order ID]],ST[Order ID],ST[Employee ID])</f>
        <v>E06</v>
      </c>
      <c r="H650" t="str">
        <f>_xlfn.XLOOKUP(G650,SM[Employee ID],SM[Salesperson])</f>
        <v>Sneha Roy</v>
      </c>
      <c r="I650" t="str">
        <f>_xlfn.XLOOKUP(G650,SM[Employee ID],SM[Region])</f>
        <v>East</v>
      </c>
      <c r="J650" t="str">
        <f>_xlfn.XLOOKUP(G650,SM[Employee ID],SM[State/City])</f>
        <v>Kolkata</v>
      </c>
      <c r="K650" s="2">
        <f>_xlfn.XLOOKUP(Sales[[#This Row],[Order ID]],ST[Order ID],ST[Units Sold])</f>
        <v>1</v>
      </c>
      <c r="L650">
        <f t="shared" si="10"/>
        <v>7700</v>
      </c>
    </row>
    <row r="651" spans="1:12" x14ac:dyDescent="0.35">
      <c r="A651" s="7">
        <v>1642</v>
      </c>
      <c r="B651" s="1">
        <v>45590</v>
      </c>
      <c r="C651" s="2" t="s">
        <v>8</v>
      </c>
      <c r="D651" t="str">
        <f>_xlfn.XLOOKUP(Merged_Sales_Data!C651,PM[Product ID],PM[Product Name])</f>
        <v>USB-C Hub</v>
      </c>
      <c r="E651" t="str">
        <f>VLOOKUP(C651,PM[],3,FALSE)</f>
        <v>Accessories</v>
      </c>
      <c r="F651">
        <f>_xlfn.XLOOKUP(C651,PM[Product ID],PM[Unit Price (₹)])</f>
        <v>880</v>
      </c>
      <c r="G651" t="str">
        <f>_xlfn.XLOOKUP(Sales[[#This Row],[Order ID]],ST[Order ID],ST[Employee ID])</f>
        <v>E04</v>
      </c>
      <c r="H651" t="str">
        <f>_xlfn.XLOOKUP(G651,SM[Employee ID],SM[Salesperson])</f>
        <v>Priya Nair</v>
      </c>
      <c r="I651" t="str">
        <f>_xlfn.XLOOKUP(G651,SM[Employee ID],SM[Region])</f>
        <v>South</v>
      </c>
      <c r="J651" t="str">
        <f>_xlfn.XLOOKUP(G651,SM[Employee ID],SM[State/City])</f>
        <v>Bengaluru</v>
      </c>
      <c r="K651" s="2">
        <f>_xlfn.XLOOKUP(Sales[[#This Row],[Order ID]],ST[Order ID],ST[Units Sold])</f>
        <v>3</v>
      </c>
      <c r="L651">
        <f t="shared" si="10"/>
        <v>2640</v>
      </c>
    </row>
    <row r="652" spans="1:12" x14ac:dyDescent="0.35">
      <c r="A652" s="7">
        <v>1637</v>
      </c>
      <c r="B652" s="1">
        <v>45591</v>
      </c>
      <c r="C652" s="2" t="s">
        <v>11</v>
      </c>
      <c r="D652" t="str">
        <f>_xlfn.XLOOKUP(Merged_Sales_Data!C652,PM[Product ID],PM[Product Name])</f>
        <v>Bluetooth Speaker</v>
      </c>
      <c r="E652" t="str">
        <f>VLOOKUP(C652,PM[],3,FALSE)</f>
        <v>Electronics</v>
      </c>
      <c r="F652">
        <f>_xlfn.XLOOKUP(C652,PM[Product ID],PM[Unit Price (₹)])</f>
        <v>1430</v>
      </c>
      <c r="G652" t="str">
        <f>_xlfn.XLOOKUP(Sales[[#This Row],[Order ID]],ST[Order ID],ST[Employee ID])</f>
        <v>E01</v>
      </c>
      <c r="H652" t="str">
        <f>_xlfn.XLOOKUP(G652,SM[Employee ID],SM[Salesperson])</f>
        <v>Aarav Sharma</v>
      </c>
      <c r="I652" t="str">
        <f>_xlfn.XLOOKUP(G652,SM[Employee ID],SM[Region])</f>
        <v>North</v>
      </c>
      <c r="J652" t="str">
        <f>_xlfn.XLOOKUP(G652,SM[Employee ID],SM[State/City])</f>
        <v>Lucknow</v>
      </c>
      <c r="K652" s="2">
        <f>_xlfn.XLOOKUP(Sales[[#This Row],[Order ID]],ST[Order ID],ST[Units Sold])</f>
        <v>2</v>
      </c>
      <c r="L652">
        <f t="shared" si="10"/>
        <v>2860</v>
      </c>
    </row>
    <row r="653" spans="1:12" x14ac:dyDescent="0.35">
      <c r="A653" s="7">
        <v>1645</v>
      </c>
      <c r="B653" s="1">
        <v>45591</v>
      </c>
      <c r="C653" s="2" t="s">
        <v>14</v>
      </c>
      <c r="D653" t="str">
        <f>_xlfn.XLOOKUP(Merged_Sales_Data!C653,PM[Product ID],PM[Product Name])</f>
        <v>Laptop Backpack</v>
      </c>
      <c r="E653" t="str">
        <f>VLOOKUP(C653,PM[],3,FALSE)</f>
        <v>Accessories</v>
      </c>
      <c r="F653">
        <f>_xlfn.XLOOKUP(C653,PM[Product ID],PM[Unit Price (₹)])</f>
        <v>1110</v>
      </c>
      <c r="G653" t="str">
        <f>_xlfn.XLOOKUP(Sales[[#This Row],[Order ID]],ST[Order ID],ST[Employee ID])</f>
        <v>E08</v>
      </c>
      <c r="H653" t="str">
        <f>_xlfn.XLOOKUP(G653,SM[Employee ID],SM[Salesperson])</f>
        <v>Neha Joshi</v>
      </c>
      <c r="I653" t="str">
        <f>_xlfn.XLOOKUP(G653,SM[Employee ID],SM[Region])</f>
        <v>West</v>
      </c>
      <c r="J653" t="str">
        <f>_xlfn.XLOOKUP(G653,SM[Employee ID],SM[State/City])</f>
        <v>Ahmedabad</v>
      </c>
      <c r="K653" s="2">
        <f>_xlfn.XLOOKUP(Sales[[#This Row],[Order ID]],ST[Order ID],ST[Units Sold])</f>
        <v>1</v>
      </c>
      <c r="L653">
        <f t="shared" si="10"/>
        <v>1110</v>
      </c>
    </row>
    <row r="654" spans="1:12" x14ac:dyDescent="0.35">
      <c r="A654" s="7">
        <v>1656</v>
      </c>
      <c r="B654" s="1">
        <v>45592</v>
      </c>
      <c r="C654" s="2" t="s">
        <v>8</v>
      </c>
      <c r="D654" t="str">
        <f>_xlfn.XLOOKUP(Merged_Sales_Data!C654,PM[Product ID],PM[Product Name])</f>
        <v>USB-C Hub</v>
      </c>
      <c r="E654" t="str">
        <f>VLOOKUP(C654,PM[],3,FALSE)</f>
        <v>Accessories</v>
      </c>
      <c r="F654">
        <f>_xlfn.XLOOKUP(C654,PM[Product ID],PM[Unit Price (₹)])</f>
        <v>880</v>
      </c>
      <c r="G654" t="str">
        <f>_xlfn.XLOOKUP(Sales[[#This Row],[Order ID]],ST[Order ID],ST[Employee ID])</f>
        <v>E01</v>
      </c>
      <c r="H654" t="str">
        <f>_xlfn.XLOOKUP(G654,SM[Employee ID],SM[Salesperson])</f>
        <v>Aarav Sharma</v>
      </c>
      <c r="I654" t="str">
        <f>_xlfn.XLOOKUP(G654,SM[Employee ID],SM[Region])</f>
        <v>North</v>
      </c>
      <c r="J654" t="str">
        <f>_xlfn.XLOOKUP(G654,SM[Employee ID],SM[State/City])</f>
        <v>Lucknow</v>
      </c>
      <c r="K654" s="2">
        <f>_xlfn.XLOOKUP(Sales[[#This Row],[Order ID]],ST[Order ID],ST[Units Sold])</f>
        <v>1</v>
      </c>
      <c r="L654">
        <f t="shared" si="10"/>
        <v>880</v>
      </c>
    </row>
    <row r="655" spans="1:12" x14ac:dyDescent="0.35">
      <c r="A655" s="7">
        <v>1630</v>
      </c>
      <c r="B655" s="1">
        <v>45593</v>
      </c>
      <c r="C655" s="2" t="s">
        <v>5</v>
      </c>
      <c r="D655" t="str">
        <f>_xlfn.XLOOKUP(Merged_Sales_Data!C655,PM[Product ID],PM[Product Name])</f>
        <v>Ergo Office Chair</v>
      </c>
      <c r="E655" t="str">
        <f>VLOOKUP(C655,PM[],3,FALSE)</f>
        <v>Office Supplies</v>
      </c>
      <c r="F655">
        <f>_xlfn.XLOOKUP(C655,PM[Product ID],PM[Unit Price (₹)])</f>
        <v>6750</v>
      </c>
      <c r="G655" t="str">
        <f>_xlfn.XLOOKUP(Sales[[#This Row],[Order ID]],ST[Order ID],ST[Employee ID])</f>
        <v>E04</v>
      </c>
      <c r="H655" t="str">
        <f>_xlfn.XLOOKUP(G655,SM[Employee ID],SM[Salesperson])</f>
        <v>Priya Nair</v>
      </c>
      <c r="I655" t="str">
        <f>_xlfn.XLOOKUP(G655,SM[Employee ID],SM[Region])</f>
        <v>South</v>
      </c>
      <c r="J655" t="str">
        <f>_xlfn.XLOOKUP(G655,SM[Employee ID],SM[State/City])</f>
        <v>Bengaluru</v>
      </c>
      <c r="K655" s="2">
        <f>_xlfn.XLOOKUP(Sales[[#This Row],[Order ID]],ST[Order ID],ST[Units Sold])</f>
        <v>2</v>
      </c>
      <c r="L655">
        <f t="shared" si="10"/>
        <v>13500</v>
      </c>
    </row>
    <row r="656" spans="1:12" x14ac:dyDescent="0.35">
      <c r="A656" s="7">
        <v>1638</v>
      </c>
      <c r="B656" s="1">
        <v>45593</v>
      </c>
      <c r="C656" s="2" t="s">
        <v>14</v>
      </c>
      <c r="D656" t="str">
        <f>_xlfn.XLOOKUP(Merged_Sales_Data!C656,PM[Product ID],PM[Product Name])</f>
        <v>Laptop Backpack</v>
      </c>
      <c r="E656" t="str">
        <f>VLOOKUP(C656,PM[],3,FALSE)</f>
        <v>Accessories</v>
      </c>
      <c r="F656">
        <f>_xlfn.XLOOKUP(C656,PM[Product ID],PM[Unit Price (₹)])</f>
        <v>1110</v>
      </c>
      <c r="G656" t="str">
        <f>_xlfn.XLOOKUP(Sales[[#This Row],[Order ID]],ST[Order ID],ST[Employee ID])</f>
        <v>E04</v>
      </c>
      <c r="H656" t="str">
        <f>_xlfn.XLOOKUP(G656,SM[Employee ID],SM[Salesperson])</f>
        <v>Priya Nair</v>
      </c>
      <c r="I656" t="str">
        <f>_xlfn.XLOOKUP(G656,SM[Employee ID],SM[Region])</f>
        <v>South</v>
      </c>
      <c r="J656" t="str">
        <f>_xlfn.XLOOKUP(G656,SM[Employee ID],SM[State/City])</f>
        <v>Bengaluru</v>
      </c>
      <c r="K656" s="2">
        <f>_xlfn.XLOOKUP(Sales[[#This Row],[Order ID]],ST[Order ID],ST[Units Sold])</f>
        <v>2</v>
      </c>
      <c r="L656">
        <f t="shared" si="10"/>
        <v>2220</v>
      </c>
    </row>
    <row r="657" spans="1:12" x14ac:dyDescent="0.35">
      <c r="A657" s="7">
        <v>1622</v>
      </c>
      <c r="B657" s="1">
        <v>45594</v>
      </c>
      <c r="C657" s="2" t="s">
        <v>5</v>
      </c>
      <c r="D657" t="str">
        <f>_xlfn.XLOOKUP(Merged_Sales_Data!C657,PM[Product ID],PM[Product Name])</f>
        <v>Ergo Office Chair</v>
      </c>
      <c r="E657" t="str">
        <f>VLOOKUP(C657,PM[],3,FALSE)</f>
        <v>Office Supplies</v>
      </c>
      <c r="F657">
        <f>_xlfn.XLOOKUP(C657,PM[Product ID],PM[Unit Price (₹)])</f>
        <v>6750</v>
      </c>
      <c r="G657" t="str">
        <f>_xlfn.XLOOKUP(Sales[[#This Row],[Order ID]],ST[Order ID],ST[Employee ID])</f>
        <v>E06</v>
      </c>
      <c r="H657" t="str">
        <f>_xlfn.XLOOKUP(G657,SM[Employee ID],SM[Salesperson])</f>
        <v>Sneha Roy</v>
      </c>
      <c r="I657" t="str">
        <f>_xlfn.XLOOKUP(G657,SM[Employee ID],SM[Region])</f>
        <v>East</v>
      </c>
      <c r="J657" t="str">
        <f>_xlfn.XLOOKUP(G657,SM[Employee ID],SM[State/City])</f>
        <v>Kolkata</v>
      </c>
      <c r="K657" s="2">
        <f>_xlfn.XLOOKUP(Sales[[#This Row],[Order ID]],ST[Order ID],ST[Units Sold])</f>
        <v>2</v>
      </c>
      <c r="L657">
        <f t="shared" si="10"/>
        <v>13500</v>
      </c>
    </row>
    <row r="658" spans="1:12" x14ac:dyDescent="0.35">
      <c r="A658" s="7">
        <v>1640</v>
      </c>
      <c r="B658" s="1">
        <v>45595</v>
      </c>
      <c r="C658" s="2" t="s">
        <v>11</v>
      </c>
      <c r="D658" t="str">
        <f>_xlfn.XLOOKUP(Merged_Sales_Data!C658,PM[Product ID],PM[Product Name])</f>
        <v>Bluetooth Speaker</v>
      </c>
      <c r="E658" t="str">
        <f>VLOOKUP(C658,PM[],3,FALSE)</f>
        <v>Electronics</v>
      </c>
      <c r="F658">
        <f>_xlfn.XLOOKUP(C658,PM[Product ID],PM[Unit Price (₹)])</f>
        <v>1430</v>
      </c>
      <c r="G658" t="str">
        <f>_xlfn.XLOOKUP(Sales[[#This Row],[Order ID]],ST[Order ID],ST[Employee ID])</f>
        <v>E04</v>
      </c>
      <c r="H658" t="str">
        <f>_xlfn.XLOOKUP(G658,SM[Employee ID],SM[Salesperson])</f>
        <v>Priya Nair</v>
      </c>
      <c r="I658" t="str">
        <f>_xlfn.XLOOKUP(G658,SM[Employee ID],SM[Region])</f>
        <v>South</v>
      </c>
      <c r="J658" t="str">
        <f>_xlfn.XLOOKUP(G658,SM[Employee ID],SM[State/City])</f>
        <v>Bengaluru</v>
      </c>
      <c r="K658" s="2">
        <f>_xlfn.XLOOKUP(Sales[[#This Row],[Order ID]],ST[Order ID],ST[Units Sold])</f>
        <v>5</v>
      </c>
      <c r="L658">
        <f t="shared" si="10"/>
        <v>7150</v>
      </c>
    </row>
    <row r="659" spans="1:12" x14ac:dyDescent="0.35">
      <c r="A659" s="7">
        <v>1641</v>
      </c>
      <c r="B659" s="1">
        <v>45595</v>
      </c>
      <c r="C659" s="2" t="s">
        <v>5</v>
      </c>
      <c r="D659" t="str">
        <f>_xlfn.XLOOKUP(Merged_Sales_Data!C659,PM[Product ID],PM[Product Name])</f>
        <v>Ergo Office Chair</v>
      </c>
      <c r="E659" t="str">
        <f>VLOOKUP(C659,PM[],3,FALSE)</f>
        <v>Office Supplies</v>
      </c>
      <c r="F659">
        <f>_xlfn.XLOOKUP(C659,PM[Product ID],PM[Unit Price (₹)])</f>
        <v>6750</v>
      </c>
      <c r="G659" t="str">
        <f>_xlfn.XLOOKUP(Sales[[#This Row],[Order ID]],ST[Order ID],ST[Employee ID])</f>
        <v>E04</v>
      </c>
      <c r="H659" t="str">
        <f>_xlfn.XLOOKUP(G659,SM[Employee ID],SM[Salesperson])</f>
        <v>Priya Nair</v>
      </c>
      <c r="I659" t="str">
        <f>_xlfn.XLOOKUP(G659,SM[Employee ID],SM[Region])</f>
        <v>South</v>
      </c>
      <c r="J659" t="str">
        <f>_xlfn.XLOOKUP(G659,SM[Employee ID],SM[State/City])</f>
        <v>Bengaluru</v>
      </c>
      <c r="K659" s="2">
        <f>_xlfn.XLOOKUP(Sales[[#This Row],[Order ID]],ST[Order ID],ST[Units Sold])</f>
        <v>4</v>
      </c>
      <c r="L659">
        <f t="shared" si="10"/>
        <v>27000</v>
      </c>
    </row>
    <row r="660" spans="1:12" x14ac:dyDescent="0.35">
      <c r="A660" s="7">
        <v>1652</v>
      </c>
      <c r="B660" s="1">
        <v>45596</v>
      </c>
      <c r="C660" s="2" t="s">
        <v>20</v>
      </c>
      <c r="D660" t="str">
        <f>_xlfn.XLOOKUP(Merged_Sales_Data!C660,PM[Product ID],PM[Product Name])</f>
        <v>Standing Desk</v>
      </c>
      <c r="E660" t="str">
        <f>VLOOKUP(C660,PM[],3,FALSE)</f>
        <v>Office Supplies</v>
      </c>
      <c r="F660">
        <f>_xlfn.XLOOKUP(C660,PM[Product ID],PM[Unit Price (₹)])</f>
        <v>11010</v>
      </c>
      <c r="G660" t="str">
        <f>_xlfn.XLOOKUP(Sales[[#This Row],[Order ID]],ST[Order ID],ST[Employee ID])</f>
        <v>E06</v>
      </c>
      <c r="H660" t="str">
        <f>_xlfn.XLOOKUP(G660,SM[Employee ID],SM[Salesperson])</f>
        <v>Sneha Roy</v>
      </c>
      <c r="I660" t="str">
        <f>_xlfn.XLOOKUP(G660,SM[Employee ID],SM[Region])</f>
        <v>East</v>
      </c>
      <c r="J660" t="str">
        <f>_xlfn.XLOOKUP(G660,SM[Employee ID],SM[State/City])</f>
        <v>Kolkata</v>
      </c>
      <c r="K660" s="2">
        <f>_xlfn.XLOOKUP(Sales[[#This Row],[Order ID]],ST[Order ID],ST[Units Sold])</f>
        <v>5</v>
      </c>
      <c r="L660">
        <f t="shared" si="10"/>
        <v>55050</v>
      </c>
    </row>
    <row r="661" spans="1:12" x14ac:dyDescent="0.35">
      <c r="A661" s="7">
        <v>1661</v>
      </c>
      <c r="B661" s="1">
        <v>45597</v>
      </c>
      <c r="C661" s="2" t="s">
        <v>14</v>
      </c>
      <c r="D661" t="str">
        <f>_xlfn.XLOOKUP(Merged_Sales_Data!C661,PM[Product ID],PM[Product Name])</f>
        <v>Laptop Backpack</v>
      </c>
      <c r="E661" t="str">
        <f>VLOOKUP(C661,PM[],3,FALSE)</f>
        <v>Accessories</v>
      </c>
      <c r="F661">
        <f>_xlfn.XLOOKUP(C661,PM[Product ID],PM[Unit Price (₹)])</f>
        <v>1110</v>
      </c>
      <c r="G661" t="str">
        <f>_xlfn.XLOOKUP(Sales[[#This Row],[Order ID]],ST[Order ID],ST[Employee ID])</f>
        <v>E08</v>
      </c>
      <c r="H661" t="str">
        <f>_xlfn.XLOOKUP(G661,SM[Employee ID],SM[Salesperson])</f>
        <v>Neha Joshi</v>
      </c>
      <c r="I661" t="str">
        <f>_xlfn.XLOOKUP(G661,SM[Employee ID],SM[Region])</f>
        <v>West</v>
      </c>
      <c r="J661" t="str">
        <f>_xlfn.XLOOKUP(G661,SM[Employee ID],SM[State/City])</f>
        <v>Ahmedabad</v>
      </c>
      <c r="K661" s="2">
        <f>_xlfn.XLOOKUP(Sales[[#This Row],[Order ID]],ST[Order ID],ST[Units Sold])</f>
        <v>1</v>
      </c>
      <c r="L661">
        <f t="shared" si="10"/>
        <v>1110</v>
      </c>
    </row>
    <row r="662" spans="1:12" x14ac:dyDescent="0.35">
      <c r="A662" s="7">
        <v>1663</v>
      </c>
      <c r="B662" s="1">
        <v>45597</v>
      </c>
      <c r="C662" s="2" t="s">
        <v>8</v>
      </c>
      <c r="D662" t="str">
        <f>_xlfn.XLOOKUP(Merged_Sales_Data!C662,PM[Product ID],PM[Product Name])</f>
        <v>USB-C Hub</v>
      </c>
      <c r="E662" t="str">
        <f>VLOOKUP(C662,PM[],3,FALSE)</f>
        <v>Accessories</v>
      </c>
      <c r="F662">
        <f>_xlfn.XLOOKUP(C662,PM[Product ID],PM[Unit Price (₹)])</f>
        <v>880</v>
      </c>
      <c r="G662" t="str">
        <f>_xlfn.XLOOKUP(Sales[[#This Row],[Order ID]],ST[Order ID],ST[Employee ID])</f>
        <v>E05</v>
      </c>
      <c r="H662" t="str">
        <f>_xlfn.XLOOKUP(G662,SM[Employee ID],SM[Salesperson])</f>
        <v>Karan Malhotra</v>
      </c>
      <c r="I662" t="str">
        <f>_xlfn.XLOOKUP(G662,SM[Employee ID],SM[Region])</f>
        <v>East</v>
      </c>
      <c r="J662" t="str">
        <f>_xlfn.XLOOKUP(G662,SM[Employee ID],SM[State/City])</f>
        <v>Kolkata</v>
      </c>
      <c r="K662" s="2">
        <f>_xlfn.XLOOKUP(Sales[[#This Row],[Order ID]],ST[Order ID],ST[Units Sold])</f>
        <v>2</v>
      </c>
      <c r="L662">
        <f t="shared" si="10"/>
        <v>1760</v>
      </c>
    </row>
    <row r="663" spans="1:12" x14ac:dyDescent="0.35">
      <c r="A663" s="7">
        <v>1678</v>
      </c>
      <c r="B663" s="1">
        <v>45597</v>
      </c>
      <c r="C663" s="2" t="s">
        <v>18</v>
      </c>
      <c r="D663" t="str">
        <f>_xlfn.XLOOKUP(Merged_Sales_Data!C663,PM[Product ID],PM[Product Name])</f>
        <v>LED Monitor 24"</v>
      </c>
      <c r="E663" t="str">
        <f>VLOOKUP(C663,PM[],3,FALSE)</f>
        <v>Electronics</v>
      </c>
      <c r="F663">
        <f>_xlfn.XLOOKUP(C663,PM[Product ID],PM[Unit Price (₹)])</f>
        <v>7700</v>
      </c>
      <c r="G663" t="str">
        <f>_xlfn.XLOOKUP(Sales[[#This Row],[Order ID]],ST[Order ID],ST[Employee ID])</f>
        <v>E01</v>
      </c>
      <c r="H663" t="str">
        <f>_xlfn.XLOOKUP(G663,SM[Employee ID],SM[Salesperson])</f>
        <v>Aarav Sharma</v>
      </c>
      <c r="I663" t="str">
        <f>_xlfn.XLOOKUP(G663,SM[Employee ID],SM[Region])</f>
        <v>North</v>
      </c>
      <c r="J663" t="str">
        <f>_xlfn.XLOOKUP(G663,SM[Employee ID],SM[State/City])</f>
        <v>Lucknow</v>
      </c>
      <c r="K663" s="2">
        <f>_xlfn.XLOOKUP(Sales[[#This Row],[Order ID]],ST[Order ID],ST[Units Sold])</f>
        <v>3</v>
      </c>
      <c r="L663">
        <f t="shared" si="10"/>
        <v>23100</v>
      </c>
    </row>
    <row r="664" spans="1:12" x14ac:dyDescent="0.35">
      <c r="A664" s="7">
        <v>1683</v>
      </c>
      <c r="B664" s="1">
        <v>45598</v>
      </c>
      <c r="C664" s="2" t="s">
        <v>8</v>
      </c>
      <c r="D664" t="str">
        <f>_xlfn.XLOOKUP(Merged_Sales_Data!C664,PM[Product ID],PM[Product Name])</f>
        <v>USB-C Hub</v>
      </c>
      <c r="E664" t="str">
        <f>VLOOKUP(C664,PM[],3,FALSE)</f>
        <v>Accessories</v>
      </c>
      <c r="F664">
        <f>_xlfn.XLOOKUP(C664,PM[Product ID],PM[Unit Price (₹)])</f>
        <v>880</v>
      </c>
      <c r="G664" t="str">
        <f>_xlfn.XLOOKUP(Sales[[#This Row],[Order ID]],ST[Order ID],ST[Employee ID])</f>
        <v>E02</v>
      </c>
      <c r="H664" t="str">
        <f>_xlfn.XLOOKUP(G664,SM[Employee ID],SM[Salesperson])</f>
        <v>Ishita Verma</v>
      </c>
      <c r="I664" t="str">
        <f>_xlfn.XLOOKUP(G664,SM[Employee ID],SM[Region])</f>
        <v>North</v>
      </c>
      <c r="J664" t="str">
        <f>_xlfn.XLOOKUP(G664,SM[Employee ID],SM[State/City])</f>
        <v>Chandigarh</v>
      </c>
      <c r="K664" s="2">
        <f>_xlfn.XLOOKUP(Sales[[#This Row],[Order ID]],ST[Order ID],ST[Units Sold])</f>
        <v>3</v>
      </c>
      <c r="L664">
        <f t="shared" si="10"/>
        <v>2640</v>
      </c>
    </row>
    <row r="665" spans="1:12" x14ac:dyDescent="0.35">
      <c r="A665" s="7">
        <v>1667</v>
      </c>
      <c r="B665" s="1">
        <v>45599</v>
      </c>
      <c r="C665" s="2" t="s">
        <v>20</v>
      </c>
      <c r="D665" t="str">
        <f>_xlfn.XLOOKUP(Merged_Sales_Data!C665,PM[Product ID],PM[Product Name])</f>
        <v>Standing Desk</v>
      </c>
      <c r="E665" t="str">
        <f>VLOOKUP(C665,PM[],3,FALSE)</f>
        <v>Office Supplies</v>
      </c>
      <c r="F665">
        <f>_xlfn.XLOOKUP(C665,PM[Product ID],PM[Unit Price (₹)])</f>
        <v>11010</v>
      </c>
      <c r="G665" t="str">
        <f>_xlfn.XLOOKUP(Sales[[#This Row],[Order ID]],ST[Order ID],ST[Employee ID])</f>
        <v>E06</v>
      </c>
      <c r="H665" t="str">
        <f>_xlfn.XLOOKUP(G665,SM[Employee ID],SM[Salesperson])</f>
        <v>Sneha Roy</v>
      </c>
      <c r="I665" t="str">
        <f>_xlfn.XLOOKUP(G665,SM[Employee ID],SM[Region])</f>
        <v>East</v>
      </c>
      <c r="J665" t="str">
        <f>_xlfn.XLOOKUP(G665,SM[Employee ID],SM[State/City])</f>
        <v>Kolkata</v>
      </c>
      <c r="K665" s="2">
        <f>_xlfn.XLOOKUP(Sales[[#This Row],[Order ID]],ST[Order ID],ST[Units Sold])</f>
        <v>4</v>
      </c>
      <c r="L665">
        <f t="shared" si="10"/>
        <v>44040</v>
      </c>
    </row>
    <row r="666" spans="1:12" x14ac:dyDescent="0.35">
      <c r="A666" s="7">
        <v>1672</v>
      </c>
      <c r="B666" s="1">
        <v>45599</v>
      </c>
      <c r="C666" s="2" t="s">
        <v>21</v>
      </c>
      <c r="D666" t="str">
        <f>_xlfn.XLOOKUP(Merged_Sales_Data!C666,PM[Product ID],PM[Product Name])</f>
        <v>Wireless Mouse</v>
      </c>
      <c r="E666" t="str">
        <f>VLOOKUP(C666,PM[],3,FALSE)</f>
        <v>Electronics</v>
      </c>
      <c r="F666">
        <f>_xlfn.XLOOKUP(C666,PM[Product ID],PM[Unit Price (₹)])</f>
        <v>780</v>
      </c>
      <c r="G666" t="str">
        <f>_xlfn.XLOOKUP(Sales[[#This Row],[Order ID]],ST[Order ID],ST[Employee ID])</f>
        <v>E01</v>
      </c>
      <c r="H666" t="str">
        <f>_xlfn.XLOOKUP(G666,SM[Employee ID],SM[Salesperson])</f>
        <v>Aarav Sharma</v>
      </c>
      <c r="I666" t="str">
        <f>_xlfn.XLOOKUP(G666,SM[Employee ID],SM[Region])</f>
        <v>North</v>
      </c>
      <c r="J666" t="str">
        <f>_xlfn.XLOOKUP(G666,SM[Employee ID],SM[State/City])</f>
        <v>Lucknow</v>
      </c>
      <c r="K666" s="2">
        <f>_xlfn.XLOOKUP(Sales[[#This Row],[Order ID]],ST[Order ID],ST[Units Sold])</f>
        <v>1</v>
      </c>
      <c r="L666">
        <f t="shared" si="10"/>
        <v>780</v>
      </c>
    </row>
    <row r="667" spans="1:12" x14ac:dyDescent="0.35">
      <c r="A667" s="7">
        <v>1690</v>
      </c>
      <c r="B667" s="1">
        <v>45599</v>
      </c>
      <c r="C667" s="2" t="s">
        <v>5</v>
      </c>
      <c r="D667" t="str">
        <f>_xlfn.XLOOKUP(Merged_Sales_Data!C667,PM[Product ID],PM[Product Name])</f>
        <v>Ergo Office Chair</v>
      </c>
      <c r="E667" t="str">
        <f>VLOOKUP(C667,PM[],3,FALSE)</f>
        <v>Office Supplies</v>
      </c>
      <c r="F667">
        <f>_xlfn.XLOOKUP(C667,PM[Product ID],PM[Unit Price (₹)])</f>
        <v>6750</v>
      </c>
      <c r="G667" t="str">
        <f>_xlfn.XLOOKUP(Sales[[#This Row],[Order ID]],ST[Order ID],ST[Employee ID])</f>
        <v>E05</v>
      </c>
      <c r="H667" t="str">
        <f>_xlfn.XLOOKUP(G667,SM[Employee ID],SM[Salesperson])</f>
        <v>Karan Malhotra</v>
      </c>
      <c r="I667" t="str">
        <f>_xlfn.XLOOKUP(G667,SM[Employee ID],SM[Region])</f>
        <v>East</v>
      </c>
      <c r="J667" t="str">
        <f>_xlfn.XLOOKUP(G667,SM[Employee ID],SM[State/City])</f>
        <v>Kolkata</v>
      </c>
      <c r="K667" s="2">
        <f>_xlfn.XLOOKUP(Sales[[#This Row],[Order ID]],ST[Order ID],ST[Units Sold])</f>
        <v>1</v>
      </c>
      <c r="L667">
        <f t="shared" si="10"/>
        <v>6750</v>
      </c>
    </row>
    <row r="668" spans="1:12" x14ac:dyDescent="0.35">
      <c r="A668" s="7">
        <v>1697</v>
      </c>
      <c r="B668" s="1">
        <v>45599</v>
      </c>
      <c r="C668" s="2" t="s">
        <v>11</v>
      </c>
      <c r="D668" t="str">
        <f>_xlfn.XLOOKUP(Merged_Sales_Data!C668,PM[Product ID],PM[Product Name])</f>
        <v>Bluetooth Speaker</v>
      </c>
      <c r="E668" t="str">
        <f>VLOOKUP(C668,PM[],3,FALSE)</f>
        <v>Electronics</v>
      </c>
      <c r="F668">
        <f>_xlfn.XLOOKUP(C668,PM[Product ID],PM[Unit Price (₹)])</f>
        <v>1430</v>
      </c>
      <c r="G668" t="str">
        <f>_xlfn.XLOOKUP(Sales[[#This Row],[Order ID]],ST[Order ID],ST[Employee ID])</f>
        <v>E07</v>
      </c>
      <c r="H668" t="str">
        <f>_xlfn.XLOOKUP(G668,SM[Employee ID],SM[Salesperson])</f>
        <v>Aditya Kapoor</v>
      </c>
      <c r="I668" t="str">
        <f>_xlfn.XLOOKUP(G668,SM[Employee ID],SM[Region])</f>
        <v>West</v>
      </c>
      <c r="J668" t="str">
        <f>_xlfn.XLOOKUP(G668,SM[Employee ID],SM[State/City])</f>
        <v>Mumbai</v>
      </c>
      <c r="K668" s="2">
        <f>_xlfn.XLOOKUP(Sales[[#This Row],[Order ID]],ST[Order ID],ST[Units Sold])</f>
        <v>1</v>
      </c>
      <c r="L668">
        <f t="shared" si="10"/>
        <v>1430</v>
      </c>
    </row>
    <row r="669" spans="1:12" x14ac:dyDescent="0.35">
      <c r="A669" s="7">
        <v>1694</v>
      </c>
      <c r="B669" s="1">
        <v>45600</v>
      </c>
      <c r="C669" s="2" t="s">
        <v>12</v>
      </c>
      <c r="D669" t="str">
        <f>_xlfn.XLOOKUP(Merged_Sales_Data!C669,PM[Product ID],PM[Product Name])</f>
        <v>Bookshelf Unit</v>
      </c>
      <c r="E669" t="str">
        <f>VLOOKUP(C669,PM[],3,FALSE)</f>
        <v>Furniture</v>
      </c>
      <c r="F669">
        <f>_xlfn.XLOOKUP(C669,PM[Product ID],PM[Unit Price (₹)])</f>
        <v>3910</v>
      </c>
      <c r="G669" t="str">
        <f>_xlfn.XLOOKUP(Sales[[#This Row],[Order ID]],ST[Order ID],ST[Employee ID])</f>
        <v>E08</v>
      </c>
      <c r="H669" t="str">
        <f>_xlfn.XLOOKUP(G669,SM[Employee ID],SM[Salesperson])</f>
        <v>Neha Joshi</v>
      </c>
      <c r="I669" t="str">
        <f>_xlfn.XLOOKUP(G669,SM[Employee ID],SM[Region])</f>
        <v>West</v>
      </c>
      <c r="J669" t="str">
        <f>_xlfn.XLOOKUP(G669,SM[Employee ID],SM[State/City])</f>
        <v>Ahmedabad</v>
      </c>
      <c r="K669" s="2">
        <f>_xlfn.XLOOKUP(Sales[[#This Row],[Order ID]],ST[Order ID],ST[Units Sold])</f>
        <v>2</v>
      </c>
      <c r="L669">
        <f t="shared" si="10"/>
        <v>7820</v>
      </c>
    </row>
    <row r="670" spans="1:12" x14ac:dyDescent="0.35">
      <c r="A670" s="7">
        <v>1707</v>
      </c>
      <c r="B670" s="1">
        <v>45600</v>
      </c>
      <c r="C670" s="2" t="s">
        <v>5</v>
      </c>
      <c r="D670" t="str">
        <f>_xlfn.XLOOKUP(Merged_Sales_Data!C670,PM[Product ID],PM[Product Name])</f>
        <v>Ergo Office Chair</v>
      </c>
      <c r="E670" t="str">
        <f>VLOOKUP(C670,PM[],3,FALSE)</f>
        <v>Office Supplies</v>
      </c>
      <c r="F670">
        <f>_xlfn.XLOOKUP(C670,PM[Product ID],PM[Unit Price (₹)])</f>
        <v>6750</v>
      </c>
      <c r="G670" t="str">
        <f>_xlfn.XLOOKUP(Sales[[#This Row],[Order ID]],ST[Order ID],ST[Employee ID])</f>
        <v>E08</v>
      </c>
      <c r="H670" t="str">
        <f>_xlfn.XLOOKUP(G670,SM[Employee ID],SM[Salesperson])</f>
        <v>Neha Joshi</v>
      </c>
      <c r="I670" t="str">
        <f>_xlfn.XLOOKUP(G670,SM[Employee ID],SM[Region])</f>
        <v>West</v>
      </c>
      <c r="J670" t="str">
        <f>_xlfn.XLOOKUP(G670,SM[Employee ID],SM[State/City])</f>
        <v>Ahmedabad</v>
      </c>
      <c r="K670" s="2">
        <f>_xlfn.XLOOKUP(Sales[[#This Row],[Order ID]],ST[Order ID],ST[Units Sold])</f>
        <v>5</v>
      </c>
      <c r="L670">
        <f t="shared" si="10"/>
        <v>33750</v>
      </c>
    </row>
    <row r="671" spans="1:12" x14ac:dyDescent="0.35">
      <c r="A671" s="7">
        <v>1703</v>
      </c>
      <c r="B671" s="1">
        <v>45601</v>
      </c>
      <c r="C671" s="2" t="s">
        <v>20</v>
      </c>
      <c r="D671" t="str">
        <f>_xlfn.XLOOKUP(Merged_Sales_Data!C671,PM[Product ID],PM[Product Name])</f>
        <v>Standing Desk</v>
      </c>
      <c r="E671" t="str">
        <f>VLOOKUP(C671,PM[],3,FALSE)</f>
        <v>Office Supplies</v>
      </c>
      <c r="F671">
        <f>_xlfn.XLOOKUP(C671,PM[Product ID],PM[Unit Price (₹)])</f>
        <v>11010</v>
      </c>
      <c r="G671" t="str">
        <f>_xlfn.XLOOKUP(Sales[[#This Row],[Order ID]],ST[Order ID],ST[Employee ID])</f>
        <v>E05</v>
      </c>
      <c r="H671" t="str">
        <f>_xlfn.XLOOKUP(G671,SM[Employee ID],SM[Salesperson])</f>
        <v>Karan Malhotra</v>
      </c>
      <c r="I671" t="str">
        <f>_xlfn.XLOOKUP(G671,SM[Employee ID],SM[Region])</f>
        <v>East</v>
      </c>
      <c r="J671" t="str">
        <f>_xlfn.XLOOKUP(G671,SM[Employee ID],SM[State/City])</f>
        <v>Kolkata</v>
      </c>
      <c r="K671" s="2">
        <f>_xlfn.XLOOKUP(Sales[[#This Row],[Order ID]],ST[Order ID],ST[Units Sold])</f>
        <v>5</v>
      </c>
      <c r="L671">
        <f t="shared" si="10"/>
        <v>55050</v>
      </c>
    </row>
    <row r="672" spans="1:12" x14ac:dyDescent="0.35">
      <c r="A672" s="7">
        <v>1665</v>
      </c>
      <c r="B672" s="1">
        <v>45604</v>
      </c>
      <c r="C672" s="2" t="s">
        <v>8</v>
      </c>
      <c r="D672" t="str">
        <f>_xlfn.XLOOKUP(Merged_Sales_Data!C672,PM[Product ID],PM[Product Name])</f>
        <v>USB-C Hub</v>
      </c>
      <c r="E672" t="str">
        <f>VLOOKUP(C672,PM[],3,FALSE)</f>
        <v>Accessories</v>
      </c>
      <c r="F672">
        <f>_xlfn.XLOOKUP(C672,PM[Product ID],PM[Unit Price (₹)])</f>
        <v>880</v>
      </c>
      <c r="G672" t="str">
        <f>_xlfn.XLOOKUP(Sales[[#This Row],[Order ID]],ST[Order ID],ST[Employee ID])</f>
        <v>E02</v>
      </c>
      <c r="H672" t="str">
        <f>_xlfn.XLOOKUP(G672,SM[Employee ID],SM[Salesperson])</f>
        <v>Ishita Verma</v>
      </c>
      <c r="I672" t="str">
        <f>_xlfn.XLOOKUP(G672,SM[Employee ID],SM[Region])</f>
        <v>North</v>
      </c>
      <c r="J672" t="str">
        <f>_xlfn.XLOOKUP(G672,SM[Employee ID],SM[State/City])</f>
        <v>Chandigarh</v>
      </c>
      <c r="K672" s="2">
        <f>_xlfn.XLOOKUP(Sales[[#This Row],[Order ID]],ST[Order ID],ST[Units Sold])</f>
        <v>1</v>
      </c>
      <c r="L672">
        <f t="shared" si="10"/>
        <v>880</v>
      </c>
    </row>
    <row r="673" spans="1:12" x14ac:dyDescent="0.35">
      <c r="A673" s="7">
        <v>1687</v>
      </c>
      <c r="B673" s="1">
        <v>45604</v>
      </c>
      <c r="C673" s="2" t="s">
        <v>14</v>
      </c>
      <c r="D673" t="str">
        <f>_xlfn.XLOOKUP(Merged_Sales_Data!C673,PM[Product ID],PM[Product Name])</f>
        <v>Laptop Backpack</v>
      </c>
      <c r="E673" t="str">
        <f>VLOOKUP(C673,PM[],3,FALSE)</f>
        <v>Accessories</v>
      </c>
      <c r="F673">
        <f>_xlfn.XLOOKUP(C673,PM[Product ID],PM[Unit Price (₹)])</f>
        <v>1110</v>
      </c>
      <c r="G673" t="str">
        <f>_xlfn.XLOOKUP(Sales[[#This Row],[Order ID]],ST[Order ID],ST[Employee ID])</f>
        <v>E05</v>
      </c>
      <c r="H673" t="str">
        <f>_xlfn.XLOOKUP(G673,SM[Employee ID],SM[Salesperson])</f>
        <v>Karan Malhotra</v>
      </c>
      <c r="I673" t="str">
        <f>_xlfn.XLOOKUP(G673,SM[Employee ID],SM[Region])</f>
        <v>East</v>
      </c>
      <c r="J673" t="str">
        <f>_xlfn.XLOOKUP(G673,SM[Employee ID],SM[State/City])</f>
        <v>Kolkata</v>
      </c>
      <c r="K673" s="2">
        <f>_xlfn.XLOOKUP(Sales[[#This Row],[Order ID]],ST[Order ID],ST[Units Sold])</f>
        <v>5</v>
      </c>
      <c r="L673">
        <f t="shared" si="10"/>
        <v>5550</v>
      </c>
    </row>
    <row r="674" spans="1:12" x14ac:dyDescent="0.35">
      <c r="A674" s="7">
        <v>1706</v>
      </c>
      <c r="B674" s="1">
        <v>45604</v>
      </c>
      <c r="C674" s="2" t="s">
        <v>12</v>
      </c>
      <c r="D674" t="str">
        <f>_xlfn.XLOOKUP(Merged_Sales_Data!C674,PM[Product ID],PM[Product Name])</f>
        <v>Bookshelf Unit</v>
      </c>
      <c r="E674" t="str">
        <f>VLOOKUP(C674,PM[],3,FALSE)</f>
        <v>Furniture</v>
      </c>
      <c r="F674">
        <f>_xlfn.XLOOKUP(C674,PM[Product ID],PM[Unit Price (₹)])</f>
        <v>3910</v>
      </c>
      <c r="G674" t="str">
        <f>_xlfn.XLOOKUP(Sales[[#This Row],[Order ID]],ST[Order ID],ST[Employee ID])</f>
        <v>E02</v>
      </c>
      <c r="H674" t="str">
        <f>_xlfn.XLOOKUP(G674,SM[Employee ID],SM[Salesperson])</f>
        <v>Ishita Verma</v>
      </c>
      <c r="I674" t="str">
        <f>_xlfn.XLOOKUP(G674,SM[Employee ID],SM[Region])</f>
        <v>North</v>
      </c>
      <c r="J674" t="str">
        <f>_xlfn.XLOOKUP(G674,SM[Employee ID],SM[State/City])</f>
        <v>Chandigarh</v>
      </c>
      <c r="K674" s="2">
        <f>_xlfn.XLOOKUP(Sales[[#This Row],[Order ID]],ST[Order ID],ST[Units Sold])</f>
        <v>2</v>
      </c>
      <c r="L674">
        <f t="shared" si="10"/>
        <v>7820</v>
      </c>
    </row>
    <row r="675" spans="1:12" x14ac:dyDescent="0.35">
      <c r="A675" s="7">
        <v>1702</v>
      </c>
      <c r="B675" s="1">
        <v>45605</v>
      </c>
      <c r="C675" s="2" t="s">
        <v>18</v>
      </c>
      <c r="D675" t="str">
        <f>_xlfn.XLOOKUP(Merged_Sales_Data!C675,PM[Product ID],PM[Product Name])</f>
        <v>LED Monitor 24"</v>
      </c>
      <c r="E675" t="str">
        <f>VLOOKUP(C675,PM[],3,FALSE)</f>
        <v>Electronics</v>
      </c>
      <c r="F675">
        <f>_xlfn.XLOOKUP(C675,PM[Product ID],PM[Unit Price (₹)])</f>
        <v>7700</v>
      </c>
      <c r="G675" t="str">
        <f>_xlfn.XLOOKUP(Sales[[#This Row],[Order ID]],ST[Order ID],ST[Employee ID])</f>
        <v>E07</v>
      </c>
      <c r="H675" t="str">
        <f>_xlfn.XLOOKUP(G675,SM[Employee ID],SM[Salesperson])</f>
        <v>Aditya Kapoor</v>
      </c>
      <c r="I675" t="str">
        <f>_xlfn.XLOOKUP(G675,SM[Employee ID],SM[Region])</f>
        <v>West</v>
      </c>
      <c r="J675" t="str">
        <f>_xlfn.XLOOKUP(G675,SM[Employee ID],SM[State/City])</f>
        <v>Mumbai</v>
      </c>
      <c r="K675" s="2">
        <f>_xlfn.XLOOKUP(Sales[[#This Row],[Order ID]],ST[Order ID],ST[Units Sold])</f>
        <v>1</v>
      </c>
      <c r="L675">
        <f t="shared" si="10"/>
        <v>7700</v>
      </c>
    </row>
    <row r="676" spans="1:12" x14ac:dyDescent="0.35">
      <c r="A676" s="7">
        <v>1704</v>
      </c>
      <c r="B676" s="1">
        <v>45605</v>
      </c>
      <c r="C676" s="2" t="s">
        <v>18</v>
      </c>
      <c r="D676" t="str">
        <f>_xlfn.XLOOKUP(Merged_Sales_Data!C676,PM[Product ID],PM[Product Name])</f>
        <v>LED Monitor 24"</v>
      </c>
      <c r="E676" t="str">
        <f>VLOOKUP(C676,PM[],3,FALSE)</f>
        <v>Electronics</v>
      </c>
      <c r="F676">
        <f>_xlfn.XLOOKUP(C676,PM[Product ID],PM[Unit Price (₹)])</f>
        <v>7700</v>
      </c>
      <c r="G676" t="str">
        <f>_xlfn.XLOOKUP(Sales[[#This Row],[Order ID]],ST[Order ID],ST[Employee ID])</f>
        <v>E02</v>
      </c>
      <c r="H676" t="str">
        <f>_xlfn.XLOOKUP(G676,SM[Employee ID],SM[Salesperson])</f>
        <v>Ishita Verma</v>
      </c>
      <c r="I676" t="str">
        <f>_xlfn.XLOOKUP(G676,SM[Employee ID],SM[Region])</f>
        <v>North</v>
      </c>
      <c r="J676" t="str">
        <f>_xlfn.XLOOKUP(G676,SM[Employee ID],SM[State/City])</f>
        <v>Chandigarh</v>
      </c>
      <c r="K676" s="2">
        <f>_xlfn.XLOOKUP(Sales[[#This Row],[Order ID]],ST[Order ID],ST[Units Sold])</f>
        <v>4</v>
      </c>
      <c r="L676">
        <f t="shared" si="10"/>
        <v>30800</v>
      </c>
    </row>
    <row r="677" spans="1:12" x14ac:dyDescent="0.35">
      <c r="A677" s="7">
        <v>1693</v>
      </c>
      <c r="B677" s="1">
        <v>45606</v>
      </c>
      <c r="C677" s="2" t="s">
        <v>11</v>
      </c>
      <c r="D677" t="str">
        <f>_xlfn.XLOOKUP(Merged_Sales_Data!C677,PM[Product ID],PM[Product Name])</f>
        <v>Bluetooth Speaker</v>
      </c>
      <c r="E677" t="str">
        <f>VLOOKUP(C677,PM[],3,FALSE)</f>
        <v>Electronics</v>
      </c>
      <c r="F677">
        <f>_xlfn.XLOOKUP(C677,PM[Product ID],PM[Unit Price (₹)])</f>
        <v>1430</v>
      </c>
      <c r="G677" t="str">
        <f>_xlfn.XLOOKUP(Sales[[#This Row],[Order ID]],ST[Order ID],ST[Employee ID])</f>
        <v>E02</v>
      </c>
      <c r="H677" t="str">
        <f>_xlfn.XLOOKUP(G677,SM[Employee ID],SM[Salesperson])</f>
        <v>Ishita Verma</v>
      </c>
      <c r="I677" t="str">
        <f>_xlfn.XLOOKUP(G677,SM[Employee ID],SM[Region])</f>
        <v>North</v>
      </c>
      <c r="J677" t="str">
        <f>_xlfn.XLOOKUP(G677,SM[Employee ID],SM[State/City])</f>
        <v>Chandigarh</v>
      </c>
      <c r="K677" s="2">
        <f>_xlfn.XLOOKUP(Sales[[#This Row],[Order ID]],ST[Order ID],ST[Units Sold])</f>
        <v>1</v>
      </c>
      <c r="L677">
        <f t="shared" si="10"/>
        <v>1430</v>
      </c>
    </row>
    <row r="678" spans="1:12" x14ac:dyDescent="0.35">
      <c r="A678" s="7">
        <v>1699</v>
      </c>
      <c r="B678" s="1">
        <v>45606</v>
      </c>
      <c r="C678" s="2" t="s">
        <v>10</v>
      </c>
      <c r="D678" t="str">
        <f>_xlfn.XLOOKUP(Merged_Sales_Data!C678,PM[Product ID],PM[Product Name])</f>
        <v>Filing Cabinet</v>
      </c>
      <c r="E678" t="str">
        <f>VLOOKUP(C678,PM[],3,FALSE)</f>
        <v>Furniture</v>
      </c>
      <c r="F678">
        <f>_xlfn.XLOOKUP(C678,PM[Product ID],PM[Unit Price (₹)])</f>
        <v>4070</v>
      </c>
      <c r="G678" t="str">
        <f>_xlfn.XLOOKUP(Sales[[#This Row],[Order ID]],ST[Order ID],ST[Employee ID])</f>
        <v>E06</v>
      </c>
      <c r="H678" t="str">
        <f>_xlfn.XLOOKUP(G678,SM[Employee ID],SM[Salesperson])</f>
        <v>Sneha Roy</v>
      </c>
      <c r="I678" t="str">
        <f>_xlfn.XLOOKUP(G678,SM[Employee ID],SM[Region])</f>
        <v>East</v>
      </c>
      <c r="J678" t="str">
        <f>_xlfn.XLOOKUP(G678,SM[Employee ID],SM[State/City])</f>
        <v>Kolkata</v>
      </c>
      <c r="K678" s="2">
        <f>_xlfn.XLOOKUP(Sales[[#This Row],[Order ID]],ST[Order ID],ST[Units Sold])</f>
        <v>1</v>
      </c>
      <c r="L678">
        <f t="shared" si="10"/>
        <v>4070</v>
      </c>
    </row>
    <row r="679" spans="1:12" x14ac:dyDescent="0.35">
      <c r="A679" s="7">
        <v>1692</v>
      </c>
      <c r="B679" s="1">
        <v>45608</v>
      </c>
      <c r="C679" s="2" t="s">
        <v>10</v>
      </c>
      <c r="D679" t="str">
        <f>_xlfn.XLOOKUP(Merged_Sales_Data!C679,PM[Product ID],PM[Product Name])</f>
        <v>Filing Cabinet</v>
      </c>
      <c r="E679" t="str">
        <f>VLOOKUP(C679,PM[],3,FALSE)</f>
        <v>Furniture</v>
      </c>
      <c r="F679">
        <f>_xlfn.XLOOKUP(C679,PM[Product ID],PM[Unit Price (₹)])</f>
        <v>4070</v>
      </c>
      <c r="G679" t="str">
        <f>_xlfn.XLOOKUP(Sales[[#This Row],[Order ID]],ST[Order ID],ST[Employee ID])</f>
        <v>E03</v>
      </c>
      <c r="H679" t="str">
        <f>_xlfn.XLOOKUP(G679,SM[Employee ID],SM[Salesperson])</f>
        <v>Rohan Mehta</v>
      </c>
      <c r="I679" t="str">
        <f>_xlfn.XLOOKUP(G679,SM[Employee ID],SM[Region])</f>
        <v>South</v>
      </c>
      <c r="J679" t="str">
        <f>_xlfn.XLOOKUP(G679,SM[Employee ID],SM[State/City])</f>
        <v>Bengaluru</v>
      </c>
      <c r="K679" s="2">
        <f>_xlfn.XLOOKUP(Sales[[#This Row],[Order ID]],ST[Order ID],ST[Units Sold])</f>
        <v>3</v>
      </c>
      <c r="L679">
        <f t="shared" si="10"/>
        <v>12210</v>
      </c>
    </row>
    <row r="680" spans="1:12" x14ac:dyDescent="0.35">
      <c r="A680" s="7">
        <v>1670</v>
      </c>
      <c r="B680" s="1">
        <v>45609</v>
      </c>
      <c r="C680" s="2" t="s">
        <v>21</v>
      </c>
      <c r="D680" t="str">
        <f>_xlfn.XLOOKUP(Merged_Sales_Data!C680,PM[Product ID],PM[Product Name])</f>
        <v>Wireless Mouse</v>
      </c>
      <c r="E680" t="str">
        <f>VLOOKUP(C680,PM[],3,FALSE)</f>
        <v>Electronics</v>
      </c>
      <c r="F680">
        <f>_xlfn.XLOOKUP(C680,PM[Product ID],PM[Unit Price (₹)])</f>
        <v>780</v>
      </c>
      <c r="G680" t="str">
        <f>_xlfn.XLOOKUP(Sales[[#This Row],[Order ID]],ST[Order ID],ST[Employee ID])</f>
        <v>E02</v>
      </c>
      <c r="H680" t="str">
        <f>_xlfn.XLOOKUP(G680,SM[Employee ID],SM[Salesperson])</f>
        <v>Ishita Verma</v>
      </c>
      <c r="I680" t="str">
        <f>_xlfn.XLOOKUP(G680,SM[Employee ID],SM[Region])</f>
        <v>North</v>
      </c>
      <c r="J680" t="str">
        <f>_xlfn.XLOOKUP(G680,SM[Employee ID],SM[State/City])</f>
        <v>Chandigarh</v>
      </c>
      <c r="K680" s="2">
        <f>_xlfn.XLOOKUP(Sales[[#This Row],[Order ID]],ST[Order ID],ST[Units Sold])</f>
        <v>1</v>
      </c>
      <c r="L680">
        <f t="shared" si="10"/>
        <v>780</v>
      </c>
    </row>
    <row r="681" spans="1:12" x14ac:dyDescent="0.35">
      <c r="A681" s="7">
        <v>1708</v>
      </c>
      <c r="B681" s="1">
        <v>45609</v>
      </c>
      <c r="C681" s="2" t="s">
        <v>20</v>
      </c>
      <c r="D681" t="str">
        <f>_xlfn.XLOOKUP(Merged_Sales_Data!C681,PM[Product ID],PM[Product Name])</f>
        <v>Standing Desk</v>
      </c>
      <c r="E681" t="str">
        <f>VLOOKUP(C681,PM[],3,FALSE)</f>
        <v>Office Supplies</v>
      </c>
      <c r="F681">
        <f>_xlfn.XLOOKUP(C681,PM[Product ID],PM[Unit Price (₹)])</f>
        <v>11010</v>
      </c>
      <c r="G681" t="str">
        <f>_xlfn.XLOOKUP(Sales[[#This Row],[Order ID]],ST[Order ID],ST[Employee ID])</f>
        <v>E03</v>
      </c>
      <c r="H681" t="str">
        <f>_xlfn.XLOOKUP(G681,SM[Employee ID],SM[Salesperson])</f>
        <v>Rohan Mehta</v>
      </c>
      <c r="I681" t="str">
        <f>_xlfn.XLOOKUP(G681,SM[Employee ID],SM[Region])</f>
        <v>South</v>
      </c>
      <c r="J681" t="str">
        <f>_xlfn.XLOOKUP(G681,SM[Employee ID],SM[State/City])</f>
        <v>Bengaluru</v>
      </c>
      <c r="K681" s="2">
        <f>_xlfn.XLOOKUP(Sales[[#This Row],[Order ID]],ST[Order ID],ST[Units Sold])</f>
        <v>1</v>
      </c>
      <c r="L681">
        <f t="shared" si="10"/>
        <v>11010</v>
      </c>
    </row>
    <row r="682" spans="1:12" x14ac:dyDescent="0.35">
      <c r="A682" s="7">
        <v>1688</v>
      </c>
      <c r="B682" s="1">
        <v>45610</v>
      </c>
      <c r="C682" s="2" t="s">
        <v>8</v>
      </c>
      <c r="D682" t="str">
        <f>_xlfn.XLOOKUP(Merged_Sales_Data!C682,PM[Product ID],PM[Product Name])</f>
        <v>USB-C Hub</v>
      </c>
      <c r="E682" t="str">
        <f>VLOOKUP(C682,PM[],3,FALSE)</f>
        <v>Accessories</v>
      </c>
      <c r="F682">
        <f>_xlfn.XLOOKUP(C682,PM[Product ID],PM[Unit Price (₹)])</f>
        <v>880</v>
      </c>
      <c r="G682" t="str">
        <f>_xlfn.XLOOKUP(Sales[[#This Row],[Order ID]],ST[Order ID],ST[Employee ID])</f>
        <v>E06</v>
      </c>
      <c r="H682" t="str">
        <f>_xlfn.XLOOKUP(G682,SM[Employee ID],SM[Salesperson])</f>
        <v>Sneha Roy</v>
      </c>
      <c r="I682" t="str">
        <f>_xlfn.XLOOKUP(G682,SM[Employee ID],SM[Region])</f>
        <v>East</v>
      </c>
      <c r="J682" t="str">
        <f>_xlfn.XLOOKUP(G682,SM[Employee ID],SM[State/City])</f>
        <v>Kolkata</v>
      </c>
      <c r="K682" s="2">
        <f>_xlfn.XLOOKUP(Sales[[#This Row],[Order ID]],ST[Order ID],ST[Units Sold])</f>
        <v>4</v>
      </c>
      <c r="L682">
        <f t="shared" si="10"/>
        <v>3520</v>
      </c>
    </row>
    <row r="683" spans="1:12" x14ac:dyDescent="0.35">
      <c r="A683" s="7">
        <v>1695</v>
      </c>
      <c r="B683" s="1">
        <v>45610</v>
      </c>
      <c r="C683" s="2" t="s">
        <v>11</v>
      </c>
      <c r="D683" t="str">
        <f>_xlfn.XLOOKUP(Merged_Sales_Data!C683,PM[Product ID],PM[Product Name])</f>
        <v>Bluetooth Speaker</v>
      </c>
      <c r="E683" t="str">
        <f>VLOOKUP(C683,PM[],3,FALSE)</f>
        <v>Electronics</v>
      </c>
      <c r="F683">
        <f>_xlfn.XLOOKUP(C683,PM[Product ID],PM[Unit Price (₹)])</f>
        <v>1430</v>
      </c>
      <c r="G683" t="str">
        <f>_xlfn.XLOOKUP(Sales[[#This Row],[Order ID]],ST[Order ID],ST[Employee ID])</f>
        <v>E03</v>
      </c>
      <c r="H683" t="str">
        <f>_xlfn.XLOOKUP(G683,SM[Employee ID],SM[Salesperson])</f>
        <v>Rohan Mehta</v>
      </c>
      <c r="I683" t="str">
        <f>_xlfn.XLOOKUP(G683,SM[Employee ID],SM[Region])</f>
        <v>South</v>
      </c>
      <c r="J683" t="str">
        <f>_xlfn.XLOOKUP(G683,SM[Employee ID],SM[State/City])</f>
        <v>Bengaluru</v>
      </c>
      <c r="K683" s="2">
        <f>_xlfn.XLOOKUP(Sales[[#This Row],[Order ID]],ST[Order ID],ST[Units Sold])</f>
        <v>1</v>
      </c>
      <c r="L683">
        <f t="shared" si="10"/>
        <v>1430</v>
      </c>
    </row>
    <row r="684" spans="1:12" x14ac:dyDescent="0.35">
      <c r="A684" s="7">
        <v>1671</v>
      </c>
      <c r="B684" s="1">
        <v>45612</v>
      </c>
      <c r="C684" s="2" t="s">
        <v>10</v>
      </c>
      <c r="D684" t="str">
        <f>_xlfn.XLOOKUP(Merged_Sales_Data!C684,PM[Product ID],PM[Product Name])</f>
        <v>Filing Cabinet</v>
      </c>
      <c r="E684" t="str">
        <f>VLOOKUP(C684,PM[],3,FALSE)</f>
        <v>Furniture</v>
      </c>
      <c r="F684">
        <f>_xlfn.XLOOKUP(C684,PM[Product ID],PM[Unit Price (₹)])</f>
        <v>4070</v>
      </c>
      <c r="G684" t="str">
        <f>_xlfn.XLOOKUP(Sales[[#This Row],[Order ID]],ST[Order ID],ST[Employee ID])</f>
        <v>E07</v>
      </c>
      <c r="H684" t="str">
        <f>_xlfn.XLOOKUP(G684,SM[Employee ID],SM[Salesperson])</f>
        <v>Aditya Kapoor</v>
      </c>
      <c r="I684" t="str">
        <f>_xlfn.XLOOKUP(G684,SM[Employee ID],SM[Region])</f>
        <v>West</v>
      </c>
      <c r="J684" t="str">
        <f>_xlfn.XLOOKUP(G684,SM[Employee ID],SM[State/City])</f>
        <v>Mumbai</v>
      </c>
      <c r="K684" s="2">
        <f>_xlfn.XLOOKUP(Sales[[#This Row],[Order ID]],ST[Order ID],ST[Units Sold])</f>
        <v>6</v>
      </c>
      <c r="L684">
        <f t="shared" si="10"/>
        <v>24420</v>
      </c>
    </row>
    <row r="685" spans="1:12" x14ac:dyDescent="0.35">
      <c r="A685" s="7">
        <v>1662</v>
      </c>
      <c r="B685" s="1">
        <v>45613</v>
      </c>
      <c r="C685" s="2" t="s">
        <v>21</v>
      </c>
      <c r="D685" t="str">
        <f>_xlfn.XLOOKUP(Merged_Sales_Data!C685,PM[Product ID],PM[Product Name])</f>
        <v>Wireless Mouse</v>
      </c>
      <c r="E685" t="str">
        <f>VLOOKUP(C685,PM[],3,FALSE)</f>
        <v>Electronics</v>
      </c>
      <c r="F685">
        <f>_xlfn.XLOOKUP(C685,PM[Product ID],PM[Unit Price (₹)])</f>
        <v>780</v>
      </c>
      <c r="G685" t="str">
        <f>_xlfn.XLOOKUP(Sales[[#This Row],[Order ID]],ST[Order ID],ST[Employee ID])</f>
        <v>E07</v>
      </c>
      <c r="H685" t="str">
        <f>_xlfn.XLOOKUP(G685,SM[Employee ID],SM[Salesperson])</f>
        <v>Aditya Kapoor</v>
      </c>
      <c r="I685" t="str">
        <f>_xlfn.XLOOKUP(G685,SM[Employee ID],SM[Region])</f>
        <v>West</v>
      </c>
      <c r="J685" t="str">
        <f>_xlfn.XLOOKUP(G685,SM[Employee ID],SM[State/City])</f>
        <v>Mumbai</v>
      </c>
      <c r="K685" s="2">
        <f>_xlfn.XLOOKUP(Sales[[#This Row],[Order ID]],ST[Order ID],ST[Units Sold])</f>
        <v>1</v>
      </c>
      <c r="L685">
        <f t="shared" si="10"/>
        <v>780</v>
      </c>
    </row>
    <row r="686" spans="1:12" x14ac:dyDescent="0.35">
      <c r="A686" s="7">
        <v>1696</v>
      </c>
      <c r="B686" s="1">
        <v>45613</v>
      </c>
      <c r="C686" s="2" t="s">
        <v>8</v>
      </c>
      <c r="D686" t="str">
        <f>_xlfn.XLOOKUP(Merged_Sales_Data!C686,PM[Product ID],PM[Product Name])</f>
        <v>USB-C Hub</v>
      </c>
      <c r="E686" t="str">
        <f>VLOOKUP(C686,PM[],3,FALSE)</f>
        <v>Accessories</v>
      </c>
      <c r="F686">
        <f>_xlfn.XLOOKUP(C686,PM[Product ID],PM[Unit Price (₹)])</f>
        <v>880</v>
      </c>
      <c r="G686" t="str">
        <f>_xlfn.XLOOKUP(Sales[[#This Row],[Order ID]],ST[Order ID],ST[Employee ID])</f>
        <v>E08</v>
      </c>
      <c r="H686" t="str">
        <f>_xlfn.XLOOKUP(G686,SM[Employee ID],SM[Salesperson])</f>
        <v>Neha Joshi</v>
      </c>
      <c r="I686" t="str">
        <f>_xlfn.XLOOKUP(G686,SM[Employee ID],SM[Region])</f>
        <v>West</v>
      </c>
      <c r="J686" t="str">
        <f>_xlfn.XLOOKUP(G686,SM[Employee ID],SM[State/City])</f>
        <v>Ahmedabad</v>
      </c>
      <c r="K686" s="2">
        <f>_xlfn.XLOOKUP(Sales[[#This Row],[Order ID]],ST[Order ID],ST[Units Sold])</f>
        <v>6</v>
      </c>
      <c r="L686">
        <f t="shared" si="10"/>
        <v>5280</v>
      </c>
    </row>
    <row r="687" spans="1:12" x14ac:dyDescent="0.35">
      <c r="A687" s="7">
        <v>1668</v>
      </c>
      <c r="B687" s="1">
        <v>45615</v>
      </c>
      <c r="C687" s="2" t="s">
        <v>10</v>
      </c>
      <c r="D687" t="str">
        <f>_xlfn.XLOOKUP(Merged_Sales_Data!C687,PM[Product ID],PM[Product Name])</f>
        <v>Filing Cabinet</v>
      </c>
      <c r="E687" t="str">
        <f>VLOOKUP(C687,PM[],3,FALSE)</f>
        <v>Furniture</v>
      </c>
      <c r="F687">
        <f>_xlfn.XLOOKUP(C687,PM[Product ID],PM[Unit Price (₹)])</f>
        <v>4070</v>
      </c>
      <c r="G687" t="str">
        <f>_xlfn.XLOOKUP(Sales[[#This Row],[Order ID]],ST[Order ID],ST[Employee ID])</f>
        <v>E06</v>
      </c>
      <c r="H687" t="str">
        <f>_xlfn.XLOOKUP(G687,SM[Employee ID],SM[Salesperson])</f>
        <v>Sneha Roy</v>
      </c>
      <c r="I687" t="str">
        <f>_xlfn.XLOOKUP(G687,SM[Employee ID],SM[Region])</f>
        <v>East</v>
      </c>
      <c r="J687" t="str">
        <f>_xlfn.XLOOKUP(G687,SM[Employee ID],SM[State/City])</f>
        <v>Kolkata</v>
      </c>
      <c r="K687" s="2">
        <f>_xlfn.XLOOKUP(Sales[[#This Row],[Order ID]],ST[Order ID],ST[Units Sold])</f>
        <v>5</v>
      </c>
      <c r="L687">
        <f t="shared" si="10"/>
        <v>20350</v>
      </c>
    </row>
    <row r="688" spans="1:12" x14ac:dyDescent="0.35">
      <c r="A688" s="7">
        <v>1677</v>
      </c>
      <c r="B688" s="1">
        <v>45615</v>
      </c>
      <c r="C688" s="2" t="s">
        <v>20</v>
      </c>
      <c r="D688" t="str">
        <f>_xlfn.XLOOKUP(Merged_Sales_Data!C688,PM[Product ID],PM[Product Name])</f>
        <v>Standing Desk</v>
      </c>
      <c r="E688" t="str">
        <f>VLOOKUP(C688,PM[],3,FALSE)</f>
        <v>Office Supplies</v>
      </c>
      <c r="F688">
        <f>_xlfn.XLOOKUP(C688,PM[Product ID],PM[Unit Price (₹)])</f>
        <v>11010</v>
      </c>
      <c r="G688" t="str">
        <f>_xlfn.XLOOKUP(Sales[[#This Row],[Order ID]],ST[Order ID],ST[Employee ID])</f>
        <v>E02</v>
      </c>
      <c r="H688" t="str">
        <f>_xlfn.XLOOKUP(G688,SM[Employee ID],SM[Salesperson])</f>
        <v>Ishita Verma</v>
      </c>
      <c r="I688" t="str">
        <f>_xlfn.XLOOKUP(G688,SM[Employee ID],SM[Region])</f>
        <v>North</v>
      </c>
      <c r="J688" t="str">
        <f>_xlfn.XLOOKUP(G688,SM[Employee ID],SM[State/City])</f>
        <v>Chandigarh</v>
      </c>
      <c r="K688" s="2">
        <f>_xlfn.XLOOKUP(Sales[[#This Row],[Order ID]],ST[Order ID],ST[Units Sold])</f>
        <v>6</v>
      </c>
      <c r="L688">
        <f t="shared" si="10"/>
        <v>66060</v>
      </c>
    </row>
    <row r="689" spans="1:12" x14ac:dyDescent="0.35">
      <c r="A689" s="7">
        <v>1680</v>
      </c>
      <c r="B689" s="1">
        <v>45615</v>
      </c>
      <c r="C689" s="2" t="s">
        <v>20</v>
      </c>
      <c r="D689" t="str">
        <f>_xlfn.XLOOKUP(Merged_Sales_Data!C689,PM[Product ID],PM[Product Name])</f>
        <v>Standing Desk</v>
      </c>
      <c r="E689" t="str">
        <f>VLOOKUP(C689,PM[],3,FALSE)</f>
        <v>Office Supplies</v>
      </c>
      <c r="F689">
        <f>_xlfn.XLOOKUP(C689,PM[Product ID],PM[Unit Price (₹)])</f>
        <v>11010</v>
      </c>
      <c r="G689" t="str">
        <f>_xlfn.XLOOKUP(Sales[[#This Row],[Order ID]],ST[Order ID],ST[Employee ID])</f>
        <v>E02</v>
      </c>
      <c r="H689" t="str">
        <f>_xlfn.XLOOKUP(G689,SM[Employee ID],SM[Salesperson])</f>
        <v>Ishita Verma</v>
      </c>
      <c r="I689" t="str">
        <f>_xlfn.XLOOKUP(G689,SM[Employee ID],SM[Region])</f>
        <v>North</v>
      </c>
      <c r="J689" t="str">
        <f>_xlfn.XLOOKUP(G689,SM[Employee ID],SM[State/City])</f>
        <v>Chandigarh</v>
      </c>
      <c r="K689" s="2">
        <f>_xlfn.XLOOKUP(Sales[[#This Row],[Order ID]],ST[Order ID],ST[Units Sold])</f>
        <v>1</v>
      </c>
      <c r="L689">
        <f t="shared" si="10"/>
        <v>11010</v>
      </c>
    </row>
    <row r="690" spans="1:12" x14ac:dyDescent="0.35">
      <c r="A690" s="7">
        <v>1698</v>
      </c>
      <c r="B690" s="1">
        <v>45616</v>
      </c>
      <c r="C690" s="2" t="s">
        <v>8</v>
      </c>
      <c r="D690" t="str">
        <f>_xlfn.XLOOKUP(Merged_Sales_Data!C690,PM[Product ID],PM[Product Name])</f>
        <v>USB-C Hub</v>
      </c>
      <c r="E690" t="str">
        <f>VLOOKUP(C690,PM[],3,FALSE)</f>
        <v>Accessories</v>
      </c>
      <c r="F690">
        <f>_xlfn.XLOOKUP(C690,PM[Product ID],PM[Unit Price (₹)])</f>
        <v>880</v>
      </c>
      <c r="G690" t="str">
        <f>_xlfn.XLOOKUP(Sales[[#This Row],[Order ID]],ST[Order ID],ST[Employee ID])</f>
        <v>E06</v>
      </c>
      <c r="H690" t="str">
        <f>_xlfn.XLOOKUP(G690,SM[Employee ID],SM[Salesperson])</f>
        <v>Sneha Roy</v>
      </c>
      <c r="I690" t="str">
        <f>_xlfn.XLOOKUP(G690,SM[Employee ID],SM[Region])</f>
        <v>East</v>
      </c>
      <c r="J690" t="str">
        <f>_xlfn.XLOOKUP(G690,SM[Employee ID],SM[State/City])</f>
        <v>Kolkata</v>
      </c>
      <c r="K690" s="2">
        <f>_xlfn.XLOOKUP(Sales[[#This Row],[Order ID]],ST[Order ID],ST[Units Sold])</f>
        <v>1</v>
      </c>
      <c r="L690">
        <f t="shared" si="10"/>
        <v>880</v>
      </c>
    </row>
    <row r="691" spans="1:12" x14ac:dyDescent="0.35">
      <c r="A691" s="7">
        <v>1660</v>
      </c>
      <c r="B691" s="1">
        <v>45617</v>
      </c>
      <c r="C691" s="2" t="s">
        <v>21</v>
      </c>
      <c r="D691" t="str">
        <f>_xlfn.XLOOKUP(Merged_Sales_Data!C691,PM[Product ID],PM[Product Name])</f>
        <v>Wireless Mouse</v>
      </c>
      <c r="E691" t="str">
        <f>VLOOKUP(C691,PM[],3,FALSE)</f>
        <v>Electronics</v>
      </c>
      <c r="F691">
        <f>_xlfn.XLOOKUP(C691,PM[Product ID],PM[Unit Price (₹)])</f>
        <v>780</v>
      </c>
      <c r="G691" t="str">
        <f>_xlfn.XLOOKUP(Sales[[#This Row],[Order ID]],ST[Order ID],ST[Employee ID])</f>
        <v>E06</v>
      </c>
      <c r="H691" t="str">
        <f>_xlfn.XLOOKUP(G691,SM[Employee ID],SM[Salesperson])</f>
        <v>Sneha Roy</v>
      </c>
      <c r="I691" t="str">
        <f>_xlfn.XLOOKUP(G691,SM[Employee ID],SM[Region])</f>
        <v>East</v>
      </c>
      <c r="J691" t="str">
        <f>_xlfn.XLOOKUP(G691,SM[Employee ID],SM[State/City])</f>
        <v>Kolkata</v>
      </c>
      <c r="K691" s="2">
        <f>_xlfn.XLOOKUP(Sales[[#This Row],[Order ID]],ST[Order ID],ST[Units Sold])</f>
        <v>8</v>
      </c>
      <c r="L691">
        <f t="shared" si="10"/>
        <v>6240</v>
      </c>
    </row>
    <row r="692" spans="1:12" x14ac:dyDescent="0.35">
      <c r="A692" s="7">
        <v>1686</v>
      </c>
      <c r="B692" s="1">
        <v>45617</v>
      </c>
      <c r="C692" s="2" t="s">
        <v>12</v>
      </c>
      <c r="D692" t="str">
        <f>_xlfn.XLOOKUP(Merged_Sales_Data!C692,PM[Product ID],PM[Product Name])</f>
        <v>Bookshelf Unit</v>
      </c>
      <c r="E692" t="str">
        <f>VLOOKUP(C692,PM[],3,FALSE)</f>
        <v>Furniture</v>
      </c>
      <c r="F692">
        <f>_xlfn.XLOOKUP(C692,PM[Product ID],PM[Unit Price (₹)])</f>
        <v>3910</v>
      </c>
      <c r="G692" t="str">
        <f>_xlfn.XLOOKUP(Sales[[#This Row],[Order ID]],ST[Order ID],ST[Employee ID])</f>
        <v>E07</v>
      </c>
      <c r="H692" t="str">
        <f>_xlfn.XLOOKUP(G692,SM[Employee ID],SM[Salesperson])</f>
        <v>Aditya Kapoor</v>
      </c>
      <c r="I692" t="str">
        <f>_xlfn.XLOOKUP(G692,SM[Employee ID],SM[Region])</f>
        <v>West</v>
      </c>
      <c r="J692" t="str">
        <f>_xlfn.XLOOKUP(G692,SM[Employee ID],SM[State/City])</f>
        <v>Mumbai</v>
      </c>
      <c r="K692" s="2">
        <f>_xlfn.XLOOKUP(Sales[[#This Row],[Order ID]],ST[Order ID],ST[Units Sold])</f>
        <v>1</v>
      </c>
      <c r="L692">
        <f t="shared" si="10"/>
        <v>3910</v>
      </c>
    </row>
    <row r="693" spans="1:12" x14ac:dyDescent="0.35">
      <c r="A693" s="7">
        <v>1669</v>
      </c>
      <c r="B693" s="1">
        <v>45618</v>
      </c>
      <c r="C693" s="2" t="s">
        <v>5</v>
      </c>
      <c r="D693" t="str">
        <f>_xlfn.XLOOKUP(Merged_Sales_Data!C693,PM[Product ID],PM[Product Name])</f>
        <v>Ergo Office Chair</v>
      </c>
      <c r="E693" t="str">
        <f>VLOOKUP(C693,PM[],3,FALSE)</f>
        <v>Office Supplies</v>
      </c>
      <c r="F693">
        <f>_xlfn.XLOOKUP(C693,PM[Product ID],PM[Unit Price (₹)])</f>
        <v>6750</v>
      </c>
      <c r="G693" t="str">
        <f>_xlfn.XLOOKUP(Sales[[#This Row],[Order ID]],ST[Order ID],ST[Employee ID])</f>
        <v>E04</v>
      </c>
      <c r="H693" t="str">
        <f>_xlfn.XLOOKUP(G693,SM[Employee ID],SM[Salesperson])</f>
        <v>Priya Nair</v>
      </c>
      <c r="I693" t="str">
        <f>_xlfn.XLOOKUP(G693,SM[Employee ID],SM[Region])</f>
        <v>South</v>
      </c>
      <c r="J693" t="str">
        <f>_xlfn.XLOOKUP(G693,SM[Employee ID],SM[State/City])</f>
        <v>Bengaluru</v>
      </c>
      <c r="K693" s="2">
        <f>_xlfn.XLOOKUP(Sales[[#This Row],[Order ID]],ST[Order ID],ST[Units Sold])</f>
        <v>2</v>
      </c>
      <c r="L693">
        <f t="shared" si="10"/>
        <v>13500</v>
      </c>
    </row>
    <row r="694" spans="1:12" x14ac:dyDescent="0.35">
      <c r="A694" s="7">
        <v>1701</v>
      </c>
      <c r="B694" s="1">
        <v>45618</v>
      </c>
      <c r="C694" s="2" t="s">
        <v>8</v>
      </c>
      <c r="D694" t="str">
        <f>_xlfn.XLOOKUP(Merged_Sales_Data!C694,PM[Product ID],PM[Product Name])</f>
        <v>USB-C Hub</v>
      </c>
      <c r="E694" t="str">
        <f>VLOOKUP(C694,PM[],3,FALSE)</f>
        <v>Accessories</v>
      </c>
      <c r="F694">
        <f>_xlfn.XLOOKUP(C694,PM[Product ID],PM[Unit Price (₹)])</f>
        <v>880</v>
      </c>
      <c r="G694" t="str">
        <f>_xlfn.XLOOKUP(Sales[[#This Row],[Order ID]],ST[Order ID],ST[Employee ID])</f>
        <v>E04</v>
      </c>
      <c r="H694" t="str">
        <f>_xlfn.XLOOKUP(G694,SM[Employee ID],SM[Salesperson])</f>
        <v>Priya Nair</v>
      </c>
      <c r="I694" t="str">
        <f>_xlfn.XLOOKUP(G694,SM[Employee ID],SM[Region])</f>
        <v>South</v>
      </c>
      <c r="J694" t="str">
        <f>_xlfn.XLOOKUP(G694,SM[Employee ID],SM[State/City])</f>
        <v>Bengaluru</v>
      </c>
      <c r="K694" s="2">
        <f>_xlfn.XLOOKUP(Sales[[#This Row],[Order ID]],ST[Order ID],ST[Units Sold])</f>
        <v>1</v>
      </c>
      <c r="L694">
        <f t="shared" si="10"/>
        <v>880</v>
      </c>
    </row>
    <row r="695" spans="1:12" x14ac:dyDescent="0.35">
      <c r="A695" s="7">
        <v>1691</v>
      </c>
      <c r="B695" s="1">
        <v>45619</v>
      </c>
      <c r="C695" s="2" t="s">
        <v>18</v>
      </c>
      <c r="D695" t="str">
        <f>_xlfn.XLOOKUP(Merged_Sales_Data!C695,PM[Product ID],PM[Product Name])</f>
        <v>LED Monitor 24"</v>
      </c>
      <c r="E695" t="str">
        <f>VLOOKUP(C695,PM[],3,FALSE)</f>
        <v>Electronics</v>
      </c>
      <c r="F695">
        <f>_xlfn.XLOOKUP(C695,PM[Product ID],PM[Unit Price (₹)])</f>
        <v>7700</v>
      </c>
      <c r="G695" t="str">
        <f>_xlfn.XLOOKUP(Sales[[#This Row],[Order ID]],ST[Order ID],ST[Employee ID])</f>
        <v>E05</v>
      </c>
      <c r="H695" t="str">
        <f>_xlfn.XLOOKUP(G695,SM[Employee ID],SM[Salesperson])</f>
        <v>Karan Malhotra</v>
      </c>
      <c r="I695" t="str">
        <f>_xlfn.XLOOKUP(G695,SM[Employee ID],SM[Region])</f>
        <v>East</v>
      </c>
      <c r="J695" t="str">
        <f>_xlfn.XLOOKUP(G695,SM[Employee ID],SM[State/City])</f>
        <v>Kolkata</v>
      </c>
      <c r="K695" s="2">
        <f>_xlfn.XLOOKUP(Sales[[#This Row],[Order ID]],ST[Order ID],ST[Units Sold])</f>
        <v>4</v>
      </c>
      <c r="L695">
        <f t="shared" si="10"/>
        <v>30800</v>
      </c>
    </row>
    <row r="696" spans="1:12" x14ac:dyDescent="0.35">
      <c r="A696" s="7">
        <v>1700</v>
      </c>
      <c r="B696" s="1">
        <v>45620</v>
      </c>
      <c r="C696" s="2" t="s">
        <v>10</v>
      </c>
      <c r="D696" t="str">
        <f>_xlfn.XLOOKUP(Merged_Sales_Data!C696,PM[Product ID],PM[Product Name])</f>
        <v>Filing Cabinet</v>
      </c>
      <c r="E696" t="str">
        <f>VLOOKUP(C696,PM[],3,FALSE)</f>
        <v>Furniture</v>
      </c>
      <c r="F696">
        <f>_xlfn.XLOOKUP(C696,PM[Product ID],PM[Unit Price (₹)])</f>
        <v>4070</v>
      </c>
      <c r="G696" t="str">
        <f>_xlfn.XLOOKUP(Sales[[#This Row],[Order ID]],ST[Order ID],ST[Employee ID])</f>
        <v>E07</v>
      </c>
      <c r="H696" t="str">
        <f>_xlfn.XLOOKUP(G696,SM[Employee ID],SM[Salesperson])</f>
        <v>Aditya Kapoor</v>
      </c>
      <c r="I696" t="str">
        <f>_xlfn.XLOOKUP(G696,SM[Employee ID],SM[Region])</f>
        <v>West</v>
      </c>
      <c r="J696" t="str">
        <f>_xlfn.XLOOKUP(G696,SM[Employee ID],SM[State/City])</f>
        <v>Mumbai</v>
      </c>
      <c r="K696" s="2">
        <f>_xlfn.XLOOKUP(Sales[[#This Row],[Order ID]],ST[Order ID],ST[Units Sold])</f>
        <v>1</v>
      </c>
      <c r="L696">
        <f t="shared" si="10"/>
        <v>4070</v>
      </c>
    </row>
    <row r="697" spans="1:12" x14ac:dyDescent="0.35">
      <c r="A697" s="7">
        <v>1685</v>
      </c>
      <c r="B697" s="1">
        <v>45621</v>
      </c>
      <c r="C697" s="2" t="s">
        <v>12</v>
      </c>
      <c r="D697" t="str">
        <f>_xlfn.XLOOKUP(Merged_Sales_Data!C697,PM[Product ID],PM[Product Name])</f>
        <v>Bookshelf Unit</v>
      </c>
      <c r="E697" t="str">
        <f>VLOOKUP(C697,PM[],3,FALSE)</f>
        <v>Furniture</v>
      </c>
      <c r="F697">
        <f>_xlfn.XLOOKUP(C697,PM[Product ID],PM[Unit Price (₹)])</f>
        <v>3910</v>
      </c>
      <c r="G697" t="str">
        <f>_xlfn.XLOOKUP(Sales[[#This Row],[Order ID]],ST[Order ID],ST[Employee ID])</f>
        <v>E02</v>
      </c>
      <c r="H697" t="str">
        <f>_xlfn.XLOOKUP(G697,SM[Employee ID],SM[Salesperson])</f>
        <v>Ishita Verma</v>
      </c>
      <c r="I697" t="str">
        <f>_xlfn.XLOOKUP(G697,SM[Employee ID],SM[Region])</f>
        <v>North</v>
      </c>
      <c r="J697" t="str">
        <f>_xlfn.XLOOKUP(G697,SM[Employee ID],SM[State/City])</f>
        <v>Chandigarh</v>
      </c>
      <c r="K697" s="2">
        <f>_xlfn.XLOOKUP(Sales[[#This Row],[Order ID]],ST[Order ID],ST[Units Sold])</f>
        <v>8</v>
      </c>
      <c r="L697">
        <f t="shared" si="10"/>
        <v>31280</v>
      </c>
    </row>
    <row r="698" spans="1:12" x14ac:dyDescent="0.35">
      <c r="A698" s="7">
        <v>1689</v>
      </c>
      <c r="B698" s="1">
        <v>45621</v>
      </c>
      <c r="C698" s="2" t="s">
        <v>10</v>
      </c>
      <c r="D698" t="str">
        <f>_xlfn.XLOOKUP(Merged_Sales_Data!C698,PM[Product ID],PM[Product Name])</f>
        <v>Filing Cabinet</v>
      </c>
      <c r="E698" t="str">
        <f>VLOOKUP(C698,PM[],3,FALSE)</f>
        <v>Furniture</v>
      </c>
      <c r="F698">
        <f>_xlfn.XLOOKUP(C698,PM[Product ID],PM[Unit Price (₹)])</f>
        <v>4070</v>
      </c>
      <c r="G698" t="str">
        <f>_xlfn.XLOOKUP(Sales[[#This Row],[Order ID]],ST[Order ID],ST[Employee ID])</f>
        <v>E03</v>
      </c>
      <c r="H698" t="str">
        <f>_xlfn.XLOOKUP(G698,SM[Employee ID],SM[Salesperson])</f>
        <v>Rohan Mehta</v>
      </c>
      <c r="I698" t="str">
        <f>_xlfn.XLOOKUP(G698,SM[Employee ID],SM[Region])</f>
        <v>South</v>
      </c>
      <c r="J698" t="str">
        <f>_xlfn.XLOOKUP(G698,SM[Employee ID],SM[State/City])</f>
        <v>Bengaluru</v>
      </c>
      <c r="K698" s="2">
        <f>_xlfn.XLOOKUP(Sales[[#This Row],[Order ID]],ST[Order ID],ST[Units Sold])</f>
        <v>1</v>
      </c>
      <c r="L698">
        <f t="shared" si="10"/>
        <v>4070</v>
      </c>
    </row>
    <row r="699" spans="1:12" x14ac:dyDescent="0.35">
      <c r="A699" s="7">
        <v>1673</v>
      </c>
      <c r="B699" s="1">
        <v>45622</v>
      </c>
      <c r="C699" s="2" t="s">
        <v>10</v>
      </c>
      <c r="D699" t="str">
        <f>_xlfn.XLOOKUP(Merged_Sales_Data!C699,PM[Product ID],PM[Product Name])</f>
        <v>Filing Cabinet</v>
      </c>
      <c r="E699" t="str">
        <f>VLOOKUP(C699,PM[],3,FALSE)</f>
        <v>Furniture</v>
      </c>
      <c r="F699">
        <f>_xlfn.XLOOKUP(C699,PM[Product ID],PM[Unit Price (₹)])</f>
        <v>4070</v>
      </c>
      <c r="G699" t="str">
        <f>_xlfn.XLOOKUP(Sales[[#This Row],[Order ID]],ST[Order ID],ST[Employee ID])</f>
        <v>E08</v>
      </c>
      <c r="H699" t="str">
        <f>_xlfn.XLOOKUP(G699,SM[Employee ID],SM[Salesperson])</f>
        <v>Neha Joshi</v>
      </c>
      <c r="I699" t="str">
        <f>_xlfn.XLOOKUP(G699,SM[Employee ID],SM[Region])</f>
        <v>West</v>
      </c>
      <c r="J699" t="str">
        <f>_xlfn.XLOOKUP(G699,SM[Employee ID],SM[State/City])</f>
        <v>Ahmedabad</v>
      </c>
      <c r="K699" s="2">
        <f>_xlfn.XLOOKUP(Sales[[#This Row],[Order ID]],ST[Order ID],ST[Units Sold])</f>
        <v>10</v>
      </c>
      <c r="L699">
        <f t="shared" si="10"/>
        <v>40700</v>
      </c>
    </row>
    <row r="700" spans="1:12" x14ac:dyDescent="0.35">
      <c r="A700" s="7">
        <v>1682</v>
      </c>
      <c r="B700" s="1">
        <v>45622</v>
      </c>
      <c r="C700" s="2" t="s">
        <v>10</v>
      </c>
      <c r="D700" t="str">
        <f>_xlfn.XLOOKUP(Merged_Sales_Data!C700,PM[Product ID],PM[Product Name])</f>
        <v>Filing Cabinet</v>
      </c>
      <c r="E700" t="str">
        <f>VLOOKUP(C700,PM[],3,FALSE)</f>
        <v>Furniture</v>
      </c>
      <c r="F700">
        <f>_xlfn.XLOOKUP(C700,PM[Product ID],PM[Unit Price (₹)])</f>
        <v>4070</v>
      </c>
      <c r="G700" t="str">
        <f>_xlfn.XLOOKUP(Sales[[#This Row],[Order ID]],ST[Order ID],ST[Employee ID])</f>
        <v>E06</v>
      </c>
      <c r="H700" t="str">
        <f>_xlfn.XLOOKUP(G700,SM[Employee ID],SM[Salesperson])</f>
        <v>Sneha Roy</v>
      </c>
      <c r="I700" t="str">
        <f>_xlfn.XLOOKUP(G700,SM[Employee ID],SM[Region])</f>
        <v>East</v>
      </c>
      <c r="J700" t="str">
        <f>_xlfn.XLOOKUP(G700,SM[Employee ID],SM[State/City])</f>
        <v>Kolkata</v>
      </c>
      <c r="K700" s="2">
        <f>_xlfn.XLOOKUP(Sales[[#This Row],[Order ID]],ST[Order ID],ST[Units Sold])</f>
        <v>1</v>
      </c>
      <c r="L700">
        <f t="shared" si="10"/>
        <v>4070</v>
      </c>
    </row>
    <row r="701" spans="1:12" x14ac:dyDescent="0.35">
      <c r="A701" s="7">
        <v>1705</v>
      </c>
      <c r="B701" s="1">
        <v>45622</v>
      </c>
      <c r="C701" s="2" t="s">
        <v>20</v>
      </c>
      <c r="D701" t="str">
        <f>_xlfn.XLOOKUP(Merged_Sales_Data!C701,PM[Product ID],PM[Product Name])</f>
        <v>Standing Desk</v>
      </c>
      <c r="E701" t="str">
        <f>VLOOKUP(C701,PM[],3,FALSE)</f>
        <v>Office Supplies</v>
      </c>
      <c r="F701">
        <f>_xlfn.XLOOKUP(C701,PM[Product ID],PM[Unit Price (₹)])</f>
        <v>11010</v>
      </c>
      <c r="G701" t="str">
        <f>_xlfn.XLOOKUP(Sales[[#This Row],[Order ID]],ST[Order ID],ST[Employee ID])</f>
        <v>E07</v>
      </c>
      <c r="H701" t="str">
        <f>_xlfn.XLOOKUP(G701,SM[Employee ID],SM[Salesperson])</f>
        <v>Aditya Kapoor</v>
      </c>
      <c r="I701" t="str">
        <f>_xlfn.XLOOKUP(G701,SM[Employee ID],SM[Region])</f>
        <v>West</v>
      </c>
      <c r="J701" t="str">
        <f>_xlfn.XLOOKUP(G701,SM[Employee ID],SM[State/City])</f>
        <v>Mumbai</v>
      </c>
      <c r="K701" s="2">
        <f>_xlfn.XLOOKUP(Sales[[#This Row],[Order ID]],ST[Order ID],ST[Units Sold])</f>
        <v>5</v>
      </c>
      <c r="L701">
        <f t="shared" si="10"/>
        <v>55050</v>
      </c>
    </row>
    <row r="702" spans="1:12" x14ac:dyDescent="0.35">
      <c r="A702" s="7">
        <v>1666</v>
      </c>
      <c r="B702" s="1">
        <v>45623</v>
      </c>
      <c r="C702" s="2" t="s">
        <v>8</v>
      </c>
      <c r="D702" t="str">
        <f>_xlfn.XLOOKUP(Merged_Sales_Data!C702,PM[Product ID],PM[Product Name])</f>
        <v>USB-C Hub</v>
      </c>
      <c r="E702" t="str">
        <f>VLOOKUP(C702,PM[],3,FALSE)</f>
        <v>Accessories</v>
      </c>
      <c r="F702">
        <f>_xlfn.XLOOKUP(C702,PM[Product ID],PM[Unit Price (₹)])</f>
        <v>880</v>
      </c>
      <c r="G702" t="str">
        <f>_xlfn.XLOOKUP(Sales[[#This Row],[Order ID]],ST[Order ID],ST[Employee ID])</f>
        <v>E04</v>
      </c>
      <c r="H702" t="str">
        <f>_xlfn.XLOOKUP(G702,SM[Employee ID],SM[Salesperson])</f>
        <v>Priya Nair</v>
      </c>
      <c r="I702" t="str">
        <f>_xlfn.XLOOKUP(G702,SM[Employee ID],SM[Region])</f>
        <v>South</v>
      </c>
      <c r="J702" t="str">
        <f>_xlfn.XLOOKUP(G702,SM[Employee ID],SM[State/City])</f>
        <v>Bengaluru</v>
      </c>
      <c r="K702" s="2">
        <f>_xlfn.XLOOKUP(Sales[[#This Row],[Order ID]],ST[Order ID],ST[Units Sold])</f>
        <v>2</v>
      </c>
      <c r="L702">
        <f t="shared" si="10"/>
        <v>1760</v>
      </c>
    </row>
    <row r="703" spans="1:12" x14ac:dyDescent="0.35">
      <c r="A703" s="7">
        <v>1684</v>
      </c>
      <c r="B703" s="1">
        <v>45623</v>
      </c>
      <c r="C703" s="2" t="s">
        <v>10</v>
      </c>
      <c r="D703" t="str">
        <f>_xlfn.XLOOKUP(Merged_Sales_Data!C703,PM[Product ID],PM[Product Name])</f>
        <v>Filing Cabinet</v>
      </c>
      <c r="E703" t="str">
        <f>VLOOKUP(C703,PM[],3,FALSE)</f>
        <v>Furniture</v>
      </c>
      <c r="F703">
        <f>_xlfn.XLOOKUP(C703,PM[Product ID],PM[Unit Price (₹)])</f>
        <v>4070</v>
      </c>
      <c r="G703" t="str">
        <f>_xlfn.XLOOKUP(Sales[[#This Row],[Order ID]],ST[Order ID],ST[Employee ID])</f>
        <v>E02</v>
      </c>
      <c r="H703" t="str">
        <f>_xlfn.XLOOKUP(G703,SM[Employee ID],SM[Salesperson])</f>
        <v>Ishita Verma</v>
      </c>
      <c r="I703" t="str">
        <f>_xlfn.XLOOKUP(G703,SM[Employee ID],SM[Region])</f>
        <v>North</v>
      </c>
      <c r="J703" t="str">
        <f>_xlfn.XLOOKUP(G703,SM[Employee ID],SM[State/City])</f>
        <v>Chandigarh</v>
      </c>
      <c r="K703" s="2">
        <f>_xlfn.XLOOKUP(Sales[[#This Row],[Order ID]],ST[Order ID],ST[Units Sold])</f>
        <v>2</v>
      </c>
      <c r="L703">
        <f t="shared" si="10"/>
        <v>8140</v>
      </c>
    </row>
    <row r="704" spans="1:12" x14ac:dyDescent="0.35">
      <c r="A704" s="7">
        <v>1675</v>
      </c>
      <c r="B704" s="1">
        <v>45625</v>
      </c>
      <c r="C704" s="2" t="s">
        <v>5</v>
      </c>
      <c r="D704" t="str">
        <f>_xlfn.XLOOKUP(Merged_Sales_Data!C704,PM[Product ID],PM[Product Name])</f>
        <v>Ergo Office Chair</v>
      </c>
      <c r="E704" t="str">
        <f>VLOOKUP(C704,PM[],3,FALSE)</f>
        <v>Office Supplies</v>
      </c>
      <c r="F704">
        <f>_xlfn.XLOOKUP(C704,PM[Product ID],PM[Unit Price (₹)])</f>
        <v>6750</v>
      </c>
      <c r="G704" t="str">
        <f>_xlfn.XLOOKUP(Sales[[#This Row],[Order ID]],ST[Order ID],ST[Employee ID])</f>
        <v>E01</v>
      </c>
      <c r="H704" t="str">
        <f>_xlfn.XLOOKUP(G704,SM[Employee ID],SM[Salesperson])</f>
        <v>Aarav Sharma</v>
      </c>
      <c r="I704" t="str">
        <f>_xlfn.XLOOKUP(G704,SM[Employee ID],SM[Region])</f>
        <v>North</v>
      </c>
      <c r="J704" t="str">
        <f>_xlfn.XLOOKUP(G704,SM[Employee ID],SM[State/City])</f>
        <v>Lucknow</v>
      </c>
      <c r="K704" s="2">
        <f>_xlfn.XLOOKUP(Sales[[#This Row],[Order ID]],ST[Order ID],ST[Units Sold])</f>
        <v>2</v>
      </c>
      <c r="L704">
        <f t="shared" si="10"/>
        <v>13500</v>
      </c>
    </row>
    <row r="705" spans="1:12" x14ac:dyDescent="0.35">
      <c r="A705" s="7">
        <v>1681</v>
      </c>
      <c r="B705" s="1">
        <v>45625</v>
      </c>
      <c r="C705" s="2" t="s">
        <v>10</v>
      </c>
      <c r="D705" t="str">
        <f>_xlfn.XLOOKUP(Merged_Sales_Data!C705,PM[Product ID],PM[Product Name])</f>
        <v>Filing Cabinet</v>
      </c>
      <c r="E705" t="str">
        <f>VLOOKUP(C705,PM[],3,FALSE)</f>
        <v>Furniture</v>
      </c>
      <c r="F705">
        <f>_xlfn.XLOOKUP(C705,PM[Product ID],PM[Unit Price (₹)])</f>
        <v>4070</v>
      </c>
      <c r="G705" t="str">
        <f>_xlfn.XLOOKUP(Sales[[#This Row],[Order ID]],ST[Order ID],ST[Employee ID])</f>
        <v>E04</v>
      </c>
      <c r="H705" t="str">
        <f>_xlfn.XLOOKUP(G705,SM[Employee ID],SM[Salesperson])</f>
        <v>Priya Nair</v>
      </c>
      <c r="I705" t="str">
        <f>_xlfn.XLOOKUP(G705,SM[Employee ID],SM[Region])</f>
        <v>South</v>
      </c>
      <c r="J705" t="str">
        <f>_xlfn.XLOOKUP(G705,SM[Employee ID],SM[State/City])</f>
        <v>Bengaluru</v>
      </c>
      <c r="K705" s="2">
        <f>_xlfn.XLOOKUP(Sales[[#This Row],[Order ID]],ST[Order ID],ST[Units Sold])</f>
        <v>10</v>
      </c>
      <c r="L705">
        <f t="shared" si="10"/>
        <v>40700</v>
      </c>
    </row>
    <row r="706" spans="1:12" x14ac:dyDescent="0.35">
      <c r="A706" s="7">
        <v>1664</v>
      </c>
      <c r="B706" s="1">
        <v>45626</v>
      </c>
      <c r="C706" s="2" t="s">
        <v>18</v>
      </c>
      <c r="D706" t="str">
        <f>_xlfn.XLOOKUP(Merged_Sales_Data!C706,PM[Product ID],PM[Product Name])</f>
        <v>LED Monitor 24"</v>
      </c>
      <c r="E706" t="str">
        <f>VLOOKUP(C706,PM[],3,FALSE)</f>
        <v>Electronics</v>
      </c>
      <c r="F706">
        <f>_xlfn.XLOOKUP(C706,PM[Product ID],PM[Unit Price (₹)])</f>
        <v>7700</v>
      </c>
      <c r="G706" t="str">
        <f>_xlfn.XLOOKUP(Sales[[#This Row],[Order ID]],ST[Order ID],ST[Employee ID])</f>
        <v>E07</v>
      </c>
      <c r="H706" t="str">
        <f>_xlfn.XLOOKUP(G706,SM[Employee ID],SM[Salesperson])</f>
        <v>Aditya Kapoor</v>
      </c>
      <c r="I706" t="str">
        <f>_xlfn.XLOOKUP(G706,SM[Employee ID],SM[Region])</f>
        <v>West</v>
      </c>
      <c r="J706" t="str">
        <f>_xlfn.XLOOKUP(G706,SM[Employee ID],SM[State/City])</f>
        <v>Mumbai</v>
      </c>
      <c r="K706" s="2">
        <f>_xlfn.XLOOKUP(Sales[[#This Row],[Order ID]],ST[Order ID],ST[Units Sold])</f>
        <v>1</v>
      </c>
      <c r="L706">
        <f t="shared" si="10"/>
        <v>7700</v>
      </c>
    </row>
    <row r="707" spans="1:12" x14ac:dyDescent="0.35">
      <c r="A707" s="7">
        <v>1674</v>
      </c>
      <c r="B707" s="1">
        <v>45626</v>
      </c>
      <c r="C707" s="2" t="s">
        <v>11</v>
      </c>
      <c r="D707" t="str">
        <f>_xlfn.XLOOKUP(Merged_Sales_Data!C707,PM[Product ID],PM[Product Name])</f>
        <v>Bluetooth Speaker</v>
      </c>
      <c r="E707" t="str">
        <f>VLOOKUP(C707,PM[],3,FALSE)</f>
        <v>Electronics</v>
      </c>
      <c r="F707">
        <f>_xlfn.XLOOKUP(C707,PM[Product ID],PM[Unit Price (₹)])</f>
        <v>1430</v>
      </c>
      <c r="G707" t="str">
        <f>_xlfn.XLOOKUP(Sales[[#This Row],[Order ID]],ST[Order ID],ST[Employee ID])</f>
        <v>E06</v>
      </c>
      <c r="H707" t="str">
        <f>_xlfn.XLOOKUP(G707,SM[Employee ID],SM[Salesperson])</f>
        <v>Sneha Roy</v>
      </c>
      <c r="I707" t="str">
        <f>_xlfn.XLOOKUP(G707,SM[Employee ID],SM[Region])</f>
        <v>East</v>
      </c>
      <c r="J707" t="str">
        <f>_xlfn.XLOOKUP(G707,SM[Employee ID],SM[State/City])</f>
        <v>Kolkata</v>
      </c>
      <c r="K707" s="2">
        <f>_xlfn.XLOOKUP(Sales[[#This Row],[Order ID]],ST[Order ID],ST[Units Sold])</f>
        <v>6</v>
      </c>
      <c r="L707">
        <f t="shared" ref="L707:L743" si="11">F707*K707</f>
        <v>8580</v>
      </c>
    </row>
    <row r="708" spans="1:12" x14ac:dyDescent="0.35">
      <c r="A708" s="7">
        <v>1676</v>
      </c>
      <c r="B708" s="1">
        <v>45626</v>
      </c>
      <c r="C708" s="2" t="s">
        <v>20</v>
      </c>
      <c r="D708" t="str">
        <f>_xlfn.XLOOKUP(Merged_Sales_Data!C708,PM[Product ID],PM[Product Name])</f>
        <v>Standing Desk</v>
      </c>
      <c r="E708" t="str">
        <f>VLOOKUP(C708,PM[],3,FALSE)</f>
        <v>Office Supplies</v>
      </c>
      <c r="F708">
        <f>_xlfn.XLOOKUP(C708,PM[Product ID],PM[Unit Price (₹)])</f>
        <v>11010</v>
      </c>
      <c r="G708" t="str">
        <f>_xlfn.XLOOKUP(Sales[[#This Row],[Order ID]],ST[Order ID],ST[Employee ID])</f>
        <v>E08</v>
      </c>
      <c r="H708" t="str">
        <f>_xlfn.XLOOKUP(G708,SM[Employee ID],SM[Salesperson])</f>
        <v>Neha Joshi</v>
      </c>
      <c r="I708" t="str">
        <f>_xlfn.XLOOKUP(G708,SM[Employee ID],SM[Region])</f>
        <v>West</v>
      </c>
      <c r="J708" t="str">
        <f>_xlfn.XLOOKUP(G708,SM[Employee ID],SM[State/City])</f>
        <v>Ahmedabad</v>
      </c>
      <c r="K708" s="2">
        <f>_xlfn.XLOOKUP(Sales[[#This Row],[Order ID]],ST[Order ID],ST[Units Sold])</f>
        <v>1</v>
      </c>
      <c r="L708">
        <f t="shared" si="11"/>
        <v>11010</v>
      </c>
    </row>
    <row r="709" spans="1:12" x14ac:dyDescent="0.35">
      <c r="A709" s="7">
        <v>1679</v>
      </c>
      <c r="B709" s="1">
        <v>45626</v>
      </c>
      <c r="C709" s="2" t="s">
        <v>18</v>
      </c>
      <c r="D709" t="str">
        <f>_xlfn.XLOOKUP(Merged_Sales_Data!C709,PM[Product ID],PM[Product Name])</f>
        <v>LED Monitor 24"</v>
      </c>
      <c r="E709" t="str">
        <f>VLOOKUP(C709,PM[],3,FALSE)</f>
        <v>Electronics</v>
      </c>
      <c r="F709">
        <f>_xlfn.XLOOKUP(C709,PM[Product ID],PM[Unit Price (₹)])</f>
        <v>7700</v>
      </c>
      <c r="G709" t="str">
        <f>_xlfn.XLOOKUP(Sales[[#This Row],[Order ID]],ST[Order ID],ST[Employee ID])</f>
        <v>E04</v>
      </c>
      <c r="H709" t="str">
        <f>_xlfn.XLOOKUP(G709,SM[Employee ID],SM[Salesperson])</f>
        <v>Priya Nair</v>
      </c>
      <c r="I709" t="str">
        <f>_xlfn.XLOOKUP(G709,SM[Employee ID],SM[Region])</f>
        <v>South</v>
      </c>
      <c r="J709" t="str">
        <f>_xlfn.XLOOKUP(G709,SM[Employee ID],SM[State/City])</f>
        <v>Bengaluru</v>
      </c>
      <c r="K709" s="2">
        <f>_xlfn.XLOOKUP(Sales[[#This Row],[Order ID]],ST[Order ID],ST[Units Sold])</f>
        <v>4</v>
      </c>
      <c r="L709">
        <f t="shared" si="11"/>
        <v>30800</v>
      </c>
    </row>
    <row r="710" spans="1:12" x14ac:dyDescent="0.35">
      <c r="A710" s="7">
        <v>1714</v>
      </c>
      <c r="B710" s="1">
        <v>45630</v>
      </c>
      <c r="C710" s="2" t="s">
        <v>10</v>
      </c>
      <c r="D710" t="str">
        <f>_xlfn.XLOOKUP(Merged_Sales_Data!C710,PM[Product ID],PM[Product Name])</f>
        <v>Filing Cabinet</v>
      </c>
      <c r="E710" t="str">
        <f>VLOOKUP(C710,PM[],3,FALSE)</f>
        <v>Furniture</v>
      </c>
      <c r="F710">
        <f>_xlfn.XLOOKUP(C710,PM[Product ID],PM[Unit Price (₹)])</f>
        <v>4070</v>
      </c>
      <c r="G710" t="str">
        <f>_xlfn.XLOOKUP(Sales[[#This Row],[Order ID]],ST[Order ID],ST[Employee ID])</f>
        <v>E05</v>
      </c>
      <c r="H710" t="str">
        <f>_xlfn.XLOOKUP(G710,SM[Employee ID],SM[Salesperson])</f>
        <v>Karan Malhotra</v>
      </c>
      <c r="I710" t="str">
        <f>_xlfn.XLOOKUP(G710,SM[Employee ID],SM[Region])</f>
        <v>East</v>
      </c>
      <c r="J710" t="str">
        <f>_xlfn.XLOOKUP(G710,SM[Employee ID],SM[State/City])</f>
        <v>Kolkata</v>
      </c>
      <c r="K710" s="2">
        <f>_xlfn.XLOOKUP(Sales[[#This Row],[Order ID]],ST[Order ID],ST[Units Sold])</f>
        <v>3</v>
      </c>
      <c r="L710">
        <f t="shared" si="11"/>
        <v>12210</v>
      </c>
    </row>
    <row r="711" spans="1:12" x14ac:dyDescent="0.35">
      <c r="A711" s="7">
        <v>1727</v>
      </c>
      <c r="B711" s="1">
        <v>45630</v>
      </c>
      <c r="C711" s="2" t="s">
        <v>11</v>
      </c>
      <c r="D711" t="str">
        <f>_xlfn.XLOOKUP(Merged_Sales_Data!C711,PM[Product ID],PM[Product Name])</f>
        <v>Bluetooth Speaker</v>
      </c>
      <c r="E711" t="str">
        <f>VLOOKUP(C711,PM[],3,FALSE)</f>
        <v>Electronics</v>
      </c>
      <c r="F711">
        <f>_xlfn.XLOOKUP(C711,PM[Product ID],PM[Unit Price (₹)])</f>
        <v>1430</v>
      </c>
      <c r="G711" t="str">
        <f>_xlfn.XLOOKUP(Sales[[#This Row],[Order ID]],ST[Order ID],ST[Employee ID])</f>
        <v>E07</v>
      </c>
      <c r="H711" t="str">
        <f>_xlfn.XLOOKUP(G711,SM[Employee ID],SM[Salesperson])</f>
        <v>Aditya Kapoor</v>
      </c>
      <c r="I711" t="str">
        <f>_xlfn.XLOOKUP(G711,SM[Employee ID],SM[Region])</f>
        <v>West</v>
      </c>
      <c r="J711" t="str">
        <f>_xlfn.XLOOKUP(G711,SM[Employee ID],SM[State/City])</f>
        <v>Mumbai</v>
      </c>
      <c r="K711" s="2">
        <f>_xlfn.XLOOKUP(Sales[[#This Row],[Order ID]],ST[Order ID],ST[Units Sold])</f>
        <v>1</v>
      </c>
      <c r="L711">
        <f t="shared" si="11"/>
        <v>1430</v>
      </c>
    </row>
    <row r="712" spans="1:12" x14ac:dyDescent="0.35">
      <c r="A712" s="7">
        <v>1719</v>
      </c>
      <c r="B712" s="1">
        <v>45631</v>
      </c>
      <c r="C712" s="2" t="s">
        <v>20</v>
      </c>
      <c r="D712" t="str">
        <f>_xlfn.XLOOKUP(Merged_Sales_Data!C712,PM[Product ID],PM[Product Name])</f>
        <v>Standing Desk</v>
      </c>
      <c r="E712" t="str">
        <f>VLOOKUP(C712,PM[],3,FALSE)</f>
        <v>Office Supplies</v>
      </c>
      <c r="F712">
        <f>_xlfn.XLOOKUP(C712,PM[Product ID],PM[Unit Price (₹)])</f>
        <v>11010</v>
      </c>
      <c r="G712" t="str">
        <f>_xlfn.XLOOKUP(Sales[[#This Row],[Order ID]],ST[Order ID],ST[Employee ID])</f>
        <v>E04</v>
      </c>
      <c r="H712" t="str">
        <f>_xlfn.XLOOKUP(G712,SM[Employee ID],SM[Salesperson])</f>
        <v>Priya Nair</v>
      </c>
      <c r="I712" t="str">
        <f>_xlfn.XLOOKUP(G712,SM[Employee ID],SM[Region])</f>
        <v>South</v>
      </c>
      <c r="J712" t="str">
        <f>_xlfn.XLOOKUP(G712,SM[Employee ID],SM[State/City])</f>
        <v>Bengaluru</v>
      </c>
      <c r="K712" s="2">
        <f>_xlfn.XLOOKUP(Sales[[#This Row],[Order ID]],ST[Order ID],ST[Units Sold])</f>
        <v>10</v>
      </c>
      <c r="L712">
        <f t="shared" si="11"/>
        <v>110100</v>
      </c>
    </row>
    <row r="713" spans="1:12" x14ac:dyDescent="0.35">
      <c r="A713" s="7">
        <v>1711</v>
      </c>
      <c r="B713" s="1">
        <v>45632</v>
      </c>
      <c r="C713" s="2" t="s">
        <v>14</v>
      </c>
      <c r="D713" t="str">
        <f>_xlfn.XLOOKUP(Merged_Sales_Data!C713,PM[Product ID],PM[Product Name])</f>
        <v>Laptop Backpack</v>
      </c>
      <c r="E713" t="str">
        <f>VLOOKUP(C713,PM[],3,FALSE)</f>
        <v>Accessories</v>
      </c>
      <c r="F713">
        <f>_xlfn.XLOOKUP(C713,PM[Product ID],PM[Unit Price (₹)])</f>
        <v>1110</v>
      </c>
      <c r="G713" t="str">
        <f>_xlfn.XLOOKUP(Sales[[#This Row],[Order ID]],ST[Order ID],ST[Employee ID])</f>
        <v>E04</v>
      </c>
      <c r="H713" t="str">
        <f>_xlfn.XLOOKUP(G713,SM[Employee ID],SM[Salesperson])</f>
        <v>Priya Nair</v>
      </c>
      <c r="I713" t="str">
        <f>_xlfn.XLOOKUP(G713,SM[Employee ID],SM[Region])</f>
        <v>South</v>
      </c>
      <c r="J713" t="str">
        <f>_xlfn.XLOOKUP(G713,SM[Employee ID],SM[State/City])</f>
        <v>Bengaluru</v>
      </c>
      <c r="K713" s="2">
        <f>_xlfn.XLOOKUP(Sales[[#This Row],[Order ID]],ST[Order ID],ST[Units Sold])</f>
        <v>3</v>
      </c>
      <c r="L713">
        <f t="shared" si="11"/>
        <v>3330</v>
      </c>
    </row>
    <row r="714" spans="1:12" x14ac:dyDescent="0.35">
      <c r="A714" s="7">
        <v>1739</v>
      </c>
      <c r="B714" s="1">
        <v>45632</v>
      </c>
      <c r="C714" s="2" t="s">
        <v>5</v>
      </c>
      <c r="D714" t="str">
        <f>_xlfn.XLOOKUP(Merged_Sales_Data!C714,PM[Product ID],PM[Product Name])</f>
        <v>Ergo Office Chair</v>
      </c>
      <c r="E714" t="str">
        <f>VLOOKUP(C714,PM[],3,FALSE)</f>
        <v>Office Supplies</v>
      </c>
      <c r="F714">
        <f>_xlfn.XLOOKUP(C714,PM[Product ID],PM[Unit Price (₹)])</f>
        <v>6750</v>
      </c>
      <c r="G714" t="str">
        <f>_xlfn.XLOOKUP(Sales[[#This Row],[Order ID]],ST[Order ID],ST[Employee ID])</f>
        <v>E03</v>
      </c>
      <c r="H714" t="str">
        <f>_xlfn.XLOOKUP(G714,SM[Employee ID],SM[Salesperson])</f>
        <v>Rohan Mehta</v>
      </c>
      <c r="I714" t="str">
        <f>_xlfn.XLOOKUP(G714,SM[Employee ID],SM[Region])</f>
        <v>South</v>
      </c>
      <c r="J714" t="str">
        <f>_xlfn.XLOOKUP(G714,SM[Employee ID],SM[State/City])</f>
        <v>Bengaluru</v>
      </c>
      <c r="K714" s="2">
        <f>_xlfn.XLOOKUP(Sales[[#This Row],[Order ID]],ST[Order ID],ST[Units Sold])</f>
        <v>6</v>
      </c>
      <c r="L714">
        <f t="shared" si="11"/>
        <v>40500</v>
      </c>
    </row>
    <row r="715" spans="1:12" x14ac:dyDescent="0.35">
      <c r="A715" s="7">
        <v>1718</v>
      </c>
      <c r="B715" s="1">
        <v>45636</v>
      </c>
      <c r="C715" s="2" t="s">
        <v>18</v>
      </c>
      <c r="D715" t="str">
        <f>_xlfn.XLOOKUP(Merged_Sales_Data!C715,PM[Product ID],PM[Product Name])</f>
        <v>LED Monitor 24"</v>
      </c>
      <c r="E715" t="str">
        <f>VLOOKUP(C715,PM[],3,FALSE)</f>
        <v>Electronics</v>
      </c>
      <c r="F715">
        <f>_xlfn.XLOOKUP(C715,PM[Product ID],PM[Unit Price (₹)])</f>
        <v>7700</v>
      </c>
      <c r="G715" t="str">
        <f>_xlfn.XLOOKUP(Sales[[#This Row],[Order ID]],ST[Order ID],ST[Employee ID])</f>
        <v>E08</v>
      </c>
      <c r="H715" t="str">
        <f>_xlfn.XLOOKUP(G715,SM[Employee ID],SM[Salesperson])</f>
        <v>Neha Joshi</v>
      </c>
      <c r="I715" t="str">
        <f>_xlfn.XLOOKUP(G715,SM[Employee ID],SM[Region])</f>
        <v>West</v>
      </c>
      <c r="J715" t="str">
        <f>_xlfn.XLOOKUP(G715,SM[Employee ID],SM[State/City])</f>
        <v>Ahmedabad</v>
      </c>
      <c r="K715" s="2">
        <f>_xlfn.XLOOKUP(Sales[[#This Row],[Order ID]],ST[Order ID],ST[Units Sold])</f>
        <v>10</v>
      </c>
      <c r="L715">
        <f t="shared" si="11"/>
        <v>77000</v>
      </c>
    </row>
    <row r="716" spans="1:12" x14ac:dyDescent="0.35">
      <c r="A716" s="7">
        <v>1731</v>
      </c>
      <c r="B716" s="1">
        <v>45636</v>
      </c>
      <c r="C716" s="2" t="s">
        <v>14</v>
      </c>
      <c r="D716" t="str">
        <f>_xlfn.XLOOKUP(Merged_Sales_Data!C716,PM[Product ID],PM[Product Name])</f>
        <v>Laptop Backpack</v>
      </c>
      <c r="E716" t="str">
        <f>VLOOKUP(C716,PM[],3,FALSE)</f>
        <v>Accessories</v>
      </c>
      <c r="F716">
        <f>_xlfn.XLOOKUP(C716,PM[Product ID],PM[Unit Price (₹)])</f>
        <v>1110</v>
      </c>
      <c r="G716" t="str">
        <f>_xlfn.XLOOKUP(Sales[[#This Row],[Order ID]],ST[Order ID],ST[Employee ID])</f>
        <v>E01</v>
      </c>
      <c r="H716" t="str">
        <f>_xlfn.XLOOKUP(G716,SM[Employee ID],SM[Salesperson])</f>
        <v>Aarav Sharma</v>
      </c>
      <c r="I716" t="str">
        <f>_xlfn.XLOOKUP(G716,SM[Employee ID],SM[Region])</f>
        <v>North</v>
      </c>
      <c r="J716" t="str">
        <f>_xlfn.XLOOKUP(G716,SM[Employee ID],SM[State/City])</f>
        <v>Lucknow</v>
      </c>
      <c r="K716" s="2">
        <f>_xlfn.XLOOKUP(Sales[[#This Row],[Order ID]],ST[Order ID],ST[Units Sold])</f>
        <v>1</v>
      </c>
      <c r="L716">
        <f t="shared" si="11"/>
        <v>1110</v>
      </c>
    </row>
    <row r="717" spans="1:12" x14ac:dyDescent="0.35">
      <c r="A717" s="7">
        <v>1736</v>
      </c>
      <c r="B717" s="1">
        <v>45636</v>
      </c>
      <c r="C717" s="2" t="s">
        <v>12</v>
      </c>
      <c r="D717" t="str">
        <f>_xlfn.XLOOKUP(Merged_Sales_Data!C717,PM[Product ID],PM[Product Name])</f>
        <v>Bookshelf Unit</v>
      </c>
      <c r="E717" t="str">
        <f>VLOOKUP(C717,PM[],3,FALSE)</f>
        <v>Furniture</v>
      </c>
      <c r="F717">
        <f>_xlfn.XLOOKUP(C717,PM[Product ID],PM[Unit Price (₹)])</f>
        <v>3910</v>
      </c>
      <c r="G717" t="str">
        <f>_xlfn.XLOOKUP(Sales[[#This Row],[Order ID]],ST[Order ID],ST[Employee ID])</f>
        <v>E08</v>
      </c>
      <c r="H717" t="str">
        <f>_xlfn.XLOOKUP(G717,SM[Employee ID],SM[Salesperson])</f>
        <v>Neha Joshi</v>
      </c>
      <c r="I717" t="str">
        <f>_xlfn.XLOOKUP(G717,SM[Employee ID],SM[Region])</f>
        <v>West</v>
      </c>
      <c r="J717" t="str">
        <f>_xlfn.XLOOKUP(G717,SM[Employee ID],SM[State/City])</f>
        <v>Ahmedabad</v>
      </c>
      <c r="K717" s="2">
        <f>_xlfn.XLOOKUP(Sales[[#This Row],[Order ID]],ST[Order ID],ST[Units Sold])</f>
        <v>1</v>
      </c>
      <c r="L717">
        <f t="shared" si="11"/>
        <v>3910</v>
      </c>
    </row>
    <row r="718" spans="1:12" x14ac:dyDescent="0.35">
      <c r="A718" s="7">
        <v>1709</v>
      </c>
      <c r="B718" s="1">
        <v>45637</v>
      </c>
      <c r="C718" s="2" t="s">
        <v>12</v>
      </c>
      <c r="D718" t="str">
        <f>_xlfn.XLOOKUP(Merged_Sales_Data!C718,PM[Product ID],PM[Product Name])</f>
        <v>Bookshelf Unit</v>
      </c>
      <c r="E718" t="str">
        <f>VLOOKUP(C718,PM[],3,FALSE)</f>
        <v>Furniture</v>
      </c>
      <c r="F718">
        <f>_xlfn.XLOOKUP(C718,PM[Product ID],PM[Unit Price (₹)])</f>
        <v>3910</v>
      </c>
      <c r="G718" t="str">
        <f>_xlfn.XLOOKUP(Sales[[#This Row],[Order ID]],ST[Order ID],ST[Employee ID])</f>
        <v>E07</v>
      </c>
      <c r="H718" t="str">
        <f>_xlfn.XLOOKUP(G718,SM[Employee ID],SM[Salesperson])</f>
        <v>Aditya Kapoor</v>
      </c>
      <c r="I718" t="str">
        <f>_xlfn.XLOOKUP(G718,SM[Employee ID],SM[Region])</f>
        <v>West</v>
      </c>
      <c r="J718" t="str">
        <f>_xlfn.XLOOKUP(G718,SM[Employee ID],SM[State/City])</f>
        <v>Mumbai</v>
      </c>
      <c r="K718" s="2">
        <f>_xlfn.XLOOKUP(Sales[[#This Row],[Order ID]],ST[Order ID],ST[Units Sold])</f>
        <v>5</v>
      </c>
      <c r="L718">
        <f t="shared" si="11"/>
        <v>19550</v>
      </c>
    </row>
    <row r="719" spans="1:12" x14ac:dyDescent="0.35">
      <c r="A719" s="7">
        <v>1710</v>
      </c>
      <c r="B719" s="1">
        <v>45637</v>
      </c>
      <c r="C719" s="2" t="s">
        <v>18</v>
      </c>
      <c r="D719" t="str">
        <f>_xlfn.XLOOKUP(Merged_Sales_Data!C719,PM[Product ID],PM[Product Name])</f>
        <v>LED Monitor 24"</v>
      </c>
      <c r="E719" t="str">
        <f>VLOOKUP(C719,PM[],3,FALSE)</f>
        <v>Electronics</v>
      </c>
      <c r="F719">
        <f>_xlfn.XLOOKUP(C719,PM[Product ID],PM[Unit Price (₹)])</f>
        <v>7700</v>
      </c>
      <c r="G719" t="str">
        <f>_xlfn.XLOOKUP(Sales[[#This Row],[Order ID]],ST[Order ID],ST[Employee ID])</f>
        <v>E07</v>
      </c>
      <c r="H719" t="str">
        <f>_xlfn.XLOOKUP(G719,SM[Employee ID],SM[Salesperson])</f>
        <v>Aditya Kapoor</v>
      </c>
      <c r="I719" t="str">
        <f>_xlfn.XLOOKUP(G719,SM[Employee ID],SM[Region])</f>
        <v>West</v>
      </c>
      <c r="J719" t="str">
        <f>_xlfn.XLOOKUP(G719,SM[Employee ID],SM[State/City])</f>
        <v>Mumbai</v>
      </c>
      <c r="K719" s="2">
        <f>_xlfn.XLOOKUP(Sales[[#This Row],[Order ID]],ST[Order ID],ST[Units Sold])</f>
        <v>2</v>
      </c>
      <c r="L719">
        <f t="shared" si="11"/>
        <v>15400</v>
      </c>
    </row>
    <row r="720" spans="1:12" x14ac:dyDescent="0.35">
      <c r="A720" s="7">
        <v>1733</v>
      </c>
      <c r="B720" s="1">
        <v>45637</v>
      </c>
      <c r="C720" s="2" t="s">
        <v>12</v>
      </c>
      <c r="D720" t="str">
        <f>_xlfn.XLOOKUP(Merged_Sales_Data!C720,PM[Product ID],PM[Product Name])</f>
        <v>Bookshelf Unit</v>
      </c>
      <c r="E720" t="str">
        <f>VLOOKUP(C720,PM[],3,FALSE)</f>
        <v>Furniture</v>
      </c>
      <c r="F720">
        <f>_xlfn.XLOOKUP(C720,PM[Product ID],PM[Unit Price (₹)])</f>
        <v>3910</v>
      </c>
      <c r="G720" t="str">
        <f>_xlfn.XLOOKUP(Sales[[#This Row],[Order ID]],ST[Order ID],ST[Employee ID])</f>
        <v>E03</v>
      </c>
      <c r="H720" t="str">
        <f>_xlfn.XLOOKUP(G720,SM[Employee ID],SM[Salesperson])</f>
        <v>Rohan Mehta</v>
      </c>
      <c r="I720" t="str">
        <f>_xlfn.XLOOKUP(G720,SM[Employee ID],SM[Region])</f>
        <v>South</v>
      </c>
      <c r="J720" t="str">
        <f>_xlfn.XLOOKUP(G720,SM[Employee ID],SM[State/City])</f>
        <v>Bengaluru</v>
      </c>
      <c r="K720" s="2">
        <f>_xlfn.XLOOKUP(Sales[[#This Row],[Order ID]],ST[Order ID],ST[Units Sold])</f>
        <v>2</v>
      </c>
      <c r="L720">
        <f t="shared" si="11"/>
        <v>7820</v>
      </c>
    </row>
    <row r="721" spans="1:12" x14ac:dyDescent="0.35">
      <c r="A721" s="7">
        <v>1730</v>
      </c>
      <c r="B721" s="1">
        <v>45638</v>
      </c>
      <c r="C721" s="2" t="s">
        <v>8</v>
      </c>
      <c r="D721" t="str">
        <f>_xlfn.XLOOKUP(Merged_Sales_Data!C721,PM[Product ID],PM[Product Name])</f>
        <v>USB-C Hub</v>
      </c>
      <c r="E721" t="str">
        <f>VLOOKUP(C721,PM[],3,FALSE)</f>
        <v>Accessories</v>
      </c>
      <c r="F721">
        <f>_xlfn.XLOOKUP(C721,PM[Product ID],PM[Unit Price (₹)])</f>
        <v>880</v>
      </c>
      <c r="G721" t="str">
        <f>_xlfn.XLOOKUP(Sales[[#This Row],[Order ID]],ST[Order ID],ST[Employee ID])</f>
        <v>E08</v>
      </c>
      <c r="H721" t="str">
        <f>_xlfn.XLOOKUP(G721,SM[Employee ID],SM[Salesperson])</f>
        <v>Neha Joshi</v>
      </c>
      <c r="I721" t="str">
        <f>_xlfn.XLOOKUP(G721,SM[Employee ID],SM[Region])</f>
        <v>West</v>
      </c>
      <c r="J721" t="str">
        <f>_xlfn.XLOOKUP(G721,SM[Employee ID],SM[State/City])</f>
        <v>Ahmedabad</v>
      </c>
      <c r="K721" s="2">
        <f>_xlfn.XLOOKUP(Sales[[#This Row],[Order ID]],ST[Order ID],ST[Units Sold])</f>
        <v>1</v>
      </c>
      <c r="L721">
        <f t="shared" si="11"/>
        <v>880</v>
      </c>
    </row>
    <row r="722" spans="1:12" x14ac:dyDescent="0.35">
      <c r="A722" s="7">
        <v>1713</v>
      </c>
      <c r="B722" s="1">
        <v>45639</v>
      </c>
      <c r="C722" s="2" t="s">
        <v>5</v>
      </c>
      <c r="D722" t="str">
        <f>_xlfn.XLOOKUP(Merged_Sales_Data!C722,PM[Product ID],PM[Product Name])</f>
        <v>Ergo Office Chair</v>
      </c>
      <c r="E722" t="str">
        <f>VLOOKUP(C722,PM[],3,FALSE)</f>
        <v>Office Supplies</v>
      </c>
      <c r="F722">
        <f>_xlfn.XLOOKUP(C722,PM[Product ID],PM[Unit Price (₹)])</f>
        <v>6750</v>
      </c>
      <c r="G722" t="str">
        <f>_xlfn.XLOOKUP(Sales[[#This Row],[Order ID]],ST[Order ID],ST[Employee ID])</f>
        <v>E08</v>
      </c>
      <c r="H722" t="str">
        <f>_xlfn.XLOOKUP(G722,SM[Employee ID],SM[Salesperson])</f>
        <v>Neha Joshi</v>
      </c>
      <c r="I722" t="str">
        <f>_xlfn.XLOOKUP(G722,SM[Employee ID],SM[Region])</f>
        <v>West</v>
      </c>
      <c r="J722" t="str">
        <f>_xlfn.XLOOKUP(G722,SM[Employee ID],SM[State/City])</f>
        <v>Ahmedabad</v>
      </c>
      <c r="K722" s="2">
        <f>_xlfn.XLOOKUP(Sales[[#This Row],[Order ID]],ST[Order ID],ST[Units Sold])</f>
        <v>3</v>
      </c>
      <c r="L722">
        <f t="shared" si="11"/>
        <v>20250</v>
      </c>
    </row>
    <row r="723" spans="1:12" x14ac:dyDescent="0.35">
      <c r="A723" s="7">
        <v>1729</v>
      </c>
      <c r="B723" s="1">
        <v>45639</v>
      </c>
      <c r="C723" s="2" t="s">
        <v>14</v>
      </c>
      <c r="D723" t="str">
        <f>_xlfn.XLOOKUP(Merged_Sales_Data!C723,PM[Product ID],PM[Product Name])</f>
        <v>Laptop Backpack</v>
      </c>
      <c r="E723" t="str">
        <f>VLOOKUP(C723,PM[],3,FALSE)</f>
        <v>Accessories</v>
      </c>
      <c r="F723">
        <f>_xlfn.XLOOKUP(C723,PM[Product ID],PM[Unit Price (₹)])</f>
        <v>1110</v>
      </c>
      <c r="G723" t="str">
        <f>_xlfn.XLOOKUP(Sales[[#This Row],[Order ID]],ST[Order ID],ST[Employee ID])</f>
        <v>E04</v>
      </c>
      <c r="H723" t="str">
        <f>_xlfn.XLOOKUP(G723,SM[Employee ID],SM[Salesperson])</f>
        <v>Priya Nair</v>
      </c>
      <c r="I723" t="str">
        <f>_xlfn.XLOOKUP(G723,SM[Employee ID],SM[Region])</f>
        <v>South</v>
      </c>
      <c r="J723" t="str">
        <f>_xlfn.XLOOKUP(G723,SM[Employee ID],SM[State/City])</f>
        <v>Bengaluru</v>
      </c>
      <c r="K723" s="2">
        <f>_xlfn.XLOOKUP(Sales[[#This Row],[Order ID]],ST[Order ID],ST[Units Sold])</f>
        <v>3</v>
      </c>
      <c r="L723">
        <f t="shared" si="11"/>
        <v>3330</v>
      </c>
    </row>
    <row r="724" spans="1:12" x14ac:dyDescent="0.35">
      <c r="A724" s="7">
        <v>1740</v>
      </c>
      <c r="B724" s="1">
        <v>45640</v>
      </c>
      <c r="C724" s="2" t="s">
        <v>12</v>
      </c>
      <c r="D724" t="str">
        <f>_xlfn.XLOOKUP(Merged_Sales_Data!C724,PM[Product ID],PM[Product Name])</f>
        <v>Bookshelf Unit</v>
      </c>
      <c r="E724" t="str">
        <f>VLOOKUP(C724,PM[],3,FALSE)</f>
        <v>Furniture</v>
      </c>
      <c r="F724">
        <f>_xlfn.XLOOKUP(C724,PM[Product ID],PM[Unit Price (₹)])</f>
        <v>3910</v>
      </c>
      <c r="G724" t="str">
        <f>_xlfn.XLOOKUP(Sales[[#This Row],[Order ID]],ST[Order ID],ST[Employee ID])</f>
        <v>E03</v>
      </c>
      <c r="H724" t="str">
        <f>_xlfn.XLOOKUP(G724,SM[Employee ID],SM[Salesperson])</f>
        <v>Rohan Mehta</v>
      </c>
      <c r="I724" t="str">
        <f>_xlfn.XLOOKUP(G724,SM[Employee ID],SM[Region])</f>
        <v>South</v>
      </c>
      <c r="J724" t="str">
        <f>_xlfn.XLOOKUP(G724,SM[Employee ID],SM[State/City])</f>
        <v>Bengaluru</v>
      </c>
      <c r="K724" s="2">
        <f>_xlfn.XLOOKUP(Sales[[#This Row],[Order ID]],ST[Order ID],ST[Units Sold])</f>
        <v>6</v>
      </c>
      <c r="L724">
        <f t="shared" si="11"/>
        <v>23460</v>
      </c>
    </row>
    <row r="725" spans="1:12" x14ac:dyDescent="0.35">
      <c r="A725" s="7">
        <v>1716</v>
      </c>
      <c r="B725" s="1">
        <v>45641</v>
      </c>
      <c r="C725" s="2" t="s">
        <v>14</v>
      </c>
      <c r="D725" t="str">
        <f>_xlfn.XLOOKUP(Merged_Sales_Data!C725,PM[Product ID],PM[Product Name])</f>
        <v>Laptop Backpack</v>
      </c>
      <c r="E725" t="str">
        <f>VLOOKUP(C725,PM[],3,FALSE)</f>
        <v>Accessories</v>
      </c>
      <c r="F725">
        <f>_xlfn.XLOOKUP(C725,PM[Product ID],PM[Unit Price (₹)])</f>
        <v>1110</v>
      </c>
      <c r="G725" t="str">
        <f>_xlfn.XLOOKUP(Sales[[#This Row],[Order ID]],ST[Order ID],ST[Employee ID])</f>
        <v>E01</v>
      </c>
      <c r="H725" t="str">
        <f>_xlfn.XLOOKUP(G725,SM[Employee ID],SM[Salesperson])</f>
        <v>Aarav Sharma</v>
      </c>
      <c r="I725" t="str">
        <f>_xlfn.XLOOKUP(G725,SM[Employee ID],SM[Region])</f>
        <v>North</v>
      </c>
      <c r="J725" t="str">
        <f>_xlfn.XLOOKUP(G725,SM[Employee ID],SM[State/City])</f>
        <v>Lucknow</v>
      </c>
      <c r="K725" s="2">
        <f>_xlfn.XLOOKUP(Sales[[#This Row],[Order ID]],ST[Order ID],ST[Units Sold])</f>
        <v>2</v>
      </c>
      <c r="L725">
        <f t="shared" si="11"/>
        <v>2220</v>
      </c>
    </row>
    <row r="726" spans="1:12" x14ac:dyDescent="0.35">
      <c r="A726" s="7">
        <v>1720</v>
      </c>
      <c r="B726" s="1">
        <v>45641</v>
      </c>
      <c r="C726" s="2" t="s">
        <v>10</v>
      </c>
      <c r="D726" t="str">
        <f>_xlfn.XLOOKUP(Merged_Sales_Data!C726,PM[Product ID],PM[Product Name])</f>
        <v>Filing Cabinet</v>
      </c>
      <c r="E726" t="str">
        <f>VLOOKUP(C726,PM[],3,FALSE)</f>
        <v>Furniture</v>
      </c>
      <c r="F726">
        <f>_xlfn.XLOOKUP(C726,PM[Product ID],PM[Unit Price (₹)])</f>
        <v>4070</v>
      </c>
      <c r="G726" t="str">
        <f>_xlfn.XLOOKUP(Sales[[#This Row],[Order ID]],ST[Order ID],ST[Employee ID])</f>
        <v>E07</v>
      </c>
      <c r="H726" t="str">
        <f>_xlfn.XLOOKUP(G726,SM[Employee ID],SM[Salesperson])</f>
        <v>Aditya Kapoor</v>
      </c>
      <c r="I726" t="str">
        <f>_xlfn.XLOOKUP(G726,SM[Employee ID],SM[Region])</f>
        <v>West</v>
      </c>
      <c r="J726" t="str">
        <f>_xlfn.XLOOKUP(G726,SM[Employee ID],SM[State/City])</f>
        <v>Mumbai</v>
      </c>
      <c r="K726" s="2">
        <f>_xlfn.XLOOKUP(Sales[[#This Row],[Order ID]],ST[Order ID],ST[Units Sold])</f>
        <v>1</v>
      </c>
      <c r="L726">
        <f t="shared" si="11"/>
        <v>4070</v>
      </c>
    </row>
    <row r="727" spans="1:12" x14ac:dyDescent="0.35">
      <c r="A727" s="7">
        <v>1735</v>
      </c>
      <c r="B727" s="1">
        <v>45641</v>
      </c>
      <c r="C727" s="2" t="s">
        <v>14</v>
      </c>
      <c r="D727" t="str">
        <f>_xlfn.XLOOKUP(Merged_Sales_Data!C727,PM[Product ID],PM[Product Name])</f>
        <v>Laptop Backpack</v>
      </c>
      <c r="E727" t="str">
        <f>VLOOKUP(C727,PM[],3,FALSE)</f>
        <v>Accessories</v>
      </c>
      <c r="F727">
        <f>_xlfn.XLOOKUP(C727,PM[Product ID],PM[Unit Price (₹)])</f>
        <v>1110</v>
      </c>
      <c r="G727" t="str">
        <f>_xlfn.XLOOKUP(Sales[[#This Row],[Order ID]],ST[Order ID],ST[Employee ID])</f>
        <v>E06</v>
      </c>
      <c r="H727" t="str">
        <f>_xlfn.XLOOKUP(G727,SM[Employee ID],SM[Salesperson])</f>
        <v>Sneha Roy</v>
      </c>
      <c r="I727" t="str">
        <f>_xlfn.XLOOKUP(G727,SM[Employee ID],SM[Region])</f>
        <v>East</v>
      </c>
      <c r="J727" t="str">
        <f>_xlfn.XLOOKUP(G727,SM[Employee ID],SM[State/City])</f>
        <v>Kolkata</v>
      </c>
      <c r="K727" s="2">
        <f>_xlfn.XLOOKUP(Sales[[#This Row],[Order ID]],ST[Order ID],ST[Units Sold])</f>
        <v>1</v>
      </c>
      <c r="L727">
        <f t="shared" si="11"/>
        <v>1110</v>
      </c>
    </row>
    <row r="728" spans="1:12" x14ac:dyDescent="0.35">
      <c r="A728" s="7">
        <v>1734</v>
      </c>
      <c r="B728" s="1">
        <v>45642</v>
      </c>
      <c r="C728" s="2" t="s">
        <v>5</v>
      </c>
      <c r="D728" t="str">
        <f>_xlfn.XLOOKUP(Merged_Sales_Data!C728,PM[Product ID],PM[Product Name])</f>
        <v>Ergo Office Chair</v>
      </c>
      <c r="E728" t="str">
        <f>VLOOKUP(C728,PM[],3,FALSE)</f>
        <v>Office Supplies</v>
      </c>
      <c r="F728">
        <f>_xlfn.XLOOKUP(C728,PM[Product ID],PM[Unit Price (₹)])</f>
        <v>6750</v>
      </c>
      <c r="G728" t="str">
        <f>_xlfn.XLOOKUP(Sales[[#This Row],[Order ID]],ST[Order ID],ST[Employee ID])</f>
        <v>E08</v>
      </c>
      <c r="H728" t="str">
        <f>_xlfn.XLOOKUP(G728,SM[Employee ID],SM[Salesperson])</f>
        <v>Neha Joshi</v>
      </c>
      <c r="I728" t="str">
        <f>_xlfn.XLOOKUP(G728,SM[Employee ID],SM[Region])</f>
        <v>West</v>
      </c>
      <c r="J728" t="str">
        <f>_xlfn.XLOOKUP(G728,SM[Employee ID],SM[State/City])</f>
        <v>Ahmedabad</v>
      </c>
      <c r="K728" s="2">
        <f>_xlfn.XLOOKUP(Sales[[#This Row],[Order ID]],ST[Order ID],ST[Units Sold])</f>
        <v>6</v>
      </c>
      <c r="L728">
        <f t="shared" si="11"/>
        <v>40500</v>
      </c>
    </row>
    <row r="729" spans="1:12" x14ac:dyDescent="0.35">
      <c r="A729" s="7">
        <v>1721</v>
      </c>
      <c r="B729" s="1">
        <v>45643</v>
      </c>
      <c r="C729" s="2" t="s">
        <v>10</v>
      </c>
      <c r="D729" t="str">
        <f>_xlfn.XLOOKUP(Merged_Sales_Data!C729,PM[Product ID],PM[Product Name])</f>
        <v>Filing Cabinet</v>
      </c>
      <c r="E729" t="str">
        <f>VLOOKUP(C729,PM[],3,FALSE)</f>
        <v>Furniture</v>
      </c>
      <c r="F729">
        <f>_xlfn.XLOOKUP(C729,PM[Product ID],PM[Unit Price (₹)])</f>
        <v>4070</v>
      </c>
      <c r="G729" t="str">
        <f>_xlfn.XLOOKUP(Sales[[#This Row],[Order ID]],ST[Order ID],ST[Employee ID])</f>
        <v>E08</v>
      </c>
      <c r="H729" t="str">
        <f>_xlfn.XLOOKUP(G729,SM[Employee ID],SM[Salesperson])</f>
        <v>Neha Joshi</v>
      </c>
      <c r="I729" t="str">
        <f>_xlfn.XLOOKUP(G729,SM[Employee ID],SM[Region])</f>
        <v>West</v>
      </c>
      <c r="J729" t="str">
        <f>_xlfn.XLOOKUP(G729,SM[Employee ID],SM[State/City])</f>
        <v>Ahmedabad</v>
      </c>
      <c r="K729" s="2">
        <f>_xlfn.XLOOKUP(Sales[[#This Row],[Order ID]],ST[Order ID],ST[Units Sold])</f>
        <v>6</v>
      </c>
      <c r="L729">
        <f t="shared" si="11"/>
        <v>24420</v>
      </c>
    </row>
    <row r="730" spans="1:12" x14ac:dyDescent="0.35">
      <c r="A730" s="7">
        <v>1725</v>
      </c>
      <c r="B730" s="1">
        <v>45646</v>
      </c>
      <c r="C730" s="2" t="s">
        <v>18</v>
      </c>
      <c r="D730" t="str">
        <f>_xlfn.XLOOKUP(Merged_Sales_Data!C730,PM[Product ID],PM[Product Name])</f>
        <v>LED Monitor 24"</v>
      </c>
      <c r="E730" t="str">
        <f>VLOOKUP(C730,PM[],3,FALSE)</f>
        <v>Electronics</v>
      </c>
      <c r="F730">
        <f>_xlfn.XLOOKUP(C730,PM[Product ID],PM[Unit Price (₹)])</f>
        <v>7700</v>
      </c>
      <c r="G730" t="str">
        <f>_xlfn.XLOOKUP(Sales[[#This Row],[Order ID]],ST[Order ID],ST[Employee ID])</f>
        <v>E06</v>
      </c>
      <c r="H730" t="str">
        <f>_xlfn.XLOOKUP(G730,SM[Employee ID],SM[Salesperson])</f>
        <v>Sneha Roy</v>
      </c>
      <c r="I730" t="str">
        <f>_xlfn.XLOOKUP(G730,SM[Employee ID],SM[Region])</f>
        <v>East</v>
      </c>
      <c r="J730" t="str">
        <f>_xlfn.XLOOKUP(G730,SM[Employee ID],SM[State/City])</f>
        <v>Kolkata</v>
      </c>
      <c r="K730" s="2">
        <f>_xlfn.XLOOKUP(Sales[[#This Row],[Order ID]],ST[Order ID],ST[Units Sold])</f>
        <v>10</v>
      </c>
      <c r="L730">
        <f t="shared" si="11"/>
        <v>77000</v>
      </c>
    </row>
    <row r="731" spans="1:12" x14ac:dyDescent="0.35">
      <c r="A731" s="7">
        <v>1723</v>
      </c>
      <c r="B731" s="1">
        <v>45647</v>
      </c>
      <c r="C731" s="2" t="s">
        <v>8</v>
      </c>
      <c r="D731" t="str">
        <f>_xlfn.XLOOKUP(Merged_Sales_Data!C731,PM[Product ID],PM[Product Name])</f>
        <v>USB-C Hub</v>
      </c>
      <c r="E731" t="str">
        <f>VLOOKUP(C731,PM[],3,FALSE)</f>
        <v>Accessories</v>
      </c>
      <c r="F731">
        <f>_xlfn.XLOOKUP(C731,PM[Product ID],PM[Unit Price (₹)])</f>
        <v>880</v>
      </c>
      <c r="G731" t="str">
        <f>_xlfn.XLOOKUP(Sales[[#This Row],[Order ID]],ST[Order ID],ST[Employee ID])</f>
        <v>E06</v>
      </c>
      <c r="H731" t="str">
        <f>_xlfn.XLOOKUP(G731,SM[Employee ID],SM[Salesperson])</f>
        <v>Sneha Roy</v>
      </c>
      <c r="I731" t="str">
        <f>_xlfn.XLOOKUP(G731,SM[Employee ID],SM[Region])</f>
        <v>East</v>
      </c>
      <c r="J731" t="str">
        <f>_xlfn.XLOOKUP(G731,SM[Employee ID],SM[State/City])</f>
        <v>Kolkata</v>
      </c>
      <c r="K731" s="2">
        <f>_xlfn.XLOOKUP(Sales[[#This Row],[Order ID]],ST[Order ID],ST[Units Sold])</f>
        <v>8</v>
      </c>
      <c r="L731">
        <f t="shared" si="11"/>
        <v>7040</v>
      </c>
    </row>
    <row r="732" spans="1:12" x14ac:dyDescent="0.35">
      <c r="A732" s="7">
        <v>1741</v>
      </c>
      <c r="B732" s="1">
        <v>45647</v>
      </c>
      <c r="C732" s="2" t="s">
        <v>5</v>
      </c>
      <c r="D732" t="str">
        <f>_xlfn.XLOOKUP(Merged_Sales_Data!C732,PM[Product ID],PM[Product Name])</f>
        <v>Ergo Office Chair</v>
      </c>
      <c r="E732" t="str">
        <f>VLOOKUP(C732,PM[],3,FALSE)</f>
        <v>Office Supplies</v>
      </c>
      <c r="F732">
        <f>_xlfn.XLOOKUP(C732,PM[Product ID],PM[Unit Price (₹)])</f>
        <v>6750</v>
      </c>
      <c r="G732" t="str">
        <f>_xlfn.XLOOKUP(Sales[[#This Row],[Order ID]],ST[Order ID],ST[Employee ID])</f>
        <v>E08</v>
      </c>
      <c r="H732" t="str">
        <f>_xlfn.XLOOKUP(G732,SM[Employee ID],SM[Salesperson])</f>
        <v>Neha Joshi</v>
      </c>
      <c r="I732" t="str">
        <f>_xlfn.XLOOKUP(G732,SM[Employee ID],SM[Region])</f>
        <v>West</v>
      </c>
      <c r="J732" t="str">
        <f>_xlfn.XLOOKUP(G732,SM[Employee ID],SM[State/City])</f>
        <v>Ahmedabad</v>
      </c>
      <c r="K732" s="2">
        <f>_xlfn.XLOOKUP(Sales[[#This Row],[Order ID]],ST[Order ID],ST[Units Sold])</f>
        <v>4</v>
      </c>
      <c r="L732">
        <f t="shared" si="11"/>
        <v>27000</v>
      </c>
    </row>
    <row r="733" spans="1:12" x14ac:dyDescent="0.35">
      <c r="A733" s="7">
        <v>1715</v>
      </c>
      <c r="B733" s="1">
        <v>45648</v>
      </c>
      <c r="C733" s="2" t="s">
        <v>8</v>
      </c>
      <c r="D733" t="str">
        <f>_xlfn.XLOOKUP(Merged_Sales_Data!C733,PM[Product ID],PM[Product Name])</f>
        <v>USB-C Hub</v>
      </c>
      <c r="E733" t="str">
        <f>VLOOKUP(C733,PM[],3,FALSE)</f>
        <v>Accessories</v>
      </c>
      <c r="F733">
        <f>_xlfn.XLOOKUP(C733,PM[Product ID],PM[Unit Price (₹)])</f>
        <v>880</v>
      </c>
      <c r="G733" t="str">
        <f>_xlfn.XLOOKUP(Sales[[#This Row],[Order ID]],ST[Order ID],ST[Employee ID])</f>
        <v>E04</v>
      </c>
      <c r="H733" t="str">
        <f>_xlfn.XLOOKUP(G733,SM[Employee ID],SM[Salesperson])</f>
        <v>Priya Nair</v>
      </c>
      <c r="I733" t="str">
        <f>_xlfn.XLOOKUP(G733,SM[Employee ID],SM[Region])</f>
        <v>South</v>
      </c>
      <c r="J733" t="str">
        <f>_xlfn.XLOOKUP(G733,SM[Employee ID],SM[State/City])</f>
        <v>Bengaluru</v>
      </c>
      <c r="K733" s="2">
        <f>_xlfn.XLOOKUP(Sales[[#This Row],[Order ID]],ST[Order ID],ST[Units Sold])</f>
        <v>1</v>
      </c>
      <c r="L733">
        <f t="shared" si="11"/>
        <v>880</v>
      </c>
    </row>
    <row r="734" spans="1:12" x14ac:dyDescent="0.35">
      <c r="A734" s="7">
        <v>1717</v>
      </c>
      <c r="B734" s="1">
        <v>45648</v>
      </c>
      <c r="C734" s="2" t="s">
        <v>11</v>
      </c>
      <c r="D734" t="str">
        <f>_xlfn.XLOOKUP(Merged_Sales_Data!C734,PM[Product ID],PM[Product Name])</f>
        <v>Bluetooth Speaker</v>
      </c>
      <c r="E734" t="str">
        <f>VLOOKUP(C734,PM[],3,FALSE)</f>
        <v>Electronics</v>
      </c>
      <c r="F734">
        <f>_xlfn.XLOOKUP(C734,PM[Product ID],PM[Unit Price (₹)])</f>
        <v>1430</v>
      </c>
      <c r="G734" t="str">
        <f>_xlfn.XLOOKUP(Sales[[#This Row],[Order ID]],ST[Order ID],ST[Employee ID])</f>
        <v>E05</v>
      </c>
      <c r="H734" t="str">
        <f>_xlfn.XLOOKUP(G734,SM[Employee ID],SM[Salesperson])</f>
        <v>Karan Malhotra</v>
      </c>
      <c r="I734" t="str">
        <f>_xlfn.XLOOKUP(G734,SM[Employee ID],SM[Region])</f>
        <v>East</v>
      </c>
      <c r="J734" t="str">
        <f>_xlfn.XLOOKUP(G734,SM[Employee ID],SM[State/City])</f>
        <v>Kolkata</v>
      </c>
      <c r="K734" s="2">
        <f>_xlfn.XLOOKUP(Sales[[#This Row],[Order ID]],ST[Order ID],ST[Units Sold])</f>
        <v>4</v>
      </c>
      <c r="L734">
        <f t="shared" si="11"/>
        <v>5720</v>
      </c>
    </row>
    <row r="735" spans="1:12" x14ac:dyDescent="0.35">
      <c r="A735" s="7">
        <v>1724</v>
      </c>
      <c r="B735" s="1">
        <v>45648</v>
      </c>
      <c r="C735" s="2" t="s">
        <v>11</v>
      </c>
      <c r="D735" t="str">
        <f>_xlfn.XLOOKUP(Merged_Sales_Data!C735,PM[Product ID],PM[Product Name])</f>
        <v>Bluetooth Speaker</v>
      </c>
      <c r="E735" t="str">
        <f>VLOOKUP(C735,PM[],3,FALSE)</f>
        <v>Electronics</v>
      </c>
      <c r="F735">
        <f>_xlfn.XLOOKUP(C735,PM[Product ID],PM[Unit Price (₹)])</f>
        <v>1430</v>
      </c>
      <c r="G735" t="str">
        <f>_xlfn.XLOOKUP(Sales[[#This Row],[Order ID]],ST[Order ID],ST[Employee ID])</f>
        <v>E02</v>
      </c>
      <c r="H735" t="str">
        <f>_xlfn.XLOOKUP(G735,SM[Employee ID],SM[Salesperson])</f>
        <v>Ishita Verma</v>
      </c>
      <c r="I735" t="str">
        <f>_xlfn.XLOOKUP(G735,SM[Employee ID],SM[Region])</f>
        <v>North</v>
      </c>
      <c r="J735" t="str">
        <f>_xlfn.XLOOKUP(G735,SM[Employee ID],SM[State/City])</f>
        <v>Chandigarh</v>
      </c>
      <c r="K735" s="2">
        <f>_xlfn.XLOOKUP(Sales[[#This Row],[Order ID]],ST[Order ID],ST[Units Sold])</f>
        <v>2</v>
      </c>
      <c r="L735">
        <f t="shared" si="11"/>
        <v>2860</v>
      </c>
    </row>
    <row r="736" spans="1:12" x14ac:dyDescent="0.35">
      <c r="A736" s="7">
        <v>1742</v>
      </c>
      <c r="B736" s="1">
        <v>45648</v>
      </c>
      <c r="C736" s="2" t="s">
        <v>18</v>
      </c>
      <c r="D736" t="str">
        <f>_xlfn.XLOOKUP(Merged_Sales_Data!C736,PM[Product ID],PM[Product Name])</f>
        <v>LED Monitor 24"</v>
      </c>
      <c r="E736" t="str">
        <f>VLOOKUP(C736,PM[],3,FALSE)</f>
        <v>Electronics</v>
      </c>
      <c r="F736">
        <f>_xlfn.XLOOKUP(C736,PM[Product ID],PM[Unit Price (₹)])</f>
        <v>7700</v>
      </c>
      <c r="G736" t="str">
        <f>_xlfn.XLOOKUP(Sales[[#This Row],[Order ID]],ST[Order ID],ST[Employee ID])</f>
        <v>E03</v>
      </c>
      <c r="H736" t="str">
        <f>_xlfn.XLOOKUP(G736,SM[Employee ID],SM[Salesperson])</f>
        <v>Rohan Mehta</v>
      </c>
      <c r="I736" t="str">
        <f>_xlfn.XLOOKUP(G736,SM[Employee ID],SM[Region])</f>
        <v>South</v>
      </c>
      <c r="J736" t="str">
        <f>_xlfn.XLOOKUP(G736,SM[Employee ID],SM[State/City])</f>
        <v>Bengaluru</v>
      </c>
      <c r="K736" s="2">
        <f>_xlfn.XLOOKUP(Sales[[#This Row],[Order ID]],ST[Order ID],ST[Units Sold])</f>
        <v>10</v>
      </c>
      <c r="L736">
        <f t="shared" si="11"/>
        <v>77000</v>
      </c>
    </row>
    <row r="737" spans="1:12" x14ac:dyDescent="0.35">
      <c r="A737" s="7">
        <v>1712</v>
      </c>
      <c r="B737" s="1">
        <v>45650</v>
      </c>
      <c r="C737" s="2" t="s">
        <v>12</v>
      </c>
      <c r="D737" t="str">
        <f>_xlfn.XLOOKUP(Merged_Sales_Data!C737,PM[Product ID],PM[Product Name])</f>
        <v>Bookshelf Unit</v>
      </c>
      <c r="E737" t="str">
        <f>VLOOKUP(C737,PM[],3,FALSE)</f>
        <v>Furniture</v>
      </c>
      <c r="F737">
        <f>_xlfn.XLOOKUP(C737,PM[Product ID],PM[Unit Price (₹)])</f>
        <v>3910</v>
      </c>
      <c r="G737" t="str">
        <f>_xlfn.XLOOKUP(Sales[[#This Row],[Order ID]],ST[Order ID],ST[Employee ID])</f>
        <v>E07</v>
      </c>
      <c r="H737" t="str">
        <f>_xlfn.XLOOKUP(G737,SM[Employee ID],SM[Salesperson])</f>
        <v>Aditya Kapoor</v>
      </c>
      <c r="I737" t="str">
        <f>_xlfn.XLOOKUP(G737,SM[Employee ID],SM[Region])</f>
        <v>West</v>
      </c>
      <c r="J737" t="str">
        <f>_xlfn.XLOOKUP(G737,SM[Employee ID],SM[State/City])</f>
        <v>Mumbai</v>
      </c>
      <c r="K737" s="2">
        <f>_xlfn.XLOOKUP(Sales[[#This Row],[Order ID]],ST[Order ID],ST[Units Sold])</f>
        <v>2</v>
      </c>
      <c r="L737">
        <f t="shared" si="11"/>
        <v>7820</v>
      </c>
    </row>
    <row r="738" spans="1:12" x14ac:dyDescent="0.35">
      <c r="A738" s="7">
        <v>1728</v>
      </c>
      <c r="B738" s="1">
        <v>45650</v>
      </c>
      <c r="C738" s="2" t="s">
        <v>5</v>
      </c>
      <c r="D738" t="str">
        <f>_xlfn.XLOOKUP(Merged_Sales_Data!C738,PM[Product ID],PM[Product Name])</f>
        <v>Ergo Office Chair</v>
      </c>
      <c r="E738" t="str">
        <f>VLOOKUP(C738,PM[],3,FALSE)</f>
        <v>Office Supplies</v>
      </c>
      <c r="F738">
        <f>_xlfn.XLOOKUP(C738,PM[Product ID],PM[Unit Price (₹)])</f>
        <v>6750</v>
      </c>
      <c r="G738" t="str">
        <f>_xlfn.XLOOKUP(Sales[[#This Row],[Order ID]],ST[Order ID],ST[Employee ID])</f>
        <v>E05</v>
      </c>
      <c r="H738" t="str">
        <f>_xlfn.XLOOKUP(G738,SM[Employee ID],SM[Salesperson])</f>
        <v>Karan Malhotra</v>
      </c>
      <c r="I738" t="str">
        <f>_xlfn.XLOOKUP(G738,SM[Employee ID],SM[Region])</f>
        <v>East</v>
      </c>
      <c r="J738" t="str">
        <f>_xlfn.XLOOKUP(G738,SM[Employee ID],SM[State/City])</f>
        <v>Kolkata</v>
      </c>
      <c r="K738" s="2">
        <f>_xlfn.XLOOKUP(Sales[[#This Row],[Order ID]],ST[Order ID],ST[Units Sold])</f>
        <v>6</v>
      </c>
      <c r="L738">
        <f t="shared" si="11"/>
        <v>40500</v>
      </c>
    </row>
    <row r="739" spans="1:12" x14ac:dyDescent="0.35">
      <c r="A739" s="7">
        <v>1722</v>
      </c>
      <c r="B739" s="1">
        <v>45652</v>
      </c>
      <c r="C739" s="2" t="s">
        <v>8</v>
      </c>
      <c r="D739" t="str">
        <f>_xlfn.XLOOKUP(Merged_Sales_Data!C739,PM[Product ID],PM[Product Name])</f>
        <v>USB-C Hub</v>
      </c>
      <c r="E739" t="str">
        <f>VLOOKUP(C739,PM[],3,FALSE)</f>
        <v>Accessories</v>
      </c>
      <c r="F739">
        <f>_xlfn.XLOOKUP(C739,PM[Product ID],PM[Unit Price (₹)])</f>
        <v>880</v>
      </c>
      <c r="G739" t="str">
        <f>_xlfn.XLOOKUP(Sales[[#This Row],[Order ID]],ST[Order ID],ST[Employee ID])</f>
        <v>E07</v>
      </c>
      <c r="H739" t="str">
        <f>_xlfn.XLOOKUP(G739,SM[Employee ID],SM[Salesperson])</f>
        <v>Aditya Kapoor</v>
      </c>
      <c r="I739" t="str">
        <f>_xlfn.XLOOKUP(G739,SM[Employee ID],SM[Region])</f>
        <v>West</v>
      </c>
      <c r="J739" t="str">
        <f>_xlfn.XLOOKUP(G739,SM[Employee ID],SM[State/City])</f>
        <v>Mumbai</v>
      </c>
      <c r="K739" s="2">
        <f>_xlfn.XLOOKUP(Sales[[#This Row],[Order ID]],ST[Order ID],ST[Units Sold])</f>
        <v>1</v>
      </c>
      <c r="L739">
        <f t="shared" si="11"/>
        <v>880</v>
      </c>
    </row>
    <row r="740" spans="1:12" x14ac:dyDescent="0.35">
      <c r="A740" s="7">
        <v>1738</v>
      </c>
      <c r="B740" s="1">
        <v>45652</v>
      </c>
      <c r="C740" s="2" t="s">
        <v>11</v>
      </c>
      <c r="D740" t="str">
        <f>_xlfn.XLOOKUP(Merged_Sales_Data!C740,PM[Product ID],PM[Product Name])</f>
        <v>Bluetooth Speaker</v>
      </c>
      <c r="E740" t="str">
        <f>VLOOKUP(C740,PM[],3,FALSE)</f>
        <v>Electronics</v>
      </c>
      <c r="F740">
        <f>_xlfn.XLOOKUP(C740,PM[Product ID],PM[Unit Price (₹)])</f>
        <v>1430</v>
      </c>
      <c r="G740" t="str">
        <f>_xlfn.XLOOKUP(Sales[[#This Row],[Order ID]],ST[Order ID],ST[Employee ID])</f>
        <v>E06</v>
      </c>
      <c r="H740" t="str">
        <f>_xlfn.XLOOKUP(G740,SM[Employee ID],SM[Salesperson])</f>
        <v>Sneha Roy</v>
      </c>
      <c r="I740" t="str">
        <f>_xlfn.XLOOKUP(G740,SM[Employee ID],SM[Region])</f>
        <v>East</v>
      </c>
      <c r="J740" t="str">
        <f>_xlfn.XLOOKUP(G740,SM[Employee ID],SM[State/City])</f>
        <v>Kolkata</v>
      </c>
      <c r="K740" s="2">
        <f>_xlfn.XLOOKUP(Sales[[#This Row],[Order ID]],ST[Order ID],ST[Units Sold])</f>
        <v>10</v>
      </c>
      <c r="L740">
        <f t="shared" si="11"/>
        <v>14300</v>
      </c>
    </row>
    <row r="741" spans="1:12" x14ac:dyDescent="0.35">
      <c r="A741" s="7">
        <v>1732</v>
      </c>
      <c r="B741" s="1">
        <v>45653</v>
      </c>
      <c r="C741" s="2" t="s">
        <v>11</v>
      </c>
      <c r="D741" t="str">
        <f>_xlfn.XLOOKUP(Merged_Sales_Data!C741,PM[Product ID],PM[Product Name])</f>
        <v>Bluetooth Speaker</v>
      </c>
      <c r="E741" t="str">
        <f>VLOOKUP(C741,PM[],3,FALSE)</f>
        <v>Electronics</v>
      </c>
      <c r="F741">
        <f>_xlfn.XLOOKUP(C741,PM[Product ID],PM[Unit Price (₹)])</f>
        <v>1430</v>
      </c>
      <c r="G741" t="str">
        <f>_xlfn.XLOOKUP(Sales[[#This Row],[Order ID]],ST[Order ID],ST[Employee ID])</f>
        <v>E07</v>
      </c>
      <c r="H741" t="str">
        <f>_xlfn.XLOOKUP(G741,SM[Employee ID],SM[Salesperson])</f>
        <v>Aditya Kapoor</v>
      </c>
      <c r="I741" t="str">
        <f>_xlfn.XLOOKUP(G741,SM[Employee ID],SM[Region])</f>
        <v>West</v>
      </c>
      <c r="J741" t="str">
        <f>_xlfn.XLOOKUP(G741,SM[Employee ID],SM[State/City])</f>
        <v>Mumbai</v>
      </c>
      <c r="K741" s="2">
        <f>_xlfn.XLOOKUP(Sales[[#This Row],[Order ID]],ST[Order ID],ST[Units Sold])</f>
        <v>1</v>
      </c>
      <c r="L741">
        <f t="shared" si="11"/>
        <v>1430</v>
      </c>
    </row>
    <row r="742" spans="1:12" x14ac:dyDescent="0.35">
      <c r="A742" s="7">
        <v>1737</v>
      </c>
      <c r="B742" s="1">
        <v>45654</v>
      </c>
      <c r="C742" s="2" t="s">
        <v>11</v>
      </c>
      <c r="D742" t="str">
        <f>_xlfn.XLOOKUP(Merged_Sales_Data!C742,PM[Product ID],PM[Product Name])</f>
        <v>Bluetooth Speaker</v>
      </c>
      <c r="E742" t="str">
        <f>VLOOKUP(C742,PM[],3,FALSE)</f>
        <v>Electronics</v>
      </c>
      <c r="F742">
        <f>_xlfn.XLOOKUP(C742,PM[Product ID],PM[Unit Price (₹)])</f>
        <v>1430</v>
      </c>
      <c r="G742" t="str">
        <f>_xlfn.XLOOKUP(Sales[[#This Row],[Order ID]],ST[Order ID],ST[Employee ID])</f>
        <v>E01</v>
      </c>
      <c r="H742" t="str">
        <f>_xlfn.XLOOKUP(G742,SM[Employee ID],SM[Salesperson])</f>
        <v>Aarav Sharma</v>
      </c>
      <c r="I742" t="str">
        <f>_xlfn.XLOOKUP(G742,SM[Employee ID],SM[Region])</f>
        <v>North</v>
      </c>
      <c r="J742" t="str">
        <f>_xlfn.XLOOKUP(G742,SM[Employee ID],SM[State/City])</f>
        <v>Lucknow</v>
      </c>
      <c r="K742" s="2">
        <f>_xlfn.XLOOKUP(Sales[[#This Row],[Order ID]],ST[Order ID],ST[Units Sold])</f>
        <v>1</v>
      </c>
      <c r="L742">
        <f t="shared" si="11"/>
        <v>1430</v>
      </c>
    </row>
    <row r="743" spans="1:12" x14ac:dyDescent="0.35">
      <c r="A743" s="7">
        <v>1726</v>
      </c>
      <c r="B743" s="1">
        <v>45657</v>
      </c>
      <c r="C743" s="2" t="s">
        <v>10</v>
      </c>
      <c r="D743" t="str">
        <f>_xlfn.XLOOKUP(Merged_Sales_Data!C743,PM[Product ID],PM[Product Name])</f>
        <v>Filing Cabinet</v>
      </c>
      <c r="E743" t="str">
        <f>VLOOKUP(C743,PM[],3,FALSE)</f>
        <v>Furniture</v>
      </c>
      <c r="F743">
        <f>_xlfn.XLOOKUP(C743,PM[Product ID],PM[Unit Price (₹)])</f>
        <v>4070</v>
      </c>
      <c r="G743" t="str">
        <f>_xlfn.XLOOKUP(Sales[[#This Row],[Order ID]],ST[Order ID],ST[Employee ID])</f>
        <v>E01</v>
      </c>
      <c r="H743" t="str">
        <f>_xlfn.XLOOKUP(G743,SM[Employee ID],SM[Salesperson])</f>
        <v>Aarav Sharma</v>
      </c>
      <c r="I743" t="str">
        <f>_xlfn.XLOOKUP(G743,SM[Employee ID],SM[Region])</f>
        <v>North</v>
      </c>
      <c r="J743" t="str">
        <f>_xlfn.XLOOKUP(G743,SM[Employee ID],SM[State/City])</f>
        <v>Lucknow</v>
      </c>
      <c r="K743" s="2">
        <f>_xlfn.XLOOKUP(Sales[[#This Row],[Order ID]],ST[Order ID],ST[Units Sold])</f>
        <v>3</v>
      </c>
      <c r="L743">
        <f t="shared" si="11"/>
        <v>12210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AEA8-17C2-4DA8-BE59-4ECD282A888C}">
  <dimension ref="A1:L743"/>
  <sheetViews>
    <sheetView workbookViewId="0">
      <selection activeCell="G4" sqref="G4"/>
    </sheetView>
  </sheetViews>
  <sheetFormatPr defaultRowHeight="14.5" x14ac:dyDescent="0.35"/>
  <cols>
    <col min="1" max="1" width="13.6328125" customWidth="1"/>
    <col min="2" max="2" width="15.90625" customWidth="1"/>
    <col min="3" max="3" width="16.54296875" customWidth="1"/>
    <col min="4" max="4" width="21" customWidth="1"/>
    <col min="5" max="5" width="14.81640625" customWidth="1"/>
    <col min="6" max="6" width="16.90625" customWidth="1"/>
    <col min="7" max="7" width="16.54296875" customWidth="1"/>
    <col min="8" max="8" width="18.6328125" customWidth="1"/>
    <col min="9" max="9" width="12.90625" customWidth="1"/>
    <col min="10" max="10" width="14.453125" customWidth="1"/>
    <col min="11" max="11" width="17.90625" customWidth="1"/>
    <col min="12" max="12" width="16" customWidth="1"/>
  </cols>
  <sheetData>
    <row r="1" spans="1:12" x14ac:dyDescent="0.35">
      <c r="A1" s="9" t="s">
        <v>0</v>
      </c>
      <c r="B1" s="10" t="s">
        <v>1</v>
      </c>
      <c r="C1" s="10" t="s">
        <v>2</v>
      </c>
      <c r="D1" s="10" t="s">
        <v>22</v>
      </c>
      <c r="E1" s="10" t="s">
        <v>23</v>
      </c>
      <c r="F1" s="10" t="s">
        <v>24</v>
      </c>
      <c r="G1" s="10" t="s">
        <v>3</v>
      </c>
      <c r="H1" s="10" t="s">
        <v>38</v>
      </c>
      <c r="I1" s="10" t="s">
        <v>39</v>
      </c>
      <c r="J1" s="10" t="s">
        <v>40</v>
      </c>
      <c r="K1" s="10" t="s">
        <v>4</v>
      </c>
      <c r="L1" s="10" t="s">
        <v>61</v>
      </c>
    </row>
    <row r="2" spans="1:12" x14ac:dyDescent="0.35">
      <c r="A2" s="7">
        <v>1009</v>
      </c>
      <c r="B2" s="1">
        <v>44928</v>
      </c>
      <c r="C2" s="2" t="s">
        <v>5</v>
      </c>
      <c r="D2" t="str">
        <f>_xlfn.XLOOKUP(Merged_Sales_Data!C2,PM[Product ID],PM[Product Name])</f>
        <v>Ergo Office Chair</v>
      </c>
      <c r="E2" t="str">
        <f>VLOOKUP(C2,PM[],3,FALSE)</f>
        <v>Office Supplies</v>
      </c>
      <c r="F2">
        <f>_xlfn.XLOOKUP(C2,PM[Product ID],PM[Unit Price (₹)])</f>
        <v>6750</v>
      </c>
      <c r="G2" s="2" t="s">
        <v>15</v>
      </c>
      <c r="H2" t="str">
        <f>_xlfn.XLOOKUP(G2,SM[Employee ID],SM[Salesperson])</f>
        <v>Aditya Kapoor</v>
      </c>
      <c r="I2" t="str">
        <f>_xlfn.XLOOKUP(G2,SM[Employee ID],SM[Region])</f>
        <v>West</v>
      </c>
      <c r="J2" t="str">
        <f>_xlfn.XLOOKUP(G2,SM[Employee ID],SM[State/City])</f>
        <v>Mumbai</v>
      </c>
      <c r="K2" s="2">
        <v>1</v>
      </c>
      <c r="L2">
        <f>F2*K2</f>
        <v>6750</v>
      </c>
    </row>
    <row r="3" spans="1:12" x14ac:dyDescent="0.35">
      <c r="A3" s="7">
        <v>1004</v>
      </c>
      <c r="B3" s="1">
        <v>44930</v>
      </c>
      <c r="C3" s="2" t="s">
        <v>5</v>
      </c>
      <c r="D3" t="str">
        <f>_xlfn.XLOOKUP(Merged_Sales_Data!C3,PM[Product ID],PM[Product Name])</f>
        <v>Ergo Office Chair</v>
      </c>
      <c r="E3" t="str">
        <f>VLOOKUP(C3,PM[],3,FALSE)</f>
        <v>Office Supplies</v>
      </c>
      <c r="F3">
        <f>_xlfn.XLOOKUP(C3,PM[Product ID],PM[Unit Price (₹)])</f>
        <v>6750</v>
      </c>
      <c r="G3" s="2" t="s">
        <v>6</v>
      </c>
      <c r="H3" t="str">
        <f>_xlfn.XLOOKUP(G3,SM[Employee ID],SM[Salesperson])</f>
        <v>Sneha Roy</v>
      </c>
      <c r="I3" t="str">
        <f>_xlfn.XLOOKUP(G3,SM[Employee ID],SM[Region])</f>
        <v>East</v>
      </c>
      <c r="J3" t="str">
        <f>_xlfn.XLOOKUP(G3,SM[Employee ID],SM[State/City])</f>
        <v>Kolkata</v>
      </c>
      <c r="K3" s="2">
        <v>1</v>
      </c>
      <c r="L3">
        <f t="shared" ref="L3:L66" si="0">F3*K3</f>
        <v>6750</v>
      </c>
    </row>
    <row r="4" spans="1:12" x14ac:dyDescent="0.35">
      <c r="A4" s="7">
        <v>1001</v>
      </c>
      <c r="B4" s="1">
        <v>44934</v>
      </c>
      <c r="C4" s="2" t="s">
        <v>8</v>
      </c>
      <c r="D4" t="str">
        <f>_xlfn.XLOOKUP(Merged_Sales_Data!C4,PM[Product ID],PM[Product Name])</f>
        <v>USB-C Hub</v>
      </c>
      <c r="E4" t="str">
        <f>VLOOKUP(C4,PM[],3,FALSE)</f>
        <v>Accessories</v>
      </c>
      <c r="F4">
        <f>_xlfn.XLOOKUP(C4,PM[Product ID],PM[Unit Price (₹)])</f>
        <v>880</v>
      </c>
      <c r="G4" s="2" t="s">
        <v>17</v>
      </c>
      <c r="H4" t="str">
        <f>_xlfn.XLOOKUP(G4,SM[Employee ID],SM[Salesperson])</f>
        <v>Neha Joshi</v>
      </c>
      <c r="I4" t="str">
        <f>_xlfn.XLOOKUP(G4,SM[Employee ID],SM[Region])</f>
        <v>West</v>
      </c>
      <c r="J4" t="str">
        <f>_xlfn.XLOOKUP(G4,SM[Employee ID],SM[State/City])</f>
        <v>Ahmedabad</v>
      </c>
      <c r="K4" s="2">
        <v>6</v>
      </c>
      <c r="L4">
        <f t="shared" si="0"/>
        <v>5280</v>
      </c>
    </row>
    <row r="5" spans="1:12" x14ac:dyDescent="0.35">
      <c r="A5" s="7">
        <v>1003</v>
      </c>
      <c r="B5" s="1">
        <v>44935</v>
      </c>
      <c r="C5" s="2" t="s">
        <v>10</v>
      </c>
      <c r="D5" t="str">
        <f>_xlfn.XLOOKUP(Merged_Sales_Data!C5,PM[Product ID],PM[Product Name])</f>
        <v>Filing Cabinet</v>
      </c>
      <c r="E5" t="str">
        <f>VLOOKUP(C5,PM[],3,FALSE)</f>
        <v>Furniture</v>
      </c>
      <c r="F5">
        <f>_xlfn.XLOOKUP(C5,PM[Product ID],PM[Unit Price (₹)])</f>
        <v>4070</v>
      </c>
      <c r="G5" s="2" t="s">
        <v>17</v>
      </c>
      <c r="H5" t="str">
        <f>_xlfn.XLOOKUP(G5,SM[Employee ID],SM[Salesperson])</f>
        <v>Neha Joshi</v>
      </c>
      <c r="I5" t="str">
        <f>_xlfn.XLOOKUP(G5,SM[Employee ID],SM[Region])</f>
        <v>West</v>
      </c>
      <c r="J5" t="str">
        <f>_xlfn.XLOOKUP(G5,SM[Employee ID],SM[State/City])</f>
        <v>Ahmedabad</v>
      </c>
      <c r="K5" s="2">
        <v>6</v>
      </c>
      <c r="L5">
        <f t="shared" si="0"/>
        <v>24420</v>
      </c>
    </row>
    <row r="6" spans="1:12" x14ac:dyDescent="0.35">
      <c r="A6" s="7">
        <v>1011</v>
      </c>
      <c r="B6" s="1">
        <v>44935</v>
      </c>
      <c r="C6" s="2" t="s">
        <v>11</v>
      </c>
      <c r="D6" t="str">
        <f>_xlfn.XLOOKUP(Merged_Sales_Data!C6,PM[Product ID],PM[Product Name])</f>
        <v>Bluetooth Speaker</v>
      </c>
      <c r="E6" t="str">
        <f>VLOOKUP(C6,PM[],3,FALSE)</f>
        <v>Electronics</v>
      </c>
      <c r="F6">
        <f>_xlfn.XLOOKUP(C6,PM[Product ID],PM[Unit Price (₹)])</f>
        <v>1430</v>
      </c>
      <c r="G6" s="2" t="s">
        <v>6</v>
      </c>
      <c r="H6" t="str">
        <f>_xlfn.XLOOKUP(G6,SM[Employee ID],SM[Salesperson])</f>
        <v>Sneha Roy</v>
      </c>
      <c r="I6" t="str">
        <f>_xlfn.XLOOKUP(G6,SM[Employee ID],SM[Region])</f>
        <v>East</v>
      </c>
      <c r="J6" t="str">
        <f>_xlfn.XLOOKUP(G6,SM[Employee ID],SM[State/City])</f>
        <v>Kolkata</v>
      </c>
      <c r="K6" s="2">
        <v>10</v>
      </c>
      <c r="L6">
        <f t="shared" si="0"/>
        <v>14300</v>
      </c>
    </row>
    <row r="7" spans="1:12" x14ac:dyDescent="0.35">
      <c r="A7" s="7">
        <v>1013</v>
      </c>
      <c r="B7" s="1">
        <v>44935</v>
      </c>
      <c r="C7" s="2" t="s">
        <v>5</v>
      </c>
      <c r="D7" t="str">
        <f>_xlfn.XLOOKUP(Merged_Sales_Data!C7,PM[Product ID],PM[Product Name])</f>
        <v>Ergo Office Chair</v>
      </c>
      <c r="E7" t="str">
        <f>VLOOKUP(C7,PM[],3,FALSE)</f>
        <v>Office Supplies</v>
      </c>
      <c r="F7">
        <f>_xlfn.XLOOKUP(C7,PM[Product ID],PM[Unit Price (₹)])</f>
        <v>6750</v>
      </c>
      <c r="G7" s="2" t="s">
        <v>6</v>
      </c>
      <c r="H7" t="str">
        <f>_xlfn.XLOOKUP(G7,SM[Employee ID],SM[Salesperson])</f>
        <v>Sneha Roy</v>
      </c>
      <c r="I7" t="str">
        <f>_xlfn.XLOOKUP(G7,SM[Employee ID],SM[Region])</f>
        <v>East</v>
      </c>
      <c r="J7" t="str">
        <f>_xlfn.XLOOKUP(G7,SM[Employee ID],SM[State/City])</f>
        <v>Kolkata</v>
      </c>
      <c r="K7" s="2">
        <v>8</v>
      </c>
      <c r="L7">
        <f t="shared" si="0"/>
        <v>54000</v>
      </c>
    </row>
    <row r="8" spans="1:12" x14ac:dyDescent="0.35">
      <c r="A8" s="7">
        <v>1018</v>
      </c>
      <c r="B8" s="1">
        <v>44935</v>
      </c>
      <c r="C8" s="2" t="s">
        <v>12</v>
      </c>
      <c r="D8" t="str">
        <f>_xlfn.XLOOKUP(Merged_Sales_Data!C8,PM[Product ID],PM[Product Name])</f>
        <v>Bookshelf Unit</v>
      </c>
      <c r="E8" t="str">
        <f>VLOOKUP(C8,PM[],3,FALSE)</f>
        <v>Furniture</v>
      </c>
      <c r="F8">
        <f>_xlfn.XLOOKUP(C8,PM[Product ID],PM[Unit Price (₹)])</f>
        <v>3910</v>
      </c>
      <c r="G8" s="2" t="s">
        <v>17</v>
      </c>
      <c r="H8" t="str">
        <f>_xlfn.XLOOKUP(G8,SM[Employee ID],SM[Salesperson])</f>
        <v>Neha Joshi</v>
      </c>
      <c r="I8" t="str">
        <f>_xlfn.XLOOKUP(G8,SM[Employee ID],SM[Region])</f>
        <v>West</v>
      </c>
      <c r="J8" t="str">
        <f>_xlfn.XLOOKUP(G8,SM[Employee ID],SM[State/City])</f>
        <v>Ahmedabad</v>
      </c>
      <c r="K8" s="2">
        <v>4</v>
      </c>
      <c r="L8">
        <f t="shared" si="0"/>
        <v>15640</v>
      </c>
    </row>
    <row r="9" spans="1:12" x14ac:dyDescent="0.35">
      <c r="A9" s="7">
        <v>1021</v>
      </c>
      <c r="B9" s="1">
        <v>44935</v>
      </c>
      <c r="C9" s="2" t="s">
        <v>14</v>
      </c>
      <c r="D9" t="str">
        <f>_xlfn.XLOOKUP(Merged_Sales_Data!C9,PM[Product ID],PM[Product Name])</f>
        <v>Laptop Backpack</v>
      </c>
      <c r="E9" t="str">
        <f>VLOOKUP(C9,PM[],3,FALSE)</f>
        <v>Accessories</v>
      </c>
      <c r="F9">
        <f>_xlfn.XLOOKUP(C9,PM[Product ID],PM[Unit Price (₹)])</f>
        <v>1110</v>
      </c>
      <c r="G9" s="2" t="s">
        <v>9</v>
      </c>
      <c r="H9" t="str">
        <f>_xlfn.XLOOKUP(G9,SM[Employee ID],SM[Salesperson])</f>
        <v>Priya Nair</v>
      </c>
      <c r="I9" t="str">
        <f>_xlfn.XLOOKUP(G9,SM[Employee ID],SM[Region])</f>
        <v>South</v>
      </c>
      <c r="J9" t="str">
        <f>_xlfn.XLOOKUP(G9,SM[Employee ID],SM[State/City])</f>
        <v>Bengaluru</v>
      </c>
      <c r="K9" s="2">
        <v>1</v>
      </c>
      <c r="L9">
        <f t="shared" si="0"/>
        <v>1110</v>
      </c>
    </row>
    <row r="10" spans="1:12" x14ac:dyDescent="0.35">
      <c r="A10" s="7">
        <v>1008</v>
      </c>
      <c r="B10" s="1">
        <v>44936</v>
      </c>
      <c r="C10" s="2" t="s">
        <v>11</v>
      </c>
      <c r="D10" t="str">
        <f>_xlfn.XLOOKUP(Merged_Sales_Data!C10,PM[Product ID],PM[Product Name])</f>
        <v>Bluetooth Speaker</v>
      </c>
      <c r="E10" t="str">
        <f>VLOOKUP(C10,PM[],3,FALSE)</f>
        <v>Electronics</v>
      </c>
      <c r="F10">
        <f>_xlfn.XLOOKUP(C10,PM[Product ID],PM[Unit Price (₹)])</f>
        <v>1430</v>
      </c>
      <c r="G10" s="2" t="s">
        <v>19</v>
      </c>
      <c r="H10" t="str">
        <f>_xlfn.XLOOKUP(G10,SM[Employee ID],SM[Salesperson])</f>
        <v>Karan Malhotra</v>
      </c>
      <c r="I10" t="str">
        <f>_xlfn.XLOOKUP(G10,SM[Employee ID],SM[Region])</f>
        <v>East</v>
      </c>
      <c r="J10" t="str">
        <f>_xlfn.XLOOKUP(G10,SM[Employee ID],SM[State/City])</f>
        <v>Kolkata</v>
      </c>
      <c r="K10" s="2">
        <v>4</v>
      </c>
      <c r="L10">
        <f t="shared" si="0"/>
        <v>5720</v>
      </c>
    </row>
    <row r="11" spans="1:12" x14ac:dyDescent="0.35">
      <c r="A11" s="7">
        <v>1005</v>
      </c>
      <c r="B11" s="1">
        <v>44938</v>
      </c>
      <c r="C11" s="2" t="s">
        <v>10</v>
      </c>
      <c r="D11" t="str">
        <f>_xlfn.XLOOKUP(Merged_Sales_Data!C11,PM[Product ID],PM[Product Name])</f>
        <v>Filing Cabinet</v>
      </c>
      <c r="E11" t="str">
        <f>VLOOKUP(C11,PM[],3,FALSE)</f>
        <v>Furniture</v>
      </c>
      <c r="F11">
        <f>_xlfn.XLOOKUP(C11,PM[Product ID],PM[Unit Price (₹)])</f>
        <v>4070</v>
      </c>
      <c r="G11" s="2" t="s">
        <v>16</v>
      </c>
      <c r="H11" t="str">
        <f>_xlfn.XLOOKUP(G11,SM[Employee ID],SM[Salesperson])</f>
        <v>Ishita Verma</v>
      </c>
      <c r="I11" t="str">
        <f>_xlfn.XLOOKUP(G11,SM[Employee ID],SM[Region])</f>
        <v>North</v>
      </c>
      <c r="J11" t="str">
        <f>_xlfn.XLOOKUP(G11,SM[Employee ID],SM[State/City])</f>
        <v>Chandigarh</v>
      </c>
      <c r="K11" s="2">
        <v>2</v>
      </c>
      <c r="L11">
        <f t="shared" si="0"/>
        <v>8140</v>
      </c>
    </row>
    <row r="12" spans="1:12" x14ac:dyDescent="0.35">
      <c r="A12" s="7">
        <v>1012</v>
      </c>
      <c r="B12" s="1">
        <v>44938</v>
      </c>
      <c r="C12" s="2" t="s">
        <v>12</v>
      </c>
      <c r="D12" t="str">
        <f>_xlfn.XLOOKUP(Merged_Sales_Data!C12,PM[Product ID],PM[Product Name])</f>
        <v>Bookshelf Unit</v>
      </c>
      <c r="E12" t="str">
        <f>VLOOKUP(C12,PM[],3,FALSE)</f>
        <v>Furniture</v>
      </c>
      <c r="F12">
        <f>_xlfn.XLOOKUP(C12,PM[Product ID],PM[Unit Price (₹)])</f>
        <v>3910</v>
      </c>
      <c r="G12" s="2" t="s">
        <v>7</v>
      </c>
      <c r="H12" t="str">
        <f>_xlfn.XLOOKUP(G12,SM[Employee ID],SM[Salesperson])</f>
        <v>Rohan Mehta</v>
      </c>
      <c r="I12" t="str">
        <f>_xlfn.XLOOKUP(G12,SM[Employee ID],SM[Region])</f>
        <v>South</v>
      </c>
      <c r="J12" t="str">
        <f>_xlfn.XLOOKUP(G12,SM[Employee ID],SM[State/City])</f>
        <v>Bengaluru</v>
      </c>
      <c r="K12" s="2">
        <v>10</v>
      </c>
      <c r="L12">
        <f t="shared" si="0"/>
        <v>39100</v>
      </c>
    </row>
    <row r="13" spans="1:12" x14ac:dyDescent="0.35">
      <c r="A13" s="7">
        <v>1015</v>
      </c>
      <c r="B13" s="1">
        <v>44939</v>
      </c>
      <c r="C13" s="2" t="s">
        <v>18</v>
      </c>
      <c r="D13" t="str">
        <f>_xlfn.XLOOKUP(Merged_Sales_Data!C13,PM[Product ID],PM[Product Name])</f>
        <v>LED Monitor 24"</v>
      </c>
      <c r="E13" t="str">
        <f>VLOOKUP(C13,PM[],3,FALSE)</f>
        <v>Electronics</v>
      </c>
      <c r="F13">
        <f>_xlfn.XLOOKUP(C13,PM[Product ID],PM[Unit Price (₹)])</f>
        <v>7700</v>
      </c>
      <c r="G13" s="2" t="s">
        <v>15</v>
      </c>
      <c r="H13" t="str">
        <f>_xlfn.XLOOKUP(G13,SM[Employee ID],SM[Salesperson])</f>
        <v>Aditya Kapoor</v>
      </c>
      <c r="I13" t="str">
        <f>_xlfn.XLOOKUP(G13,SM[Employee ID],SM[Region])</f>
        <v>West</v>
      </c>
      <c r="J13" t="str">
        <f>_xlfn.XLOOKUP(G13,SM[Employee ID],SM[State/City])</f>
        <v>Mumbai</v>
      </c>
      <c r="K13" s="2">
        <v>2</v>
      </c>
      <c r="L13">
        <f t="shared" si="0"/>
        <v>15400</v>
      </c>
    </row>
    <row r="14" spans="1:12" x14ac:dyDescent="0.35">
      <c r="A14" s="7">
        <v>1020</v>
      </c>
      <c r="B14" s="1">
        <v>44942</v>
      </c>
      <c r="C14" s="2" t="s">
        <v>5</v>
      </c>
      <c r="D14" t="str">
        <f>_xlfn.XLOOKUP(Merged_Sales_Data!C14,PM[Product ID],PM[Product Name])</f>
        <v>Ergo Office Chair</v>
      </c>
      <c r="E14" t="str">
        <f>VLOOKUP(C14,PM[],3,FALSE)</f>
        <v>Office Supplies</v>
      </c>
      <c r="F14">
        <f>_xlfn.XLOOKUP(C14,PM[Product ID],PM[Unit Price (₹)])</f>
        <v>6750</v>
      </c>
      <c r="G14" s="2" t="s">
        <v>19</v>
      </c>
      <c r="H14" t="str">
        <f>_xlfn.XLOOKUP(G14,SM[Employee ID],SM[Salesperson])</f>
        <v>Karan Malhotra</v>
      </c>
      <c r="I14" t="str">
        <f>_xlfn.XLOOKUP(G14,SM[Employee ID],SM[Region])</f>
        <v>East</v>
      </c>
      <c r="J14" t="str">
        <f>_xlfn.XLOOKUP(G14,SM[Employee ID],SM[State/City])</f>
        <v>Kolkata</v>
      </c>
      <c r="K14" s="2">
        <v>6</v>
      </c>
      <c r="L14">
        <f t="shared" si="0"/>
        <v>40500</v>
      </c>
    </row>
    <row r="15" spans="1:12" x14ac:dyDescent="0.35">
      <c r="A15" s="7">
        <v>1022</v>
      </c>
      <c r="B15" s="1">
        <v>44944</v>
      </c>
      <c r="C15" s="2" t="s">
        <v>5</v>
      </c>
      <c r="D15" t="str">
        <f>_xlfn.XLOOKUP(Merged_Sales_Data!C15,PM[Product ID],PM[Product Name])</f>
        <v>Ergo Office Chair</v>
      </c>
      <c r="E15" t="str">
        <f>VLOOKUP(C15,PM[],3,FALSE)</f>
        <v>Office Supplies</v>
      </c>
      <c r="F15">
        <f>_xlfn.XLOOKUP(C15,PM[Product ID],PM[Unit Price (₹)])</f>
        <v>6750</v>
      </c>
      <c r="G15" s="2" t="s">
        <v>15</v>
      </c>
      <c r="H15" t="str">
        <f>_xlfn.XLOOKUP(G15,SM[Employee ID],SM[Salesperson])</f>
        <v>Aditya Kapoor</v>
      </c>
      <c r="I15" t="str">
        <f>_xlfn.XLOOKUP(G15,SM[Employee ID],SM[Region])</f>
        <v>West</v>
      </c>
      <c r="J15" t="str">
        <f>_xlfn.XLOOKUP(G15,SM[Employee ID],SM[State/City])</f>
        <v>Mumbai</v>
      </c>
      <c r="K15" s="2">
        <v>1</v>
      </c>
      <c r="L15">
        <f t="shared" si="0"/>
        <v>6750</v>
      </c>
    </row>
    <row r="16" spans="1:12" x14ac:dyDescent="0.35">
      <c r="A16" s="7">
        <v>1016</v>
      </c>
      <c r="B16" s="1">
        <v>44948</v>
      </c>
      <c r="C16" s="2" t="s">
        <v>8</v>
      </c>
      <c r="D16" t="str">
        <f>_xlfn.XLOOKUP(Merged_Sales_Data!C16,PM[Product ID],PM[Product Name])</f>
        <v>USB-C Hub</v>
      </c>
      <c r="E16" t="str">
        <f>VLOOKUP(C16,PM[],3,FALSE)</f>
        <v>Accessories</v>
      </c>
      <c r="F16">
        <f>_xlfn.XLOOKUP(C16,PM[Product ID],PM[Unit Price (₹)])</f>
        <v>880</v>
      </c>
      <c r="G16" s="2" t="s">
        <v>6</v>
      </c>
      <c r="H16" t="str">
        <f>_xlfn.XLOOKUP(G16,SM[Employee ID],SM[Salesperson])</f>
        <v>Sneha Roy</v>
      </c>
      <c r="I16" t="str">
        <f>_xlfn.XLOOKUP(G16,SM[Employee ID],SM[Region])</f>
        <v>East</v>
      </c>
      <c r="J16" t="str">
        <f>_xlfn.XLOOKUP(G16,SM[Employee ID],SM[State/City])</f>
        <v>Kolkata</v>
      </c>
      <c r="K16" s="2">
        <v>10</v>
      </c>
      <c r="L16">
        <f t="shared" si="0"/>
        <v>8800</v>
      </c>
    </row>
    <row r="17" spans="1:12" x14ac:dyDescent="0.35">
      <c r="A17" s="7">
        <v>1006</v>
      </c>
      <c r="B17" s="1">
        <v>44950</v>
      </c>
      <c r="C17" s="2" t="s">
        <v>20</v>
      </c>
      <c r="D17" t="str">
        <f>_xlfn.XLOOKUP(Merged_Sales_Data!C17,PM[Product ID],PM[Product Name])</f>
        <v>Standing Desk</v>
      </c>
      <c r="E17" t="str">
        <f>VLOOKUP(C17,PM[],3,FALSE)</f>
        <v>Office Supplies</v>
      </c>
      <c r="F17">
        <f>_xlfn.XLOOKUP(C17,PM[Product ID],PM[Unit Price (₹)])</f>
        <v>11010</v>
      </c>
      <c r="G17" s="2" t="s">
        <v>15</v>
      </c>
      <c r="H17" t="str">
        <f>_xlfn.XLOOKUP(G17,SM[Employee ID],SM[Salesperson])</f>
        <v>Aditya Kapoor</v>
      </c>
      <c r="I17" t="str">
        <f>_xlfn.XLOOKUP(G17,SM[Employee ID],SM[Region])</f>
        <v>West</v>
      </c>
      <c r="J17" t="str">
        <f>_xlfn.XLOOKUP(G17,SM[Employee ID],SM[State/City])</f>
        <v>Mumbai</v>
      </c>
      <c r="K17" s="2">
        <v>1</v>
      </c>
      <c r="L17">
        <f t="shared" si="0"/>
        <v>11010</v>
      </c>
    </row>
    <row r="18" spans="1:12" x14ac:dyDescent="0.35">
      <c r="A18" s="7">
        <v>1014</v>
      </c>
      <c r="B18" s="1">
        <v>44950</v>
      </c>
      <c r="C18" s="2" t="s">
        <v>18</v>
      </c>
      <c r="D18" t="str">
        <f>_xlfn.XLOOKUP(Merged_Sales_Data!C18,PM[Product ID],PM[Product Name])</f>
        <v>LED Monitor 24"</v>
      </c>
      <c r="E18" t="str">
        <f>VLOOKUP(C18,PM[],3,FALSE)</f>
        <v>Electronics</v>
      </c>
      <c r="F18">
        <f>_xlfn.XLOOKUP(C18,PM[Product ID],PM[Unit Price (₹)])</f>
        <v>7700</v>
      </c>
      <c r="G18" s="2" t="s">
        <v>13</v>
      </c>
      <c r="H18" t="str">
        <f>_xlfn.XLOOKUP(G18,SM[Employee ID],SM[Salesperson])</f>
        <v>Aarav Sharma</v>
      </c>
      <c r="I18" t="str">
        <f>_xlfn.XLOOKUP(G18,SM[Employee ID],SM[Region])</f>
        <v>North</v>
      </c>
      <c r="J18" t="str">
        <f>_xlfn.XLOOKUP(G18,SM[Employee ID],SM[State/City])</f>
        <v>Lucknow</v>
      </c>
      <c r="K18" s="2">
        <v>1</v>
      </c>
      <c r="L18">
        <f t="shared" si="0"/>
        <v>7700</v>
      </c>
    </row>
    <row r="19" spans="1:12" x14ac:dyDescent="0.35">
      <c r="A19" s="7">
        <v>1002</v>
      </c>
      <c r="B19" s="1">
        <v>44951</v>
      </c>
      <c r="C19" s="2" t="s">
        <v>20</v>
      </c>
      <c r="D19" t="str">
        <f>_xlfn.XLOOKUP(Merged_Sales_Data!C19,PM[Product ID],PM[Product Name])</f>
        <v>Standing Desk</v>
      </c>
      <c r="E19" t="str">
        <f>VLOOKUP(C19,PM[],3,FALSE)</f>
        <v>Office Supplies</v>
      </c>
      <c r="F19">
        <f>_xlfn.XLOOKUP(C19,PM[Product ID],PM[Unit Price (₹)])</f>
        <v>11010</v>
      </c>
      <c r="G19" s="2" t="s">
        <v>13</v>
      </c>
      <c r="H19" t="str">
        <f>_xlfn.XLOOKUP(G19,SM[Employee ID],SM[Salesperson])</f>
        <v>Aarav Sharma</v>
      </c>
      <c r="I19" t="str">
        <f>_xlfn.XLOOKUP(G19,SM[Employee ID],SM[Region])</f>
        <v>North</v>
      </c>
      <c r="J19" t="str">
        <f>_xlfn.XLOOKUP(G19,SM[Employee ID],SM[State/City])</f>
        <v>Lucknow</v>
      </c>
      <c r="K19" s="2">
        <v>3</v>
      </c>
      <c r="L19">
        <f t="shared" si="0"/>
        <v>33030</v>
      </c>
    </row>
    <row r="20" spans="1:12" x14ac:dyDescent="0.35">
      <c r="A20" s="7">
        <v>1017</v>
      </c>
      <c r="B20" s="1">
        <v>44953</v>
      </c>
      <c r="C20" s="2" t="s">
        <v>21</v>
      </c>
      <c r="D20" t="str">
        <f>_xlfn.XLOOKUP(Merged_Sales_Data!C20,PM[Product ID],PM[Product Name])</f>
        <v>Wireless Mouse</v>
      </c>
      <c r="E20" t="str">
        <f>VLOOKUP(C20,PM[],3,FALSE)</f>
        <v>Electronics</v>
      </c>
      <c r="F20">
        <f>_xlfn.XLOOKUP(C20,PM[Product ID],PM[Unit Price (₹)])</f>
        <v>780</v>
      </c>
      <c r="G20" t="str">
        <f>_xlfn.XLOOKUP(Sales7[[#This Row],[Order ID]],ST[Order ID],ST[Employee ID])</f>
        <v>E06</v>
      </c>
      <c r="H20" t="str">
        <f>_xlfn.XLOOKUP(G20,SM[Employee ID],SM[Salesperson])</f>
        <v>Sneha Roy</v>
      </c>
      <c r="I20" t="str">
        <f>_xlfn.XLOOKUP(G20,SM[Employee ID],SM[Region])</f>
        <v>East</v>
      </c>
      <c r="J20" t="str">
        <f>_xlfn.XLOOKUP(G20,SM[Employee ID],SM[State/City])</f>
        <v>Kolkata</v>
      </c>
      <c r="K20" s="2">
        <f>_xlfn.XLOOKUP(Sales7[[#This Row],[Order ID]],ST[Order ID],ST[Units Sold])</f>
        <v>2</v>
      </c>
      <c r="L20">
        <f t="shared" si="0"/>
        <v>1560</v>
      </c>
    </row>
    <row r="21" spans="1:12" x14ac:dyDescent="0.35">
      <c r="A21" s="7">
        <v>1010</v>
      </c>
      <c r="B21" s="1">
        <v>44954</v>
      </c>
      <c r="C21" s="2" t="s">
        <v>20</v>
      </c>
      <c r="D21" t="str">
        <f>_xlfn.XLOOKUP(Merged_Sales_Data!C21,PM[Product ID],PM[Product Name])</f>
        <v>Standing Desk</v>
      </c>
      <c r="E21" t="str">
        <f>VLOOKUP(C21,PM[],3,FALSE)</f>
        <v>Office Supplies</v>
      </c>
      <c r="F21">
        <f>_xlfn.XLOOKUP(C21,PM[Product ID],PM[Unit Price (₹)])</f>
        <v>11010</v>
      </c>
      <c r="G21" t="str">
        <f>_xlfn.XLOOKUP(Sales7[[#This Row],[Order ID]],ST[Order ID],ST[Employee ID])</f>
        <v>E04</v>
      </c>
      <c r="H21" t="str">
        <f>_xlfn.XLOOKUP(G21,SM[Employee ID],SM[Salesperson])</f>
        <v>Priya Nair</v>
      </c>
      <c r="I21" t="str">
        <f>_xlfn.XLOOKUP(G21,SM[Employee ID],SM[Region])</f>
        <v>South</v>
      </c>
      <c r="J21" t="str">
        <f>_xlfn.XLOOKUP(G21,SM[Employee ID],SM[State/City])</f>
        <v>Bengaluru</v>
      </c>
      <c r="K21" s="2">
        <f>_xlfn.XLOOKUP(Sales7[[#This Row],[Order ID]],ST[Order ID],ST[Units Sold])</f>
        <v>1</v>
      </c>
      <c r="L21">
        <f t="shared" si="0"/>
        <v>11010</v>
      </c>
    </row>
    <row r="22" spans="1:12" x14ac:dyDescent="0.35">
      <c r="A22" s="7">
        <v>1019</v>
      </c>
      <c r="B22" s="1">
        <v>44955</v>
      </c>
      <c r="C22" s="2" t="s">
        <v>5</v>
      </c>
      <c r="D22" t="str">
        <f>_xlfn.XLOOKUP(Merged_Sales_Data!C22,PM[Product ID],PM[Product Name])</f>
        <v>Ergo Office Chair</v>
      </c>
      <c r="E22" t="str">
        <f>VLOOKUP(C22,PM[],3,FALSE)</f>
        <v>Office Supplies</v>
      </c>
      <c r="F22">
        <f>_xlfn.XLOOKUP(C22,PM[Product ID],PM[Unit Price (₹)])</f>
        <v>6750</v>
      </c>
      <c r="G22" t="str">
        <f>_xlfn.XLOOKUP(Sales7[[#This Row],[Order ID]],ST[Order ID],ST[Employee ID])</f>
        <v>E02</v>
      </c>
      <c r="H22" t="str">
        <f>_xlfn.XLOOKUP(G22,SM[Employee ID],SM[Salesperson])</f>
        <v>Ishita Verma</v>
      </c>
      <c r="I22" t="str">
        <f>_xlfn.XLOOKUP(G22,SM[Employee ID],SM[Region])</f>
        <v>North</v>
      </c>
      <c r="J22" t="str">
        <f>_xlfn.XLOOKUP(G22,SM[Employee ID],SM[State/City])</f>
        <v>Chandigarh</v>
      </c>
      <c r="K22" s="2">
        <f>_xlfn.XLOOKUP(Sales7[[#This Row],[Order ID]],ST[Order ID],ST[Units Sold])</f>
        <v>8</v>
      </c>
      <c r="L22">
        <f t="shared" si="0"/>
        <v>54000</v>
      </c>
    </row>
    <row r="23" spans="1:12" x14ac:dyDescent="0.35">
      <c r="A23" s="7">
        <v>1007</v>
      </c>
      <c r="B23" s="1">
        <v>44956</v>
      </c>
      <c r="C23" s="2" t="s">
        <v>8</v>
      </c>
      <c r="D23" t="str">
        <f>_xlfn.XLOOKUP(Merged_Sales_Data!C23,PM[Product ID],PM[Product Name])</f>
        <v>USB-C Hub</v>
      </c>
      <c r="E23" t="str">
        <f>VLOOKUP(C23,PM[],3,FALSE)</f>
        <v>Accessories</v>
      </c>
      <c r="F23">
        <f>_xlfn.XLOOKUP(C23,PM[Product ID],PM[Unit Price (₹)])</f>
        <v>880</v>
      </c>
      <c r="G23" t="str">
        <f>_xlfn.XLOOKUP(Sales7[[#This Row],[Order ID]],ST[Order ID],ST[Employee ID])</f>
        <v>E08</v>
      </c>
      <c r="H23" t="str">
        <f>_xlfn.XLOOKUP(G23,SM[Employee ID],SM[Salesperson])</f>
        <v>Neha Joshi</v>
      </c>
      <c r="I23" t="str">
        <f>_xlfn.XLOOKUP(G23,SM[Employee ID],SM[Region])</f>
        <v>West</v>
      </c>
      <c r="J23" t="str">
        <f>_xlfn.XLOOKUP(G23,SM[Employee ID],SM[State/City])</f>
        <v>Ahmedabad</v>
      </c>
      <c r="K23" s="2">
        <f>_xlfn.XLOOKUP(Sales7[[#This Row],[Order ID]],ST[Order ID],ST[Units Sold])</f>
        <v>1</v>
      </c>
      <c r="L23">
        <f t="shared" si="0"/>
        <v>880</v>
      </c>
    </row>
    <row r="24" spans="1:12" x14ac:dyDescent="0.35">
      <c r="A24" s="7">
        <v>1035</v>
      </c>
      <c r="B24" s="1">
        <v>44958</v>
      </c>
      <c r="C24" s="2" t="s">
        <v>8</v>
      </c>
      <c r="D24" t="str">
        <f>_xlfn.XLOOKUP(Merged_Sales_Data!C24,PM[Product ID],PM[Product Name])</f>
        <v>USB-C Hub</v>
      </c>
      <c r="E24" t="str">
        <f>VLOOKUP(C24,PM[],3,FALSE)</f>
        <v>Accessories</v>
      </c>
      <c r="F24">
        <f>_xlfn.XLOOKUP(C24,PM[Product ID],PM[Unit Price (₹)])</f>
        <v>880</v>
      </c>
      <c r="G24" t="str">
        <f>_xlfn.XLOOKUP(Sales7[[#This Row],[Order ID]],ST[Order ID],ST[Employee ID])</f>
        <v>E03</v>
      </c>
      <c r="H24" t="str">
        <f>_xlfn.XLOOKUP(G24,SM[Employee ID],SM[Salesperson])</f>
        <v>Rohan Mehta</v>
      </c>
      <c r="I24" t="str">
        <f>_xlfn.XLOOKUP(G24,SM[Employee ID],SM[Region])</f>
        <v>South</v>
      </c>
      <c r="J24" t="str">
        <f>_xlfn.XLOOKUP(G24,SM[Employee ID],SM[State/City])</f>
        <v>Bengaluru</v>
      </c>
      <c r="K24" s="2">
        <f>_xlfn.XLOOKUP(Sales7[[#This Row],[Order ID]],ST[Order ID],ST[Units Sold])</f>
        <v>6</v>
      </c>
      <c r="L24">
        <f t="shared" si="0"/>
        <v>5280</v>
      </c>
    </row>
    <row r="25" spans="1:12" x14ac:dyDescent="0.35">
      <c r="A25" s="7">
        <v>1037</v>
      </c>
      <c r="B25" s="1">
        <v>44959</v>
      </c>
      <c r="C25" s="2" t="s">
        <v>20</v>
      </c>
      <c r="D25" t="str">
        <f>_xlfn.XLOOKUP(Merged_Sales_Data!C25,PM[Product ID],PM[Product Name])</f>
        <v>Standing Desk</v>
      </c>
      <c r="E25" t="str">
        <f>VLOOKUP(C25,PM[],3,FALSE)</f>
        <v>Office Supplies</v>
      </c>
      <c r="F25">
        <f>_xlfn.XLOOKUP(C25,PM[Product ID],PM[Unit Price (₹)])</f>
        <v>11010</v>
      </c>
      <c r="G25" t="str">
        <f>_xlfn.XLOOKUP(Sales7[[#This Row],[Order ID]],ST[Order ID],ST[Employee ID])</f>
        <v>E06</v>
      </c>
      <c r="H25" t="str">
        <f>_xlfn.XLOOKUP(G25,SM[Employee ID],SM[Salesperson])</f>
        <v>Sneha Roy</v>
      </c>
      <c r="I25" t="str">
        <f>_xlfn.XLOOKUP(G25,SM[Employee ID],SM[Region])</f>
        <v>East</v>
      </c>
      <c r="J25" t="str">
        <f>_xlfn.XLOOKUP(G25,SM[Employee ID],SM[State/City])</f>
        <v>Kolkata</v>
      </c>
      <c r="K25" s="2">
        <f>_xlfn.XLOOKUP(Sales7[[#This Row],[Order ID]],ST[Order ID],ST[Units Sold])</f>
        <v>2</v>
      </c>
      <c r="L25">
        <f t="shared" si="0"/>
        <v>22020</v>
      </c>
    </row>
    <row r="26" spans="1:12" x14ac:dyDescent="0.35">
      <c r="A26" s="7">
        <v>1048</v>
      </c>
      <c r="B26" s="1">
        <v>44959</v>
      </c>
      <c r="C26" s="2" t="s">
        <v>5</v>
      </c>
      <c r="D26" t="str">
        <f>_xlfn.XLOOKUP(Merged_Sales_Data!C26,PM[Product ID],PM[Product Name])</f>
        <v>Ergo Office Chair</v>
      </c>
      <c r="E26" t="str">
        <f>VLOOKUP(C26,PM[],3,FALSE)</f>
        <v>Office Supplies</v>
      </c>
      <c r="F26">
        <f>_xlfn.XLOOKUP(C26,PM[Product ID],PM[Unit Price (₹)])</f>
        <v>6750</v>
      </c>
      <c r="G26" t="str">
        <f>_xlfn.XLOOKUP(Sales7[[#This Row],[Order ID]],ST[Order ID],ST[Employee ID])</f>
        <v>E01</v>
      </c>
      <c r="H26" t="str">
        <f>_xlfn.XLOOKUP(G26,SM[Employee ID],SM[Salesperson])</f>
        <v>Aarav Sharma</v>
      </c>
      <c r="I26" t="str">
        <f>_xlfn.XLOOKUP(G26,SM[Employee ID],SM[Region])</f>
        <v>North</v>
      </c>
      <c r="J26" t="str">
        <f>_xlfn.XLOOKUP(G26,SM[Employee ID],SM[State/City])</f>
        <v>Lucknow</v>
      </c>
      <c r="K26" s="2">
        <f>_xlfn.XLOOKUP(Sales7[[#This Row],[Order ID]],ST[Order ID],ST[Units Sold])</f>
        <v>1</v>
      </c>
      <c r="L26">
        <f t="shared" si="0"/>
        <v>6750</v>
      </c>
    </row>
    <row r="27" spans="1:12" x14ac:dyDescent="0.35">
      <c r="A27" s="7">
        <v>1024</v>
      </c>
      <c r="B27" s="1">
        <v>44960</v>
      </c>
      <c r="C27" s="2" t="s">
        <v>8</v>
      </c>
      <c r="D27" t="str">
        <f>_xlfn.XLOOKUP(Merged_Sales_Data!C27,PM[Product ID],PM[Product Name])</f>
        <v>USB-C Hub</v>
      </c>
      <c r="E27" t="str">
        <f>VLOOKUP(C27,PM[],3,FALSE)</f>
        <v>Accessories</v>
      </c>
      <c r="F27">
        <f>_xlfn.XLOOKUP(C27,PM[Product ID],PM[Unit Price (₹)])</f>
        <v>880</v>
      </c>
      <c r="G27" t="str">
        <f>_xlfn.XLOOKUP(Sales7[[#This Row],[Order ID]],ST[Order ID],ST[Employee ID])</f>
        <v>E03</v>
      </c>
      <c r="H27" t="str">
        <f>_xlfn.XLOOKUP(G27,SM[Employee ID],SM[Salesperson])</f>
        <v>Rohan Mehta</v>
      </c>
      <c r="I27" t="str">
        <f>_xlfn.XLOOKUP(G27,SM[Employee ID],SM[Region])</f>
        <v>South</v>
      </c>
      <c r="J27" t="str">
        <f>_xlfn.XLOOKUP(G27,SM[Employee ID],SM[State/City])</f>
        <v>Bengaluru</v>
      </c>
      <c r="K27" s="2">
        <f>_xlfn.XLOOKUP(Sales7[[#This Row],[Order ID]],ST[Order ID],ST[Units Sold])</f>
        <v>5</v>
      </c>
      <c r="L27">
        <f t="shared" si="0"/>
        <v>4400</v>
      </c>
    </row>
    <row r="28" spans="1:12" x14ac:dyDescent="0.35">
      <c r="A28" s="7">
        <v>1026</v>
      </c>
      <c r="B28" s="1">
        <v>44960</v>
      </c>
      <c r="C28" s="2" t="s">
        <v>10</v>
      </c>
      <c r="D28" t="str">
        <f>_xlfn.XLOOKUP(Merged_Sales_Data!C28,PM[Product ID],PM[Product Name])</f>
        <v>Filing Cabinet</v>
      </c>
      <c r="E28" t="str">
        <f>VLOOKUP(C28,PM[],3,FALSE)</f>
        <v>Furniture</v>
      </c>
      <c r="F28">
        <f>_xlfn.XLOOKUP(C28,PM[Product ID],PM[Unit Price (₹)])</f>
        <v>4070</v>
      </c>
      <c r="G28" t="str">
        <f>_xlfn.XLOOKUP(Sales7[[#This Row],[Order ID]],ST[Order ID],ST[Employee ID])</f>
        <v>E03</v>
      </c>
      <c r="H28" t="str">
        <f>_xlfn.XLOOKUP(G28,SM[Employee ID],SM[Salesperson])</f>
        <v>Rohan Mehta</v>
      </c>
      <c r="I28" t="str">
        <f>_xlfn.XLOOKUP(G28,SM[Employee ID],SM[Region])</f>
        <v>South</v>
      </c>
      <c r="J28" t="str">
        <f>_xlfn.XLOOKUP(G28,SM[Employee ID],SM[State/City])</f>
        <v>Bengaluru</v>
      </c>
      <c r="K28" s="2">
        <f>_xlfn.XLOOKUP(Sales7[[#This Row],[Order ID]],ST[Order ID],ST[Units Sold])</f>
        <v>8</v>
      </c>
      <c r="L28">
        <f t="shared" si="0"/>
        <v>32560</v>
      </c>
    </row>
    <row r="29" spans="1:12" x14ac:dyDescent="0.35">
      <c r="A29" s="7">
        <v>1045</v>
      </c>
      <c r="B29" s="1">
        <v>44960</v>
      </c>
      <c r="C29" s="2" t="s">
        <v>5</v>
      </c>
      <c r="D29" t="str">
        <f>_xlfn.XLOOKUP(Merged_Sales_Data!C29,PM[Product ID],PM[Product Name])</f>
        <v>Ergo Office Chair</v>
      </c>
      <c r="E29" t="str">
        <f>VLOOKUP(C29,PM[],3,FALSE)</f>
        <v>Office Supplies</v>
      </c>
      <c r="F29">
        <f>_xlfn.XLOOKUP(C29,PM[Product ID],PM[Unit Price (₹)])</f>
        <v>6750</v>
      </c>
      <c r="G29" t="str">
        <f>_xlfn.XLOOKUP(Sales7[[#This Row],[Order ID]],ST[Order ID],ST[Employee ID])</f>
        <v>E02</v>
      </c>
      <c r="H29" t="str">
        <f>_xlfn.XLOOKUP(G29,SM[Employee ID],SM[Salesperson])</f>
        <v>Ishita Verma</v>
      </c>
      <c r="I29" t="str">
        <f>_xlfn.XLOOKUP(G29,SM[Employee ID],SM[Region])</f>
        <v>North</v>
      </c>
      <c r="J29" t="str">
        <f>_xlfn.XLOOKUP(G29,SM[Employee ID],SM[State/City])</f>
        <v>Chandigarh</v>
      </c>
      <c r="K29" s="2">
        <f>_xlfn.XLOOKUP(Sales7[[#This Row],[Order ID]],ST[Order ID],ST[Units Sold])</f>
        <v>2</v>
      </c>
      <c r="L29">
        <f t="shared" si="0"/>
        <v>13500</v>
      </c>
    </row>
    <row r="30" spans="1:12" x14ac:dyDescent="0.35">
      <c r="A30" s="7">
        <v>1047</v>
      </c>
      <c r="B30" s="1">
        <v>44960</v>
      </c>
      <c r="C30" s="2" t="s">
        <v>5</v>
      </c>
      <c r="D30" t="str">
        <f>_xlfn.XLOOKUP(Merged_Sales_Data!C30,PM[Product ID],PM[Product Name])</f>
        <v>Ergo Office Chair</v>
      </c>
      <c r="E30" t="str">
        <f>VLOOKUP(C30,PM[],3,FALSE)</f>
        <v>Office Supplies</v>
      </c>
      <c r="F30">
        <f>_xlfn.XLOOKUP(C30,PM[Product ID],PM[Unit Price (₹)])</f>
        <v>6750</v>
      </c>
      <c r="G30" t="str">
        <f>_xlfn.XLOOKUP(Sales7[[#This Row],[Order ID]],ST[Order ID],ST[Employee ID])</f>
        <v>E04</v>
      </c>
      <c r="H30" t="str">
        <f>_xlfn.XLOOKUP(G30,SM[Employee ID],SM[Salesperson])</f>
        <v>Priya Nair</v>
      </c>
      <c r="I30" t="str">
        <f>_xlfn.XLOOKUP(G30,SM[Employee ID],SM[Region])</f>
        <v>South</v>
      </c>
      <c r="J30" t="str">
        <f>_xlfn.XLOOKUP(G30,SM[Employee ID],SM[State/City])</f>
        <v>Bengaluru</v>
      </c>
      <c r="K30" s="2">
        <f>_xlfn.XLOOKUP(Sales7[[#This Row],[Order ID]],ST[Order ID],ST[Units Sold])</f>
        <v>1</v>
      </c>
      <c r="L30">
        <f t="shared" si="0"/>
        <v>6750</v>
      </c>
    </row>
    <row r="31" spans="1:12" x14ac:dyDescent="0.35">
      <c r="A31" s="7">
        <v>1036</v>
      </c>
      <c r="B31" s="1">
        <v>44961</v>
      </c>
      <c r="C31" s="2" t="s">
        <v>14</v>
      </c>
      <c r="D31" t="str">
        <f>_xlfn.XLOOKUP(Merged_Sales_Data!C31,PM[Product ID],PM[Product Name])</f>
        <v>Laptop Backpack</v>
      </c>
      <c r="E31" t="str">
        <f>VLOOKUP(C31,PM[],3,FALSE)</f>
        <v>Accessories</v>
      </c>
      <c r="F31">
        <f>_xlfn.XLOOKUP(C31,PM[Product ID],PM[Unit Price (₹)])</f>
        <v>1110</v>
      </c>
      <c r="G31" t="str">
        <f>_xlfn.XLOOKUP(Sales7[[#This Row],[Order ID]],ST[Order ID],ST[Employee ID])</f>
        <v>E06</v>
      </c>
      <c r="H31" t="str">
        <f>_xlfn.XLOOKUP(G31,SM[Employee ID],SM[Salesperson])</f>
        <v>Sneha Roy</v>
      </c>
      <c r="I31" t="str">
        <f>_xlfn.XLOOKUP(G31,SM[Employee ID],SM[Region])</f>
        <v>East</v>
      </c>
      <c r="J31" t="str">
        <f>_xlfn.XLOOKUP(G31,SM[Employee ID],SM[State/City])</f>
        <v>Kolkata</v>
      </c>
      <c r="K31" s="2">
        <f>_xlfn.XLOOKUP(Sales7[[#This Row],[Order ID]],ST[Order ID],ST[Units Sold])</f>
        <v>1</v>
      </c>
      <c r="L31">
        <f t="shared" si="0"/>
        <v>1110</v>
      </c>
    </row>
    <row r="32" spans="1:12" x14ac:dyDescent="0.35">
      <c r="A32" s="7">
        <v>1023</v>
      </c>
      <c r="B32" s="1">
        <v>44965</v>
      </c>
      <c r="C32" s="2" t="s">
        <v>10</v>
      </c>
      <c r="D32" t="str">
        <f>_xlfn.XLOOKUP(Merged_Sales_Data!C32,PM[Product ID],PM[Product Name])</f>
        <v>Filing Cabinet</v>
      </c>
      <c r="E32" t="str">
        <f>VLOOKUP(C32,PM[],3,FALSE)</f>
        <v>Furniture</v>
      </c>
      <c r="F32">
        <f>_xlfn.XLOOKUP(C32,PM[Product ID],PM[Unit Price (₹)])</f>
        <v>4070</v>
      </c>
      <c r="G32" t="str">
        <f>_xlfn.XLOOKUP(Sales7[[#This Row],[Order ID]],ST[Order ID],ST[Employee ID])</f>
        <v>E07</v>
      </c>
      <c r="H32" t="str">
        <f>_xlfn.XLOOKUP(G32,SM[Employee ID],SM[Salesperson])</f>
        <v>Aditya Kapoor</v>
      </c>
      <c r="I32" t="str">
        <f>_xlfn.XLOOKUP(G32,SM[Employee ID],SM[Region])</f>
        <v>West</v>
      </c>
      <c r="J32" t="str">
        <f>_xlfn.XLOOKUP(G32,SM[Employee ID],SM[State/City])</f>
        <v>Mumbai</v>
      </c>
      <c r="K32" s="2">
        <f>_xlfn.XLOOKUP(Sales7[[#This Row],[Order ID]],ST[Order ID],ST[Units Sold])</f>
        <v>3</v>
      </c>
      <c r="L32">
        <f t="shared" si="0"/>
        <v>12210</v>
      </c>
    </row>
    <row r="33" spans="1:12" x14ac:dyDescent="0.35">
      <c r="A33" s="7">
        <v>1030</v>
      </c>
      <c r="B33" s="1">
        <v>44971</v>
      </c>
      <c r="C33" s="2" t="s">
        <v>11</v>
      </c>
      <c r="D33" t="str">
        <f>_xlfn.XLOOKUP(Merged_Sales_Data!C33,PM[Product ID],PM[Product Name])</f>
        <v>Bluetooth Speaker</v>
      </c>
      <c r="E33" t="str">
        <f>VLOOKUP(C33,PM[],3,FALSE)</f>
        <v>Electronics</v>
      </c>
      <c r="F33">
        <f>_xlfn.XLOOKUP(C33,PM[Product ID],PM[Unit Price (₹)])</f>
        <v>1430</v>
      </c>
      <c r="G33" t="str">
        <f>_xlfn.XLOOKUP(Sales7[[#This Row],[Order ID]],ST[Order ID],ST[Employee ID])</f>
        <v>E06</v>
      </c>
      <c r="H33" t="str">
        <f>_xlfn.XLOOKUP(G33,SM[Employee ID],SM[Salesperson])</f>
        <v>Sneha Roy</v>
      </c>
      <c r="I33" t="str">
        <f>_xlfn.XLOOKUP(G33,SM[Employee ID],SM[Region])</f>
        <v>East</v>
      </c>
      <c r="J33" t="str">
        <f>_xlfn.XLOOKUP(G33,SM[Employee ID],SM[State/City])</f>
        <v>Kolkata</v>
      </c>
      <c r="K33" s="2">
        <f>_xlfn.XLOOKUP(Sales7[[#This Row],[Order ID]],ST[Order ID],ST[Units Sold])</f>
        <v>2</v>
      </c>
      <c r="L33">
        <f t="shared" si="0"/>
        <v>2860</v>
      </c>
    </row>
    <row r="34" spans="1:12" x14ac:dyDescent="0.35">
      <c r="A34" s="7">
        <v>1027</v>
      </c>
      <c r="B34" s="1">
        <v>44972</v>
      </c>
      <c r="C34" s="2" t="s">
        <v>10</v>
      </c>
      <c r="D34" t="str">
        <f>_xlfn.XLOOKUP(Merged_Sales_Data!C34,PM[Product ID],PM[Product Name])</f>
        <v>Filing Cabinet</v>
      </c>
      <c r="E34" t="str">
        <f>VLOOKUP(C34,PM[],3,FALSE)</f>
        <v>Furniture</v>
      </c>
      <c r="F34">
        <f>_xlfn.XLOOKUP(C34,PM[Product ID],PM[Unit Price (₹)])</f>
        <v>4070</v>
      </c>
      <c r="G34" t="str">
        <f>_xlfn.XLOOKUP(Sales7[[#This Row],[Order ID]],ST[Order ID],ST[Employee ID])</f>
        <v>E07</v>
      </c>
      <c r="H34" t="str">
        <f>_xlfn.XLOOKUP(G34,SM[Employee ID],SM[Salesperson])</f>
        <v>Aditya Kapoor</v>
      </c>
      <c r="I34" t="str">
        <f>_xlfn.XLOOKUP(G34,SM[Employee ID],SM[Region])</f>
        <v>West</v>
      </c>
      <c r="J34" t="str">
        <f>_xlfn.XLOOKUP(G34,SM[Employee ID],SM[State/City])</f>
        <v>Mumbai</v>
      </c>
      <c r="K34" s="2">
        <f>_xlfn.XLOOKUP(Sales7[[#This Row],[Order ID]],ST[Order ID],ST[Units Sold])</f>
        <v>8</v>
      </c>
      <c r="L34">
        <f t="shared" si="0"/>
        <v>32560</v>
      </c>
    </row>
    <row r="35" spans="1:12" x14ac:dyDescent="0.35">
      <c r="A35" s="7">
        <v>1044</v>
      </c>
      <c r="B35" s="1">
        <v>44972</v>
      </c>
      <c r="C35" s="2" t="s">
        <v>14</v>
      </c>
      <c r="D35" t="str">
        <f>_xlfn.XLOOKUP(Merged_Sales_Data!C35,PM[Product ID],PM[Product Name])</f>
        <v>Laptop Backpack</v>
      </c>
      <c r="E35" t="str">
        <f>VLOOKUP(C35,PM[],3,FALSE)</f>
        <v>Accessories</v>
      </c>
      <c r="F35">
        <f>_xlfn.XLOOKUP(C35,PM[Product ID],PM[Unit Price (₹)])</f>
        <v>1110</v>
      </c>
      <c r="G35" t="str">
        <f>_xlfn.XLOOKUP(Sales7[[#This Row],[Order ID]],ST[Order ID],ST[Employee ID])</f>
        <v>E06</v>
      </c>
      <c r="H35" t="str">
        <f>_xlfn.XLOOKUP(G35,SM[Employee ID],SM[Salesperson])</f>
        <v>Sneha Roy</v>
      </c>
      <c r="I35" t="str">
        <f>_xlfn.XLOOKUP(G35,SM[Employee ID],SM[Region])</f>
        <v>East</v>
      </c>
      <c r="J35" t="str">
        <f>_xlfn.XLOOKUP(G35,SM[Employee ID],SM[State/City])</f>
        <v>Kolkata</v>
      </c>
      <c r="K35" s="2">
        <f>_xlfn.XLOOKUP(Sales7[[#This Row],[Order ID]],ST[Order ID],ST[Units Sold])</f>
        <v>6</v>
      </c>
      <c r="L35">
        <f t="shared" si="0"/>
        <v>6660</v>
      </c>
    </row>
    <row r="36" spans="1:12" x14ac:dyDescent="0.35">
      <c r="A36" s="7">
        <v>1040</v>
      </c>
      <c r="B36" s="1">
        <v>44973</v>
      </c>
      <c r="C36" s="2" t="s">
        <v>18</v>
      </c>
      <c r="D36" t="str">
        <f>_xlfn.XLOOKUP(Merged_Sales_Data!C36,PM[Product ID],PM[Product Name])</f>
        <v>LED Monitor 24"</v>
      </c>
      <c r="E36" t="str">
        <f>VLOOKUP(C36,PM[],3,FALSE)</f>
        <v>Electronics</v>
      </c>
      <c r="F36">
        <f>_xlfn.XLOOKUP(C36,PM[Product ID],PM[Unit Price (₹)])</f>
        <v>7700</v>
      </c>
      <c r="G36" t="str">
        <f>_xlfn.XLOOKUP(Sales7[[#This Row],[Order ID]],ST[Order ID],ST[Employee ID])</f>
        <v>E03</v>
      </c>
      <c r="H36" t="str">
        <f>_xlfn.XLOOKUP(G36,SM[Employee ID],SM[Salesperson])</f>
        <v>Rohan Mehta</v>
      </c>
      <c r="I36" t="str">
        <f>_xlfn.XLOOKUP(G36,SM[Employee ID],SM[Region])</f>
        <v>South</v>
      </c>
      <c r="J36" t="str">
        <f>_xlfn.XLOOKUP(G36,SM[Employee ID],SM[State/City])</f>
        <v>Bengaluru</v>
      </c>
      <c r="K36" s="2">
        <f>_xlfn.XLOOKUP(Sales7[[#This Row],[Order ID]],ST[Order ID],ST[Units Sold])</f>
        <v>10</v>
      </c>
      <c r="L36">
        <f t="shared" si="0"/>
        <v>77000</v>
      </c>
    </row>
    <row r="37" spans="1:12" x14ac:dyDescent="0.35">
      <c r="A37" s="7">
        <v>1032</v>
      </c>
      <c r="B37" s="1">
        <v>44974</v>
      </c>
      <c r="C37" s="2" t="s">
        <v>8</v>
      </c>
      <c r="D37" t="str">
        <f>_xlfn.XLOOKUP(Merged_Sales_Data!C37,PM[Product ID],PM[Product Name])</f>
        <v>USB-C Hub</v>
      </c>
      <c r="E37" t="str">
        <f>VLOOKUP(C37,PM[],3,FALSE)</f>
        <v>Accessories</v>
      </c>
      <c r="F37">
        <f>_xlfn.XLOOKUP(C37,PM[Product ID],PM[Unit Price (₹)])</f>
        <v>880</v>
      </c>
      <c r="G37" t="str">
        <f>_xlfn.XLOOKUP(Sales7[[#This Row],[Order ID]],ST[Order ID],ST[Employee ID])</f>
        <v>E05</v>
      </c>
      <c r="H37" t="str">
        <f>_xlfn.XLOOKUP(G37,SM[Employee ID],SM[Salesperson])</f>
        <v>Karan Malhotra</v>
      </c>
      <c r="I37" t="str">
        <f>_xlfn.XLOOKUP(G37,SM[Employee ID],SM[Region])</f>
        <v>East</v>
      </c>
      <c r="J37" t="str">
        <f>_xlfn.XLOOKUP(G37,SM[Employee ID],SM[State/City])</f>
        <v>Kolkata</v>
      </c>
      <c r="K37" s="2">
        <f>_xlfn.XLOOKUP(Sales7[[#This Row],[Order ID]],ST[Order ID],ST[Units Sold])</f>
        <v>1</v>
      </c>
      <c r="L37">
        <f t="shared" si="0"/>
        <v>880</v>
      </c>
    </row>
    <row r="38" spans="1:12" x14ac:dyDescent="0.35">
      <c r="A38" s="7">
        <v>1033</v>
      </c>
      <c r="B38" s="1">
        <v>44974</v>
      </c>
      <c r="C38" s="2" t="s">
        <v>20</v>
      </c>
      <c r="D38" t="str">
        <f>_xlfn.XLOOKUP(Merged_Sales_Data!C38,PM[Product ID],PM[Product Name])</f>
        <v>Standing Desk</v>
      </c>
      <c r="E38" t="str">
        <f>VLOOKUP(C38,PM[],3,FALSE)</f>
        <v>Office Supplies</v>
      </c>
      <c r="F38">
        <f>_xlfn.XLOOKUP(C38,PM[Product ID],PM[Unit Price (₹)])</f>
        <v>11010</v>
      </c>
      <c r="G38" t="str">
        <f>_xlfn.XLOOKUP(Sales7[[#This Row],[Order ID]],ST[Order ID],ST[Employee ID])</f>
        <v>E02</v>
      </c>
      <c r="H38" t="str">
        <f>_xlfn.XLOOKUP(G38,SM[Employee ID],SM[Salesperson])</f>
        <v>Ishita Verma</v>
      </c>
      <c r="I38" t="str">
        <f>_xlfn.XLOOKUP(G38,SM[Employee ID],SM[Region])</f>
        <v>North</v>
      </c>
      <c r="J38" t="str">
        <f>_xlfn.XLOOKUP(G38,SM[Employee ID],SM[State/City])</f>
        <v>Chandigarh</v>
      </c>
      <c r="K38" s="2">
        <f>_xlfn.XLOOKUP(Sales7[[#This Row],[Order ID]],ST[Order ID],ST[Units Sold])</f>
        <v>10</v>
      </c>
      <c r="L38">
        <f t="shared" si="0"/>
        <v>110100</v>
      </c>
    </row>
    <row r="39" spans="1:12" x14ac:dyDescent="0.35">
      <c r="A39" s="7">
        <v>1046</v>
      </c>
      <c r="B39" s="1">
        <v>44975</v>
      </c>
      <c r="C39" s="2" t="s">
        <v>21</v>
      </c>
      <c r="D39" t="str">
        <f>_xlfn.XLOOKUP(Merged_Sales_Data!C39,PM[Product ID],PM[Product Name])</f>
        <v>Wireless Mouse</v>
      </c>
      <c r="E39" t="str">
        <f>VLOOKUP(C39,PM[],3,FALSE)</f>
        <v>Electronics</v>
      </c>
      <c r="F39">
        <f>_xlfn.XLOOKUP(C39,PM[Product ID],PM[Unit Price (₹)])</f>
        <v>780</v>
      </c>
      <c r="G39" t="str">
        <f>_xlfn.XLOOKUP(Sales7[[#This Row],[Order ID]],ST[Order ID],ST[Employee ID])</f>
        <v>E06</v>
      </c>
      <c r="H39" t="str">
        <f>_xlfn.XLOOKUP(G39,SM[Employee ID],SM[Salesperson])</f>
        <v>Sneha Roy</v>
      </c>
      <c r="I39" t="str">
        <f>_xlfn.XLOOKUP(G39,SM[Employee ID],SM[Region])</f>
        <v>East</v>
      </c>
      <c r="J39" t="str">
        <f>_xlfn.XLOOKUP(G39,SM[Employee ID],SM[State/City])</f>
        <v>Kolkata</v>
      </c>
      <c r="K39" s="2">
        <f>_xlfn.XLOOKUP(Sales7[[#This Row],[Order ID]],ST[Order ID],ST[Units Sold])</f>
        <v>8</v>
      </c>
      <c r="L39">
        <f t="shared" si="0"/>
        <v>6240</v>
      </c>
    </row>
    <row r="40" spans="1:12" x14ac:dyDescent="0.35">
      <c r="A40" s="7">
        <v>1025</v>
      </c>
      <c r="B40" s="1">
        <v>44978</v>
      </c>
      <c r="C40" s="2" t="s">
        <v>11</v>
      </c>
      <c r="D40" t="str">
        <f>_xlfn.XLOOKUP(Merged_Sales_Data!C40,PM[Product ID],PM[Product Name])</f>
        <v>Bluetooth Speaker</v>
      </c>
      <c r="E40" t="str">
        <f>VLOOKUP(C40,PM[],3,FALSE)</f>
        <v>Electronics</v>
      </c>
      <c r="F40">
        <f>_xlfn.XLOOKUP(C40,PM[Product ID],PM[Unit Price (₹)])</f>
        <v>1430</v>
      </c>
      <c r="G40" t="str">
        <f>_xlfn.XLOOKUP(Sales7[[#This Row],[Order ID]],ST[Order ID],ST[Employee ID])</f>
        <v>E01</v>
      </c>
      <c r="H40" t="str">
        <f>_xlfn.XLOOKUP(G40,SM[Employee ID],SM[Salesperson])</f>
        <v>Aarav Sharma</v>
      </c>
      <c r="I40" t="str">
        <f>_xlfn.XLOOKUP(G40,SM[Employee ID],SM[Region])</f>
        <v>North</v>
      </c>
      <c r="J40" t="str">
        <f>_xlfn.XLOOKUP(G40,SM[Employee ID],SM[State/City])</f>
        <v>Lucknow</v>
      </c>
      <c r="K40" s="2">
        <f>_xlfn.XLOOKUP(Sales7[[#This Row],[Order ID]],ST[Order ID],ST[Units Sold])</f>
        <v>1</v>
      </c>
      <c r="L40">
        <f t="shared" si="0"/>
        <v>1430</v>
      </c>
    </row>
    <row r="41" spans="1:12" x14ac:dyDescent="0.35">
      <c r="A41" s="7">
        <v>1028</v>
      </c>
      <c r="B41" s="1">
        <v>44979</v>
      </c>
      <c r="C41" s="2" t="s">
        <v>8</v>
      </c>
      <c r="D41" t="str">
        <f>_xlfn.XLOOKUP(Merged_Sales_Data!C41,PM[Product ID],PM[Product Name])</f>
        <v>USB-C Hub</v>
      </c>
      <c r="E41" t="str">
        <f>VLOOKUP(C41,PM[],3,FALSE)</f>
        <v>Accessories</v>
      </c>
      <c r="F41">
        <f>_xlfn.XLOOKUP(C41,PM[Product ID],PM[Unit Price (₹)])</f>
        <v>880</v>
      </c>
      <c r="G41" t="str">
        <f>_xlfn.XLOOKUP(Sales7[[#This Row],[Order ID]],ST[Order ID],ST[Employee ID])</f>
        <v>E05</v>
      </c>
      <c r="H41" t="str">
        <f>_xlfn.XLOOKUP(G41,SM[Employee ID],SM[Salesperson])</f>
        <v>Karan Malhotra</v>
      </c>
      <c r="I41" t="str">
        <f>_xlfn.XLOOKUP(G41,SM[Employee ID],SM[Region])</f>
        <v>East</v>
      </c>
      <c r="J41" t="str">
        <f>_xlfn.XLOOKUP(G41,SM[Employee ID],SM[State/City])</f>
        <v>Kolkata</v>
      </c>
      <c r="K41" s="2">
        <f>_xlfn.XLOOKUP(Sales7[[#This Row],[Order ID]],ST[Order ID],ST[Units Sold])</f>
        <v>1</v>
      </c>
      <c r="L41">
        <f t="shared" si="0"/>
        <v>880</v>
      </c>
    </row>
    <row r="42" spans="1:12" x14ac:dyDescent="0.35">
      <c r="A42" s="7">
        <v>1043</v>
      </c>
      <c r="B42" s="1">
        <v>44979</v>
      </c>
      <c r="C42" s="2" t="s">
        <v>20</v>
      </c>
      <c r="D42" t="str">
        <f>_xlfn.XLOOKUP(Merged_Sales_Data!C42,PM[Product ID],PM[Product Name])</f>
        <v>Standing Desk</v>
      </c>
      <c r="E42" t="str">
        <f>VLOOKUP(C42,PM[],3,FALSE)</f>
        <v>Office Supplies</v>
      </c>
      <c r="F42">
        <f>_xlfn.XLOOKUP(C42,PM[Product ID],PM[Unit Price (₹)])</f>
        <v>11010</v>
      </c>
      <c r="G42" t="str">
        <f>_xlfn.XLOOKUP(Sales7[[#This Row],[Order ID]],ST[Order ID],ST[Employee ID])</f>
        <v>E04</v>
      </c>
      <c r="H42" t="str">
        <f>_xlfn.XLOOKUP(G42,SM[Employee ID],SM[Salesperson])</f>
        <v>Priya Nair</v>
      </c>
      <c r="I42" t="str">
        <f>_xlfn.XLOOKUP(G42,SM[Employee ID],SM[Region])</f>
        <v>South</v>
      </c>
      <c r="J42" t="str">
        <f>_xlfn.XLOOKUP(G42,SM[Employee ID],SM[State/City])</f>
        <v>Bengaluru</v>
      </c>
      <c r="K42" s="2">
        <f>_xlfn.XLOOKUP(Sales7[[#This Row],[Order ID]],ST[Order ID],ST[Units Sold])</f>
        <v>4</v>
      </c>
      <c r="L42">
        <f t="shared" si="0"/>
        <v>44040</v>
      </c>
    </row>
    <row r="43" spans="1:12" x14ac:dyDescent="0.35">
      <c r="A43" s="7">
        <v>1031</v>
      </c>
      <c r="B43" s="1">
        <v>44981</v>
      </c>
      <c r="C43" s="2" t="s">
        <v>14</v>
      </c>
      <c r="D43" t="str">
        <f>_xlfn.XLOOKUP(Merged_Sales_Data!C43,PM[Product ID],PM[Product Name])</f>
        <v>Laptop Backpack</v>
      </c>
      <c r="E43" t="str">
        <f>VLOOKUP(C43,PM[],3,FALSE)</f>
        <v>Accessories</v>
      </c>
      <c r="F43">
        <f>_xlfn.XLOOKUP(C43,PM[Product ID],PM[Unit Price (₹)])</f>
        <v>1110</v>
      </c>
      <c r="G43" t="str">
        <f>_xlfn.XLOOKUP(Sales7[[#This Row],[Order ID]],ST[Order ID],ST[Employee ID])</f>
        <v>E03</v>
      </c>
      <c r="H43" t="str">
        <f>_xlfn.XLOOKUP(G43,SM[Employee ID],SM[Salesperson])</f>
        <v>Rohan Mehta</v>
      </c>
      <c r="I43" t="str">
        <f>_xlfn.XLOOKUP(G43,SM[Employee ID],SM[Region])</f>
        <v>South</v>
      </c>
      <c r="J43" t="str">
        <f>_xlfn.XLOOKUP(G43,SM[Employee ID],SM[State/City])</f>
        <v>Bengaluru</v>
      </c>
      <c r="K43" s="2">
        <f>_xlfn.XLOOKUP(Sales7[[#This Row],[Order ID]],ST[Order ID],ST[Units Sold])</f>
        <v>1</v>
      </c>
      <c r="L43">
        <f t="shared" si="0"/>
        <v>1110</v>
      </c>
    </row>
    <row r="44" spans="1:12" x14ac:dyDescent="0.35">
      <c r="A44" s="7">
        <v>1038</v>
      </c>
      <c r="B44" s="1">
        <v>44981</v>
      </c>
      <c r="C44" s="2" t="s">
        <v>11</v>
      </c>
      <c r="D44" t="str">
        <f>_xlfn.XLOOKUP(Merged_Sales_Data!C44,PM[Product ID],PM[Product Name])</f>
        <v>Bluetooth Speaker</v>
      </c>
      <c r="E44" t="str">
        <f>VLOOKUP(C44,PM[],3,FALSE)</f>
        <v>Electronics</v>
      </c>
      <c r="F44">
        <f>_xlfn.XLOOKUP(C44,PM[Product ID],PM[Unit Price (₹)])</f>
        <v>1430</v>
      </c>
      <c r="G44" t="str">
        <f>_xlfn.XLOOKUP(Sales7[[#This Row],[Order ID]],ST[Order ID],ST[Employee ID])</f>
        <v>E04</v>
      </c>
      <c r="H44" t="str">
        <f>_xlfn.XLOOKUP(G44,SM[Employee ID],SM[Salesperson])</f>
        <v>Priya Nair</v>
      </c>
      <c r="I44" t="str">
        <f>_xlfn.XLOOKUP(G44,SM[Employee ID],SM[Region])</f>
        <v>South</v>
      </c>
      <c r="J44" t="str">
        <f>_xlfn.XLOOKUP(G44,SM[Employee ID],SM[State/City])</f>
        <v>Bengaluru</v>
      </c>
      <c r="K44" s="2">
        <f>_xlfn.XLOOKUP(Sales7[[#This Row],[Order ID]],ST[Order ID],ST[Units Sold])</f>
        <v>1</v>
      </c>
      <c r="L44">
        <f t="shared" si="0"/>
        <v>1430</v>
      </c>
    </row>
    <row r="45" spans="1:12" x14ac:dyDescent="0.35">
      <c r="A45" s="7">
        <v>1029</v>
      </c>
      <c r="B45" s="1">
        <v>44982</v>
      </c>
      <c r="C45" s="2" t="s">
        <v>8</v>
      </c>
      <c r="D45" t="str">
        <f>_xlfn.XLOOKUP(Merged_Sales_Data!C45,PM[Product ID],PM[Product Name])</f>
        <v>USB-C Hub</v>
      </c>
      <c r="E45" t="str">
        <f>VLOOKUP(C45,PM[],3,FALSE)</f>
        <v>Accessories</v>
      </c>
      <c r="F45">
        <f>_xlfn.XLOOKUP(C45,PM[Product ID],PM[Unit Price (₹)])</f>
        <v>880</v>
      </c>
      <c r="G45" t="str">
        <f>_xlfn.XLOOKUP(Sales7[[#This Row],[Order ID]],ST[Order ID],ST[Employee ID])</f>
        <v>E02</v>
      </c>
      <c r="H45" t="str">
        <f>_xlfn.XLOOKUP(G45,SM[Employee ID],SM[Salesperson])</f>
        <v>Ishita Verma</v>
      </c>
      <c r="I45" t="str">
        <f>_xlfn.XLOOKUP(G45,SM[Employee ID],SM[Region])</f>
        <v>North</v>
      </c>
      <c r="J45" t="str">
        <f>_xlfn.XLOOKUP(G45,SM[Employee ID],SM[State/City])</f>
        <v>Chandigarh</v>
      </c>
      <c r="K45" s="2">
        <f>_xlfn.XLOOKUP(Sales7[[#This Row],[Order ID]],ST[Order ID],ST[Units Sold])</f>
        <v>2</v>
      </c>
      <c r="L45">
        <f t="shared" si="0"/>
        <v>1760</v>
      </c>
    </row>
    <row r="46" spans="1:12" x14ac:dyDescent="0.35">
      <c r="A46" s="7">
        <v>1034</v>
      </c>
      <c r="B46" s="1">
        <v>44982</v>
      </c>
      <c r="C46" s="2" t="s">
        <v>18</v>
      </c>
      <c r="D46" t="str">
        <f>_xlfn.XLOOKUP(Merged_Sales_Data!C46,PM[Product ID],PM[Product Name])</f>
        <v>LED Monitor 24"</v>
      </c>
      <c r="E46" t="str">
        <f>VLOOKUP(C46,PM[],3,FALSE)</f>
        <v>Electronics</v>
      </c>
      <c r="F46">
        <f>_xlfn.XLOOKUP(C46,PM[Product ID],PM[Unit Price (₹)])</f>
        <v>7700</v>
      </c>
      <c r="G46" t="str">
        <f>_xlfn.XLOOKUP(Sales7[[#This Row],[Order ID]],ST[Order ID],ST[Employee ID])</f>
        <v>E04</v>
      </c>
      <c r="H46" t="str">
        <f>_xlfn.XLOOKUP(G46,SM[Employee ID],SM[Salesperson])</f>
        <v>Priya Nair</v>
      </c>
      <c r="I46" t="str">
        <f>_xlfn.XLOOKUP(G46,SM[Employee ID],SM[Region])</f>
        <v>South</v>
      </c>
      <c r="J46" t="str">
        <f>_xlfn.XLOOKUP(G46,SM[Employee ID],SM[State/City])</f>
        <v>Bengaluru</v>
      </c>
      <c r="K46" s="2">
        <f>_xlfn.XLOOKUP(Sales7[[#This Row],[Order ID]],ST[Order ID],ST[Units Sold])</f>
        <v>3</v>
      </c>
      <c r="L46">
        <f t="shared" si="0"/>
        <v>23100</v>
      </c>
    </row>
    <row r="47" spans="1:12" x14ac:dyDescent="0.35">
      <c r="A47" s="7">
        <v>1039</v>
      </c>
      <c r="B47" s="1">
        <v>44982</v>
      </c>
      <c r="C47" s="2" t="s">
        <v>11</v>
      </c>
      <c r="D47" t="str">
        <f>_xlfn.XLOOKUP(Merged_Sales_Data!C47,PM[Product ID],PM[Product Name])</f>
        <v>Bluetooth Speaker</v>
      </c>
      <c r="E47" t="str">
        <f>VLOOKUP(C47,PM[],3,FALSE)</f>
        <v>Electronics</v>
      </c>
      <c r="F47">
        <f>_xlfn.XLOOKUP(C47,PM[Product ID],PM[Unit Price (₹)])</f>
        <v>1430</v>
      </c>
      <c r="G47" t="str">
        <f>_xlfn.XLOOKUP(Sales7[[#This Row],[Order ID]],ST[Order ID],ST[Employee ID])</f>
        <v>E08</v>
      </c>
      <c r="H47" t="str">
        <f>_xlfn.XLOOKUP(G47,SM[Employee ID],SM[Salesperson])</f>
        <v>Neha Joshi</v>
      </c>
      <c r="I47" t="str">
        <f>_xlfn.XLOOKUP(G47,SM[Employee ID],SM[Region])</f>
        <v>West</v>
      </c>
      <c r="J47" t="str">
        <f>_xlfn.XLOOKUP(G47,SM[Employee ID],SM[State/City])</f>
        <v>Ahmedabad</v>
      </c>
      <c r="K47" s="2">
        <f>_xlfn.XLOOKUP(Sales7[[#This Row],[Order ID]],ST[Order ID],ST[Units Sold])</f>
        <v>6</v>
      </c>
      <c r="L47">
        <f t="shared" si="0"/>
        <v>8580</v>
      </c>
    </row>
    <row r="48" spans="1:12" x14ac:dyDescent="0.35">
      <c r="A48" s="7">
        <v>1042</v>
      </c>
      <c r="B48" s="1">
        <v>44982</v>
      </c>
      <c r="C48" s="2" t="s">
        <v>5</v>
      </c>
      <c r="D48" t="str">
        <f>_xlfn.XLOOKUP(Merged_Sales_Data!C48,PM[Product ID],PM[Product Name])</f>
        <v>Ergo Office Chair</v>
      </c>
      <c r="E48" t="str">
        <f>VLOOKUP(C48,PM[],3,FALSE)</f>
        <v>Office Supplies</v>
      </c>
      <c r="F48">
        <f>_xlfn.XLOOKUP(C48,PM[Product ID],PM[Unit Price (₹)])</f>
        <v>6750</v>
      </c>
      <c r="G48" t="str">
        <f>_xlfn.XLOOKUP(Sales7[[#This Row],[Order ID]],ST[Order ID],ST[Employee ID])</f>
        <v>E07</v>
      </c>
      <c r="H48" t="str">
        <f>_xlfn.XLOOKUP(G48,SM[Employee ID],SM[Salesperson])</f>
        <v>Aditya Kapoor</v>
      </c>
      <c r="I48" t="str">
        <f>_xlfn.XLOOKUP(G48,SM[Employee ID],SM[Region])</f>
        <v>West</v>
      </c>
      <c r="J48" t="str">
        <f>_xlfn.XLOOKUP(G48,SM[Employee ID],SM[State/City])</f>
        <v>Mumbai</v>
      </c>
      <c r="K48" s="2">
        <f>_xlfn.XLOOKUP(Sales7[[#This Row],[Order ID]],ST[Order ID],ST[Units Sold])</f>
        <v>6</v>
      </c>
      <c r="L48">
        <f t="shared" si="0"/>
        <v>40500</v>
      </c>
    </row>
    <row r="49" spans="1:12" x14ac:dyDescent="0.35">
      <c r="A49" s="7">
        <v>1041</v>
      </c>
      <c r="B49" s="1">
        <v>44985</v>
      </c>
      <c r="C49" s="2" t="s">
        <v>20</v>
      </c>
      <c r="D49" t="str">
        <f>_xlfn.XLOOKUP(Merged_Sales_Data!C49,PM[Product ID],PM[Product Name])</f>
        <v>Standing Desk</v>
      </c>
      <c r="E49" t="str">
        <f>VLOOKUP(C49,PM[],3,FALSE)</f>
        <v>Office Supplies</v>
      </c>
      <c r="F49">
        <f>_xlfn.XLOOKUP(C49,PM[Product ID],PM[Unit Price (₹)])</f>
        <v>11010</v>
      </c>
      <c r="G49" t="str">
        <f>_xlfn.XLOOKUP(Sales7[[#This Row],[Order ID]],ST[Order ID],ST[Employee ID])</f>
        <v>E03</v>
      </c>
      <c r="H49" t="str">
        <f>_xlfn.XLOOKUP(G49,SM[Employee ID],SM[Salesperson])</f>
        <v>Rohan Mehta</v>
      </c>
      <c r="I49" t="str">
        <f>_xlfn.XLOOKUP(G49,SM[Employee ID],SM[Region])</f>
        <v>South</v>
      </c>
      <c r="J49" t="str">
        <f>_xlfn.XLOOKUP(G49,SM[Employee ID],SM[State/City])</f>
        <v>Bengaluru</v>
      </c>
      <c r="K49" s="2">
        <f>_xlfn.XLOOKUP(Sales7[[#This Row],[Order ID]],ST[Order ID],ST[Units Sold])</f>
        <v>6</v>
      </c>
      <c r="L49">
        <f t="shared" si="0"/>
        <v>66060</v>
      </c>
    </row>
    <row r="50" spans="1:12" x14ac:dyDescent="0.35">
      <c r="A50" s="7">
        <v>1068</v>
      </c>
      <c r="B50" s="1">
        <v>44987</v>
      </c>
      <c r="C50" s="2" t="s">
        <v>12</v>
      </c>
      <c r="D50" t="str">
        <f>_xlfn.XLOOKUP(Merged_Sales_Data!C50,PM[Product ID],PM[Product Name])</f>
        <v>Bookshelf Unit</v>
      </c>
      <c r="E50" t="str">
        <f>VLOOKUP(C50,PM[],3,FALSE)</f>
        <v>Furniture</v>
      </c>
      <c r="F50">
        <f>_xlfn.XLOOKUP(C50,PM[Product ID],PM[Unit Price (₹)])</f>
        <v>3910</v>
      </c>
      <c r="G50" t="str">
        <f>_xlfn.XLOOKUP(Sales7[[#This Row],[Order ID]],ST[Order ID],ST[Employee ID])</f>
        <v>E01</v>
      </c>
      <c r="H50" t="str">
        <f>_xlfn.XLOOKUP(G50,SM[Employee ID],SM[Salesperson])</f>
        <v>Aarav Sharma</v>
      </c>
      <c r="I50" t="str">
        <f>_xlfn.XLOOKUP(G50,SM[Employee ID],SM[Region])</f>
        <v>North</v>
      </c>
      <c r="J50" t="str">
        <f>_xlfn.XLOOKUP(G50,SM[Employee ID],SM[State/City])</f>
        <v>Lucknow</v>
      </c>
      <c r="K50" s="2">
        <f>_xlfn.XLOOKUP(Sales7[[#This Row],[Order ID]],ST[Order ID],ST[Units Sold])</f>
        <v>1</v>
      </c>
      <c r="L50">
        <f t="shared" si="0"/>
        <v>3910</v>
      </c>
    </row>
    <row r="51" spans="1:12" x14ac:dyDescent="0.35">
      <c r="A51" s="7">
        <v>1071</v>
      </c>
      <c r="B51" s="1">
        <v>44988</v>
      </c>
      <c r="C51" s="2" t="s">
        <v>11</v>
      </c>
      <c r="D51" t="str">
        <f>_xlfn.XLOOKUP(Merged_Sales_Data!C51,PM[Product ID],PM[Product Name])</f>
        <v>Bluetooth Speaker</v>
      </c>
      <c r="E51" t="str">
        <f>VLOOKUP(C51,PM[],3,FALSE)</f>
        <v>Electronics</v>
      </c>
      <c r="F51">
        <f>_xlfn.XLOOKUP(C51,PM[Product ID],PM[Unit Price (₹)])</f>
        <v>1430</v>
      </c>
      <c r="G51" t="str">
        <f>_xlfn.XLOOKUP(Sales7[[#This Row],[Order ID]],ST[Order ID],ST[Employee ID])</f>
        <v>E03</v>
      </c>
      <c r="H51" t="str">
        <f>_xlfn.XLOOKUP(G51,SM[Employee ID],SM[Salesperson])</f>
        <v>Rohan Mehta</v>
      </c>
      <c r="I51" t="str">
        <f>_xlfn.XLOOKUP(G51,SM[Employee ID],SM[Region])</f>
        <v>South</v>
      </c>
      <c r="J51" t="str">
        <f>_xlfn.XLOOKUP(G51,SM[Employee ID],SM[State/City])</f>
        <v>Bengaluru</v>
      </c>
      <c r="K51" s="2">
        <f>_xlfn.XLOOKUP(Sales7[[#This Row],[Order ID]],ST[Order ID],ST[Units Sold])</f>
        <v>8</v>
      </c>
      <c r="L51">
        <f t="shared" si="0"/>
        <v>11440</v>
      </c>
    </row>
    <row r="52" spans="1:12" x14ac:dyDescent="0.35">
      <c r="A52" s="7">
        <v>1073</v>
      </c>
      <c r="B52" s="1">
        <v>44988</v>
      </c>
      <c r="C52" s="2" t="s">
        <v>21</v>
      </c>
      <c r="D52" t="str">
        <f>_xlfn.XLOOKUP(Merged_Sales_Data!C52,PM[Product ID],PM[Product Name])</f>
        <v>Wireless Mouse</v>
      </c>
      <c r="E52" t="str">
        <f>VLOOKUP(C52,PM[],3,FALSE)</f>
        <v>Electronics</v>
      </c>
      <c r="F52">
        <f>_xlfn.XLOOKUP(C52,PM[Product ID],PM[Unit Price (₹)])</f>
        <v>780</v>
      </c>
      <c r="G52" t="str">
        <f>_xlfn.XLOOKUP(Sales7[[#This Row],[Order ID]],ST[Order ID],ST[Employee ID])</f>
        <v>E04</v>
      </c>
      <c r="H52" t="str">
        <f>_xlfn.XLOOKUP(G52,SM[Employee ID],SM[Salesperson])</f>
        <v>Priya Nair</v>
      </c>
      <c r="I52" t="str">
        <f>_xlfn.XLOOKUP(G52,SM[Employee ID],SM[Region])</f>
        <v>South</v>
      </c>
      <c r="J52" t="str">
        <f>_xlfn.XLOOKUP(G52,SM[Employee ID],SM[State/City])</f>
        <v>Bengaluru</v>
      </c>
      <c r="K52" s="2">
        <f>_xlfn.XLOOKUP(Sales7[[#This Row],[Order ID]],ST[Order ID],ST[Units Sold])</f>
        <v>8</v>
      </c>
      <c r="L52">
        <f t="shared" si="0"/>
        <v>6240</v>
      </c>
    </row>
    <row r="53" spans="1:12" x14ac:dyDescent="0.35">
      <c r="A53" s="7">
        <v>1052</v>
      </c>
      <c r="B53" s="1">
        <v>44989</v>
      </c>
      <c r="C53" s="2" t="s">
        <v>5</v>
      </c>
      <c r="D53" t="str">
        <f>_xlfn.XLOOKUP(Merged_Sales_Data!C53,PM[Product ID],PM[Product Name])</f>
        <v>Ergo Office Chair</v>
      </c>
      <c r="E53" t="str">
        <f>VLOOKUP(C53,PM[],3,FALSE)</f>
        <v>Office Supplies</v>
      </c>
      <c r="F53">
        <f>_xlfn.XLOOKUP(C53,PM[Product ID],PM[Unit Price (₹)])</f>
        <v>6750</v>
      </c>
      <c r="G53" t="str">
        <f>_xlfn.XLOOKUP(Sales7[[#This Row],[Order ID]],ST[Order ID],ST[Employee ID])</f>
        <v>E07</v>
      </c>
      <c r="H53" t="str">
        <f>_xlfn.XLOOKUP(G53,SM[Employee ID],SM[Salesperson])</f>
        <v>Aditya Kapoor</v>
      </c>
      <c r="I53" t="str">
        <f>_xlfn.XLOOKUP(G53,SM[Employee ID],SM[Region])</f>
        <v>West</v>
      </c>
      <c r="J53" t="str">
        <f>_xlfn.XLOOKUP(G53,SM[Employee ID],SM[State/City])</f>
        <v>Mumbai</v>
      </c>
      <c r="K53" s="2">
        <f>_xlfn.XLOOKUP(Sales7[[#This Row],[Order ID]],ST[Order ID],ST[Units Sold])</f>
        <v>1</v>
      </c>
      <c r="L53">
        <f t="shared" si="0"/>
        <v>6750</v>
      </c>
    </row>
    <row r="54" spans="1:12" x14ac:dyDescent="0.35">
      <c r="A54" s="7">
        <v>1050</v>
      </c>
      <c r="B54" s="1">
        <v>44990</v>
      </c>
      <c r="C54" s="2" t="s">
        <v>5</v>
      </c>
      <c r="D54" t="str">
        <f>_xlfn.XLOOKUP(Merged_Sales_Data!C54,PM[Product ID],PM[Product Name])</f>
        <v>Ergo Office Chair</v>
      </c>
      <c r="E54" t="str">
        <f>VLOOKUP(C54,PM[],3,FALSE)</f>
        <v>Office Supplies</v>
      </c>
      <c r="F54">
        <f>_xlfn.XLOOKUP(C54,PM[Product ID],PM[Unit Price (₹)])</f>
        <v>6750</v>
      </c>
      <c r="G54" t="str">
        <f>_xlfn.XLOOKUP(Sales7[[#This Row],[Order ID]],ST[Order ID],ST[Employee ID])</f>
        <v>E08</v>
      </c>
      <c r="H54" t="str">
        <f>_xlfn.XLOOKUP(G54,SM[Employee ID],SM[Salesperson])</f>
        <v>Neha Joshi</v>
      </c>
      <c r="I54" t="str">
        <f>_xlfn.XLOOKUP(G54,SM[Employee ID],SM[Region])</f>
        <v>West</v>
      </c>
      <c r="J54" t="str">
        <f>_xlfn.XLOOKUP(G54,SM[Employee ID],SM[State/City])</f>
        <v>Ahmedabad</v>
      </c>
      <c r="K54" s="2">
        <f>_xlfn.XLOOKUP(Sales7[[#This Row],[Order ID]],ST[Order ID],ST[Units Sold])</f>
        <v>6</v>
      </c>
      <c r="L54">
        <f t="shared" si="0"/>
        <v>40500</v>
      </c>
    </row>
    <row r="55" spans="1:12" x14ac:dyDescent="0.35">
      <c r="A55" s="7">
        <v>1057</v>
      </c>
      <c r="B55" s="1">
        <v>44990</v>
      </c>
      <c r="C55" s="2" t="s">
        <v>8</v>
      </c>
      <c r="D55" t="str">
        <f>_xlfn.XLOOKUP(Merged_Sales_Data!C55,PM[Product ID],PM[Product Name])</f>
        <v>USB-C Hub</v>
      </c>
      <c r="E55" t="str">
        <f>VLOOKUP(C55,PM[],3,FALSE)</f>
        <v>Accessories</v>
      </c>
      <c r="F55">
        <f>_xlfn.XLOOKUP(C55,PM[Product ID],PM[Unit Price (₹)])</f>
        <v>880</v>
      </c>
      <c r="G55" t="str">
        <f>_xlfn.XLOOKUP(Sales7[[#This Row],[Order ID]],ST[Order ID],ST[Employee ID])</f>
        <v>E04</v>
      </c>
      <c r="H55" t="str">
        <f>_xlfn.XLOOKUP(G55,SM[Employee ID],SM[Salesperson])</f>
        <v>Priya Nair</v>
      </c>
      <c r="I55" t="str">
        <f>_xlfn.XLOOKUP(G55,SM[Employee ID],SM[Region])</f>
        <v>South</v>
      </c>
      <c r="J55" t="str">
        <f>_xlfn.XLOOKUP(G55,SM[Employee ID],SM[State/City])</f>
        <v>Bengaluru</v>
      </c>
      <c r="K55" s="2">
        <f>_xlfn.XLOOKUP(Sales7[[#This Row],[Order ID]],ST[Order ID],ST[Units Sold])</f>
        <v>5</v>
      </c>
      <c r="L55">
        <f t="shared" si="0"/>
        <v>4400</v>
      </c>
    </row>
    <row r="56" spans="1:12" x14ac:dyDescent="0.35">
      <c r="A56" s="7">
        <v>1061</v>
      </c>
      <c r="B56" s="1">
        <v>44991</v>
      </c>
      <c r="C56" s="2" t="s">
        <v>11</v>
      </c>
      <c r="D56" t="str">
        <f>_xlfn.XLOOKUP(Merged_Sales_Data!C56,PM[Product ID],PM[Product Name])</f>
        <v>Bluetooth Speaker</v>
      </c>
      <c r="E56" t="str">
        <f>VLOOKUP(C56,PM[],3,FALSE)</f>
        <v>Electronics</v>
      </c>
      <c r="F56">
        <f>_xlfn.XLOOKUP(C56,PM[Product ID],PM[Unit Price (₹)])</f>
        <v>1430</v>
      </c>
      <c r="G56" t="str">
        <f>_xlfn.XLOOKUP(Sales7[[#This Row],[Order ID]],ST[Order ID],ST[Employee ID])</f>
        <v>E01</v>
      </c>
      <c r="H56" t="str">
        <f>_xlfn.XLOOKUP(G56,SM[Employee ID],SM[Salesperson])</f>
        <v>Aarav Sharma</v>
      </c>
      <c r="I56" t="str">
        <f>_xlfn.XLOOKUP(G56,SM[Employee ID],SM[Region])</f>
        <v>North</v>
      </c>
      <c r="J56" t="str">
        <f>_xlfn.XLOOKUP(G56,SM[Employee ID],SM[State/City])</f>
        <v>Lucknow</v>
      </c>
      <c r="K56" s="2">
        <f>_xlfn.XLOOKUP(Sales7[[#This Row],[Order ID]],ST[Order ID],ST[Units Sold])</f>
        <v>2</v>
      </c>
      <c r="L56">
        <f t="shared" si="0"/>
        <v>2860</v>
      </c>
    </row>
    <row r="57" spans="1:12" x14ac:dyDescent="0.35">
      <c r="A57" s="7">
        <v>1069</v>
      </c>
      <c r="B57" s="1">
        <v>44991</v>
      </c>
      <c r="C57" s="2" t="s">
        <v>8</v>
      </c>
      <c r="D57" t="str">
        <f>_xlfn.XLOOKUP(Merged_Sales_Data!C57,PM[Product ID],PM[Product Name])</f>
        <v>USB-C Hub</v>
      </c>
      <c r="E57" t="str">
        <f>VLOOKUP(C57,PM[],3,FALSE)</f>
        <v>Accessories</v>
      </c>
      <c r="F57">
        <f>_xlfn.XLOOKUP(C57,PM[Product ID],PM[Unit Price (₹)])</f>
        <v>880</v>
      </c>
      <c r="G57" t="str">
        <f>_xlfn.XLOOKUP(Sales7[[#This Row],[Order ID]],ST[Order ID],ST[Employee ID])</f>
        <v>E08</v>
      </c>
      <c r="H57" t="str">
        <f>_xlfn.XLOOKUP(G57,SM[Employee ID],SM[Salesperson])</f>
        <v>Neha Joshi</v>
      </c>
      <c r="I57" t="str">
        <f>_xlfn.XLOOKUP(G57,SM[Employee ID],SM[Region])</f>
        <v>West</v>
      </c>
      <c r="J57" t="str">
        <f>_xlfn.XLOOKUP(G57,SM[Employee ID],SM[State/City])</f>
        <v>Ahmedabad</v>
      </c>
      <c r="K57" s="2">
        <f>_xlfn.XLOOKUP(Sales7[[#This Row],[Order ID]],ST[Order ID],ST[Units Sold])</f>
        <v>6</v>
      </c>
      <c r="L57">
        <f t="shared" si="0"/>
        <v>5280</v>
      </c>
    </row>
    <row r="58" spans="1:12" x14ac:dyDescent="0.35">
      <c r="A58" s="7">
        <v>1056</v>
      </c>
      <c r="B58" s="1">
        <v>44992</v>
      </c>
      <c r="C58" s="2" t="s">
        <v>11</v>
      </c>
      <c r="D58" t="str">
        <f>_xlfn.XLOOKUP(Merged_Sales_Data!C58,PM[Product ID],PM[Product Name])</f>
        <v>Bluetooth Speaker</v>
      </c>
      <c r="E58" t="str">
        <f>VLOOKUP(C58,PM[],3,FALSE)</f>
        <v>Electronics</v>
      </c>
      <c r="F58">
        <f>_xlfn.XLOOKUP(C58,PM[Product ID],PM[Unit Price (₹)])</f>
        <v>1430</v>
      </c>
      <c r="G58" t="str">
        <f>_xlfn.XLOOKUP(Sales7[[#This Row],[Order ID]],ST[Order ID],ST[Employee ID])</f>
        <v>E06</v>
      </c>
      <c r="H58" t="str">
        <f>_xlfn.XLOOKUP(G58,SM[Employee ID],SM[Salesperson])</f>
        <v>Sneha Roy</v>
      </c>
      <c r="I58" t="str">
        <f>_xlfn.XLOOKUP(G58,SM[Employee ID],SM[Region])</f>
        <v>East</v>
      </c>
      <c r="J58" t="str">
        <f>_xlfn.XLOOKUP(G58,SM[Employee ID],SM[State/City])</f>
        <v>Kolkata</v>
      </c>
      <c r="K58" s="2">
        <f>_xlfn.XLOOKUP(Sales7[[#This Row],[Order ID]],ST[Order ID],ST[Units Sold])</f>
        <v>2</v>
      </c>
      <c r="L58">
        <f t="shared" si="0"/>
        <v>2860</v>
      </c>
    </row>
    <row r="59" spans="1:12" x14ac:dyDescent="0.35">
      <c r="A59" s="7">
        <v>1062</v>
      </c>
      <c r="B59" s="1">
        <v>44992</v>
      </c>
      <c r="C59" s="2" t="s">
        <v>14</v>
      </c>
      <c r="D59" t="str">
        <f>_xlfn.XLOOKUP(Merged_Sales_Data!C59,PM[Product ID],PM[Product Name])</f>
        <v>Laptop Backpack</v>
      </c>
      <c r="E59" t="str">
        <f>VLOOKUP(C59,PM[],3,FALSE)</f>
        <v>Accessories</v>
      </c>
      <c r="F59">
        <f>_xlfn.XLOOKUP(C59,PM[Product ID],PM[Unit Price (₹)])</f>
        <v>1110</v>
      </c>
      <c r="G59" t="str">
        <f>_xlfn.XLOOKUP(Sales7[[#This Row],[Order ID]],ST[Order ID],ST[Employee ID])</f>
        <v>E07</v>
      </c>
      <c r="H59" t="str">
        <f>_xlfn.XLOOKUP(G59,SM[Employee ID],SM[Salesperson])</f>
        <v>Aditya Kapoor</v>
      </c>
      <c r="I59" t="str">
        <f>_xlfn.XLOOKUP(G59,SM[Employee ID],SM[Region])</f>
        <v>West</v>
      </c>
      <c r="J59" t="str">
        <f>_xlfn.XLOOKUP(G59,SM[Employee ID],SM[State/City])</f>
        <v>Mumbai</v>
      </c>
      <c r="K59" s="2">
        <f>_xlfn.XLOOKUP(Sales7[[#This Row],[Order ID]],ST[Order ID],ST[Units Sold])</f>
        <v>5</v>
      </c>
      <c r="L59">
        <f t="shared" si="0"/>
        <v>5550</v>
      </c>
    </row>
    <row r="60" spans="1:12" x14ac:dyDescent="0.35">
      <c r="A60" s="7">
        <v>1049</v>
      </c>
      <c r="B60" s="1">
        <v>44994</v>
      </c>
      <c r="C60" s="2" t="s">
        <v>8</v>
      </c>
      <c r="D60" t="str">
        <f>_xlfn.XLOOKUP(Merged_Sales_Data!C60,PM[Product ID],PM[Product Name])</f>
        <v>USB-C Hub</v>
      </c>
      <c r="E60" t="str">
        <f>VLOOKUP(C60,PM[],3,FALSE)</f>
        <v>Accessories</v>
      </c>
      <c r="F60">
        <f>_xlfn.XLOOKUP(C60,PM[Product ID],PM[Unit Price (₹)])</f>
        <v>880</v>
      </c>
      <c r="G60" t="str">
        <f>_xlfn.XLOOKUP(Sales7[[#This Row],[Order ID]],ST[Order ID],ST[Employee ID])</f>
        <v>E02</v>
      </c>
      <c r="H60" t="str">
        <f>_xlfn.XLOOKUP(G60,SM[Employee ID],SM[Salesperson])</f>
        <v>Ishita Verma</v>
      </c>
      <c r="I60" t="str">
        <f>_xlfn.XLOOKUP(G60,SM[Employee ID],SM[Region])</f>
        <v>North</v>
      </c>
      <c r="J60" t="str">
        <f>_xlfn.XLOOKUP(G60,SM[Employee ID],SM[State/City])</f>
        <v>Chandigarh</v>
      </c>
      <c r="K60" s="2">
        <f>_xlfn.XLOOKUP(Sales7[[#This Row],[Order ID]],ST[Order ID],ST[Units Sold])</f>
        <v>2</v>
      </c>
      <c r="L60">
        <f t="shared" si="0"/>
        <v>1760</v>
      </c>
    </row>
    <row r="61" spans="1:12" x14ac:dyDescent="0.35">
      <c r="A61" s="7">
        <v>1066</v>
      </c>
      <c r="B61" s="1">
        <v>44995</v>
      </c>
      <c r="C61" s="2" t="s">
        <v>18</v>
      </c>
      <c r="D61" t="str">
        <f>_xlfn.XLOOKUP(Merged_Sales_Data!C61,PM[Product ID],PM[Product Name])</f>
        <v>LED Monitor 24"</v>
      </c>
      <c r="E61" t="str">
        <f>VLOOKUP(C61,PM[],3,FALSE)</f>
        <v>Electronics</v>
      </c>
      <c r="F61">
        <f>_xlfn.XLOOKUP(C61,PM[Product ID],PM[Unit Price (₹)])</f>
        <v>7700</v>
      </c>
      <c r="G61" t="str">
        <f>_xlfn.XLOOKUP(Sales7[[#This Row],[Order ID]],ST[Order ID],ST[Employee ID])</f>
        <v>E08</v>
      </c>
      <c r="H61" t="str">
        <f>_xlfn.XLOOKUP(G61,SM[Employee ID],SM[Salesperson])</f>
        <v>Neha Joshi</v>
      </c>
      <c r="I61" t="str">
        <f>_xlfn.XLOOKUP(G61,SM[Employee ID],SM[Region])</f>
        <v>West</v>
      </c>
      <c r="J61" t="str">
        <f>_xlfn.XLOOKUP(G61,SM[Employee ID],SM[State/City])</f>
        <v>Ahmedabad</v>
      </c>
      <c r="K61" s="2">
        <f>_xlfn.XLOOKUP(Sales7[[#This Row],[Order ID]],ST[Order ID],ST[Units Sold])</f>
        <v>2</v>
      </c>
      <c r="L61">
        <f t="shared" si="0"/>
        <v>15400</v>
      </c>
    </row>
    <row r="62" spans="1:12" x14ac:dyDescent="0.35">
      <c r="A62" s="7">
        <v>1063</v>
      </c>
      <c r="B62" s="1">
        <v>44998</v>
      </c>
      <c r="C62" s="2" t="s">
        <v>21</v>
      </c>
      <c r="D62" t="str">
        <f>_xlfn.XLOOKUP(Merged_Sales_Data!C62,PM[Product ID],PM[Product Name])</f>
        <v>Wireless Mouse</v>
      </c>
      <c r="E62" t="str">
        <f>VLOOKUP(C62,PM[],3,FALSE)</f>
        <v>Electronics</v>
      </c>
      <c r="F62">
        <f>_xlfn.XLOOKUP(C62,PM[Product ID],PM[Unit Price (₹)])</f>
        <v>780</v>
      </c>
      <c r="G62" t="str">
        <f>_xlfn.XLOOKUP(Sales7[[#This Row],[Order ID]],ST[Order ID],ST[Employee ID])</f>
        <v>E07</v>
      </c>
      <c r="H62" t="str">
        <f>_xlfn.XLOOKUP(G62,SM[Employee ID],SM[Salesperson])</f>
        <v>Aditya Kapoor</v>
      </c>
      <c r="I62" t="str">
        <f>_xlfn.XLOOKUP(G62,SM[Employee ID],SM[Region])</f>
        <v>West</v>
      </c>
      <c r="J62" t="str">
        <f>_xlfn.XLOOKUP(G62,SM[Employee ID],SM[State/City])</f>
        <v>Mumbai</v>
      </c>
      <c r="K62" s="2">
        <f>_xlfn.XLOOKUP(Sales7[[#This Row],[Order ID]],ST[Order ID],ST[Units Sold])</f>
        <v>1</v>
      </c>
      <c r="L62">
        <f t="shared" si="0"/>
        <v>780</v>
      </c>
    </row>
    <row r="63" spans="1:12" x14ac:dyDescent="0.35">
      <c r="A63" s="7">
        <v>1053</v>
      </c>
      <c r="B63" s="1">
        <v>44999</v>
      </c>
      <c r="C63" s="2" t="s">
        <v>12</v>
      </c>
      <c r="D63" t="str">
        <f>_xlfn.XLOOKUP(Merged_Sales_Data!C63,PM[Product ID],PM[Product Name])</f>
        <v>Bookshelf Unit</v>
      </c>
      <c r="E63" t="str">
        <f>VLOOKUP(C63,PM[],3,FALSE)</f>
        <v>Furniture</v>
      </c>
      <c r="F63">
        <f>_xlfn.XLOOKUP(C63,PM[Product ID],PM[Unit Price (₹)])</f>
        <v>3910</v>
      </c>
      <c r="G63" t="str">
        <f>_xlfn.XLOOKUP(Sales7[[#This Row],[Order ID]],ST[Order ID],ST[Employee ID])</f>
        <v>E07</v>
      </c>
      <c r="H63" t="str">
        <f>_xlfn.XLOOKUP(G63,SM[Employee ID],SM[Salesperson])</f>
        <v>Aditya Kapoor</v>
      </c>
      <c r="I63" t="str">
        <f>_xlfn.XLOOKUP(G63,SM[Employee ID],SM[Region])</f>
        <v>West</v>
      </c>
      <c r="J63" t="str">
        <f>_xlfn.XLOOKUP(G63,SM[Employee ID],SM[State/City])</f>
        <v>Mumbai</v>
      </c>
      <c r="K63" s="2">
        <f>_xlfn.XLOOKUP(Sales7[[#This Row],[Order ID]],ST[Order ID],ST[Units Sold])</f>
        <v>4</v>
      </c>
      <c r="L63">
        <f t="shared" si="0"/>
        <v>15640</v>
      </c>
    </row>
    <row r="64" spans="1:12" x14ac:dyDescent="0.35">
      <c r="A64" s="7">
        <v>1058</v>
      </c>
      <c r="B64" s="1">
        <v>45000</v>
      </c>
      <c r="C64" s="2" t="s">
        <v>18</v>
      </c>
      <c r="D64" t="str">
        <f>_xlfn.XLOOKUP(Merged_Sales_Data!C64,PM[Product ID],PM[Product Name])</f>
        <v>LED Monitor 24"</v>
      </c>
      <c r="E64" t="str">
        <f>VLOOKUP(C64,PM[],3,FALSE)</f>
        <v>Electronics</v>
      </c>
      <c r="F64">
        <f>_xlfn.XLOOKUP(C64,PM[Product ID],PM[Unit Price (₹)])</f>
        <v>7700</v>
      </c>
      <c r="G64" t="str">
        <f>_xlfn.XLOOKUP(Sales7[[#This Row],[Order ID]],ST[Order ID],ST[Employee ID])</f>
        <v>E07</v>
      </c>
      <c r="H64" t="str">
        <f>_xlfn.XLOOKUP(G64,SM[Employee ID],SM[Salesperson])</f>
        <v>Aditya Kapoor</v>
      </c>
      <c r="I64" t="str">
        <f>_xlfn.XLOOKUP(G64,SM[Employee ID],SM[Region])</f>
        <v>West</v>
      </c>
      <c r="J64" t="str">
        <f>_xlfn.XLOOKUP(G64,SM[Employee ID],SM[State/City])</f>
        <v>Mumbai</v>
      </c>
      <c r="K64" s="2">
        <f>_xlfn.XLOOKUP(Sales7[[#This Row],[Order ID]],ST[Order ID],ST[Units Sold])</f>
        <v>2</v>
      </c>
      <c r="L64">
        <f t="shared" si="0"/>
        <v>15400</v>
      </c>
    </row>
    <row r="65" spans="1:12" x14ac:dyDescent="0.35">
      <c r="A65" s="7">
        <v>1060</v>
      </c>
      <c r="B65" s="1">
        <v>45003</v>
      </c>
      <c r="C65" s="2" t="s">
        <v>21</v>
      </c>
      <c r="D65" t="str">
        <f>_xlfn.XLOOKUP(Merged_Sales_Data!C65,PM[Product ID],PM[Product Name])</f>
        <v>Wireless Mouse</v>
      </c>
      <c r="E65" t="str">
        <f>VLOOKUP(C65,PM[],3,FALSE)</f>
        <v>Electronics</v>
      </c>
      <c r="F65">
        <f>_xlfn.XLOOKUP(C65,PM[Product ID],PM[Unit Price (₹)])</f>
        <v>780</v>
      </c>
      <c r="G65" t="str">
        <f>_xlfn.XLOOKUP(Sales7[[#This Row],[Order ID]],ST[Order ID],ST[Employee ID])</f>
        <v>E02</v>
      </c>
      <c r="H65" t="str">
        <f>_xlfn.XLOOKUP(G65,SM[Employee ID],SM[Salesperson])</f>
        <v>Ishita Verma</v>
      </c>
      <c r="I65" t="str">
        <f>_xlfn.XLOOKUP(G65,SM[Employee ID],SM[Region])</f>
        <v>North</v>
      </c>
      <c r="J65" t="str">
        <f>_xlfn.XLOOKUP(G65,SM[Employee ID],SM[State/City])</f>
        <v>Chandigarh</v>
      </c>
      <c r="K65" s="2">
        <f>_xlfn.XLOOKUP(Sales7[[#This Row],[Order ID]],ST[Order ID],ST[Units Sold])</f>
        <v>10</v>
      </c>
      <c r="L65">
        <f t="shared" si="0"/>
        <v>7800</v>
      </c>
    </row>
    <row r="66" spans="1:12" x14ac:dyDescent="0.35">
      <c r="A66" s="7">
        <v>1054</v>
      </c>
      <c r="B66" s="1">
        <v>45006</v>
      </c>
      <c r="C66" s="2" t="s">
        <v>21</v>
      </c>
      <c r="D66" t="str">
        <f>_xlfn.XLOOKUP(Merged_Sales_Data!C66,PM[Product ID],PM[Product Name])</f>
        <v>Wireless Mouse</v>
      </c>
      <c r="E66" t="str">
        <f>VLOOKUP(C66,PM[],3,FALSE)</f>
        <v>Electronics</v>
      </c>
      <c r="F66">
        <f>_xlfn.XLOOKUP(C66,PM[Product ID],PM[Unit Price (₹)])</f>
        <v>780</v>
      </c>
      <c r="G66" t="str">
        <f>_xlfn.XLOOKUP(Sales7[[#This Row],[Order ID]],ST[Order ID],ST[Employee ID])</f>
        <v>E08</v>
      </c>
      <c r="H66" t="str">
        <f>_xlfn.XLOOKUP(G66,SM[Employee ID],SM[Salesperson])</f>
        <v>Neha Joshi</v>
      </c>
      <c r="I66" t="str">
        <f>_xlfn.XLOOKUP(G66,SM[Employee ID],SM[Region])</f>
        <v>West</v>
      </c>
      <c r="J66" t="str">
        <f>_xlfn.XLOOKUP(G66,SM[Employee ID],SM[State/City])</f>
        <v>Ahmedabad</v>
      </c>
      <c r="K66" s="2">
        <f>_xlfn.XLOOKUP(Sales7[[#This Row],[Order ID]],ST[Order ID],ST[Units Sold])</f>
        <v>10</v>
      </c>
      <c r="L66">
        <f t="shared" si="0"/>
        <v>7800</v>
      </c>
    </row>
    <row r="67" spans="1:12" x14ac:dyDescent="0.35">
      <c r="A67" s="7">
        <v>1065</v>
      </c>
      <c r="B67" s="1">
        <v>45008</v>
      </c>
      <c r="C67" s="2" t="s">
        <v>20</v>
      </c>
      <c r="D67" t="str">
        <f>_xlfn.XLOOKUP(Merged_Sales_Data!C67,PM[Product ID],PM[Product Name])</f>
        <v>Standing Desk</v>
      </c>
      <c r="E67" t="str">
        <f>VLOOKUP(C67,PM[],3,FALSE)</f>
        <v>Office Supplies</v>
      </c>
      <c r="F67">
        <f>_xlfn.XLOOKUP(C67,PM[Product ID],PM[Unit Price (₹)])</f>
        <v>11010</v>
      </c>
      <c r="G67" t="str">
        <f>_xlfn.XLOOKUP(Sales7[[#This Row],[Order ID]],ST[Order ID],ST[Employee ID])</f>
        <v>E08</v>
      </c>
      <c r="H67" t="str">
        <f>_xlfn.XLOOKUP(G67,SM[Employee ID],SM[Salesperson])</f>
        <v>Neha Joshi</v>
      </c>
      <c r="I67" t="str">
        <f>_xlfn.XLOOKUP(G67,SM[Employee ID],SM[Region])</f>
        <v>West</v>
      </c>
      <c r="J67" t="str">
        <f>_xlfn.XLOOKUP(G67,SM[Employee ID],SM[State/City])</f>
        <v>Ahmedabad</v>
      </c>
      <c r="K67" s="2">
        <f>_xlfn.XLOOKUP(Sales7[[#This Row],[Order ID]],ST[Order ID],ST[Units Sold])</f>
        <v>4</v>
      </c>
      <c r="L67">
        <f t="shared" ref="L67:L130" si="1">F67*K67</f>
        <v>44040</v>
      </c>
    </row>
    <row r="68" spans="1:12" x14ac:dyDescent="0.35">
      <c r="A68" s="7">
        <v>1075</v>
      </c>
      <c r="B68" s="1">
        <v>45008</v>
      </c>
      <c r="C68" s="2" t="s">
        <v>5</v>
      </c>
      <c r="D68" t="str">
        <f>_xlfn.XLOOKUP(Merged_Sales_Data!C68,PM[Product ID],PM[Product Name])</f>
        <v>Ergo Office Chair</v>
      </c>
      <c r="E68" t="str">
        <f>VLOOKUP(C68,PM[],3,FALSE)</f>
        <v>Office Supplies</v>
      </c>
      <c r="F68">
        <f>_xlfn.XLOOKUP(C68,PM[Product ID],PM[Unit Price (₹)])</f>
        <v>6750</v>
      </c>
      <c r="G68" t="str">
        <f>_xlfn.XLOOKUP(Sales7[[#This Row],[Order ID]],ST[Order ID],ST[Employee ID])</f>
        <v>E05</v>
      </c>
      <c r="H68" t="str">
        <f>_xlfn.XLOOKUP(G68,SM[Employee ID],SM[Salesperson])</f>
        <v>Karan Malhotra</v>
      </c>
      <c r="I68" t="str">
        <f>_xlfn.XLOOKUP(G68,SM[Employee ID],SM[Region])</f>
        <v>East</v>
      </c>
      <c r="J68" t="str">
        <f>_xlfn.XLOOKUP(G68,SM[Employee ID],SM[State/City])</f>
        <v>Kolkata</v>
      </c>
      <c r="K68" s="2">
        <f>_xlfn.XLOOKUP(Sales7[[#This Row],[Order ID]],ST[Order ID],ST[Units Sold])</f>
        <v>10</v>
      </c>
      <c r="L68">
        <f t="shared" si="1"/>
        <v>67500</v>
      </c>
    </row>
    <row r="69" spans="1:12" x14ac:dyDescent="0.35">
      <c r="A69" s="7">
        <v>1055</v>
      </c>
      <c r="B69" s="1">
        <v>45009</v>
      </c>
      <c r="C69" s="2" t="s">
        <v>21</v>
      </c>
      <c r="D69" t="str">
        <f>_xlfn.XLOOKUP(Merged_Sales_Data!C69,PM[Product ID],PM[Product Name])</f>
        <v>Wireless Mouse</v>
      </c>
      <c r="E69" t="str">
        <f>VLOOKUP(C69,PM[],3,FALSE)</f>
        <v>Electronics</v>
      </c>
      <c r="F69">
        <f>_xlfn.XLOOKUP(C69,PM[Product ID],PM[Unit Price (₹)])</f>
        <v>780</v>
      </c>
      <c r="G69" t="str">
        <f>_xlfn.XLOOKUP(Sales7[[#This Row],[Order ID]],ST[Order ID],ST[Employee ID])</f>
        <v>E02</v>
      </c>
      <c r="H69" t="str">
        <f>_xlfn.XLOOKUP(G69,SM[Employee ID],SM[Salesperson])</f>
        <v>Ishita Verma</v>
      </c>
      <c r="I69" t="str">
        <f>_xlfn.XLOOKUP(G69,SM[Employee ID],SM[Region])</f>
        <v>North</v>
      </c>
      <c r="J69" t="str">
        <f>_xlfn.XLOOKUP(G69,SM[Employee ID],SM[State/City])</f>
        <v>Chandigarh</v>
      </c>
      <c r="K69" s="2">
        <f>_xlfn.XLOOKUP(Sales7[[#This Row],[Order ID]],ST[Order ID],ST[Units Sold])</f>
        <v>4</v>
      </c>
      <c r="L69">
        <f t="shared" si="1"/>
        <v>3120</v>
      </c>
    </row>
    <row r="70" spans="1:12" x14ac:dyDescent="0.35">
      <c r="A70" s="7">
        <v>1067</v>
      </c>
      <c r="B70" s="1">
        <v>45009</v>
      </c>
      <c r="C70" s="2" t="s">
        <v>21</v>
      </c>
      <c r="D70" t="str">
        <f>_xlfn.XLOOKUP(Merged_Sales_Data!C70,PM[Product ID],PM[Product Name])</f>
        <v>Wireless Mouse</v>
      </c>
      <c r="E70" t="str">
        <f>VLOOKUP(C70,PM[],3,FALSE)</f>
        <v>Electronics</v>
      </c>
      <c r="F70">
        <f>_xlfn.XLOOKUP(C70,PM[Product ID],PM[Unit Price (₹)])</f>
        <v>780</v>
      </c>
      <c r="G70" t="str">
        <f>_xlfn.XLOOKUP(Sales7[[#This Row],[Order ID]],ST[Order ID],ST[Employee ID])</f>
        <v>E04</v>
      </c>
      <c r="H70" t="str">
        <f>_xlfn.XLOOKUP(G70,SM[Employee ID],SM[Salesperson])</f>
        <v>Priya Nair</v>
      </c>
      <c r="I70" t="str">
        <f>_xlfn.XLOOKUP(G70,SM[Employee ID],SM[Region])</f>
        <v>South</v>
      </c>
      <c r="J70" t="str">
        <f>_xlfn.XLOOKUP(G70,SM[Employee ID],SM[State/City])</f>
        <v>Bengaluru</v>
      </c>
      <c r="K70" s="2">
        <f>_xlfn.XLOOKUP(Sales7[[#This Row],[Order ID]],ST[Order ID],ST[Units Sold])</f>
        <v>8</v>
      </c>
      <c r="L70">
        <f t="shared" si="1"/>
        <v>6240</v>
      </c>
    </row>
    <row r="71" spans="1:12" x14ac:dyDescent="0.35">
      <c r="A71" s="7">
        <v>1051</v>
      </c>
      <c r="B71" s="1">
        <v>45011</v>
      </c>
      <c r="C71" s="2" t="s">
        <v>5</v>
      </c>
      <c r="D71" t="str">
        <f>_xlfn.XLOOKUP(Merged_Sales_Data!C71,PM[Product ID],PM[Product Name])</f>
        <v>Ergo Office Chair</v>
      </c>
      <c r="E71" t="str">
        <f>VLOOKUP(C71,PM[],3,FALSE)</f>
        <v>Office Supplies</v>
      </c>
      <c r="F71">
        <f>_xlfn.XLOOKUP(C71,PM[Product ID],PM[Unit Price (₹)])</f>
        <v>6750</v>
      </c>
      <c r="G71" t="str">
        <f>_xlfn.XLOOKUP(Sales7[[#This Row],[Order ID]],ST[Order ID],ST[Employee ID])</f>
        <v>E08</v>
      </c>
      <c r="H71" t="str">
        <f>_xlfn.XLOOKUP(G71,SM[Employee ID],SM[Salesperson])</f>
        <v>Neha Joshi</v>
      </c>
      <c r="I71" t="str">
        <f>_xlfn.XLOOKUP(G71,SM[Employee ID],SM[Region])</f>
        <v>West</v>
      </c>
      <c r="J71" t="str">
        <f>_xlfn.XLOOKUP(G71,SM[Employee ID],SM[State/City])</f>
        <v>Ahmedabad</v>
      </c>
      <c r="K71" s="2">
        <f>_xlfn.XLOOKUP(Sales7[[#This Row],[Order ID]],ST[Order ID],ST[Units Sold])</f>
        <v>5</v>
      </c>
      <c r="L71">
        <f t="shared" si="1"/>
        <v>33750</v>
      </c>
    </row>
    <row r="72" spans="1:12" x14ac:dyDescent="0.35">
      <c r="A72" s="7">
        <v>1059</v>
      </c>
      <c r="B72" s="1">
        <v>45011</v>
      </c>
      <c r="C72" s="2" t="s">
        <v>11</v>
      </c>
      <c r="D72" t="str">
        <f>_xlfn.XLOOKUP(Merged_Sales_Data!C72,PM[Product ID],PM[Product Name])</f>
        <v>Bluetooth Speaker</v>
      </c>
      <c r="E72" t="str">
        <f>VLOOKUP(C72,PM[],3,FALSE)</f>
        <v>Electronics</v>
      </c>
      <c r="F72">
        <f>_xlfn.XLOOKUP(C72,PM[Product ID],PM[Unit Price (₹)])</f>
        <v>1430</v>
      </c>
      <c r="G72" t="str">
        <f>_xlfn.XLOOKUP(Sales7[[#This Row],[Order ID]],ST[Order ID],ST[Employee ID])</f>
        <v>E04</v>
      </c>
      <c r="H72" t="str">
        <f>_xlfn.XLOOKUP(G72,SM[Employee ID],SM[Salesperson])</f>
        <v>Priya Nair</v>
      </c>
      <c r="I72" t="str">
        <f>_xlfn.XLOOKUP(G72,SM[Employee ID],SM[Region])</f>
        <v>South</v>
      </c>
      <c r="J72" t="str">
        <f>_xlfn.XLOOKUP(G72,SM[Employee ID],SM[State/City])</f>
        <v>Bengaluru</v>
      </c>
      <c r="K72" s="2">
        <f>_xlfn.XLOOKUP(Sales7[[#This Row],[Order ID]],ST[Order ID],ST[Units Sold])</f>
        <v>5</v>
      </c>
      <c r="L72">
        <f t="shared" si="1"/>
        <v>7150</v>
      </c>
    </row>
    <row r="73" spans="1:12" x14ac:dyDescent="0.35">
      <c r="A73" s="7">
        <v>1070</v>
      </c>
      <c r="B73" s="1">
        <v>45013</v>
      </c>
      <c r="C73" s="2" t="s">
        <v>8</v>
      </c>
      <c r="D73" t="str">
        <f>_xlfn.XLOOKUP(Merged_Sales_Data!C73,PM[Product ID],PM[Product Name])</f>
        <v>USB-C Hub</v>
      </c>
      <c r="E73" t="str">
        <f>VLOOKUP(C73,PM[],3,FALSE)</f>
        <v>Accessories</v>
      </c>
      <c r="F73">
        <f>_xlfn.XLOOKUP(C73,PM[Product ID],PM[Unit Price (₹)])</f>
        <v>880</v>
      </c>
      <c r="G73" t="str">
        <f>_xlfn.XLOOKUP(Sales7[[#This Row],[Order ID]],ST[Order ID],ST[Employee ID])</f>
        <v>E01</v>
      </c>
      <c r="H73" t="str">
        <f>_xlfn.XLOOKUP(G73,SM[Employee ID],SM[Salesperson])</f>
        <v>Aarav Sharma</v>
      </c>
      <c r="I73" t="str">
        <f>_xlfn.XLOOKUP(G73,SM[Employee ID],SM[Region])</f>
        <v>North</v>
      </c>
      <c r="J73" t="str">
        <f>_xlfn.XLOOKUP(G73,SM[Employee ID],SM[State/City])</f>
        <v>Lucknow</v>
      </c>
      <c r="K73" s="2">
        <f>_xlfn.XLOOKUP(Sales7[[#This Row],[Order ID]],ST[Order ID],ST[Units Sold])</f>
        <v>1</v>
      </c>
      <c r="L73">
        <f t="shared" si="1"/>
        <v>880</v>
      </c>
    </row>
    <row r="74" spans="1:12" x14ac:dyDescent="0.35">
      <c r="A74" s="7">
        <v>1064</v>
      </c>
      <c r="B74" s="1">
        <v>45015</v>
      </c>
      <c r="C74" s="2" t="s">
        <v>10</v>
      </c>
      <c r="D74" t="str">
        <f>_xlfn.XLOOKUP(Merged_Sales_Data!C74,PM[Product ID],PM[Product Name])</f>
        <v>Filing Cabinet</v>
      </c>
      <c r="E74" t="str">
        <f>VLOOKUP(C74,PM[],3,FALSE)</f>
        <v>Furniture</v>
      </c>
      <c r="F74">
        <f>_xlfn.XLOOKUP(C74,PM[Product ID],PM[Unit Price (₹)])</f>
        <v>4070</v>
      </c>
      <c r="G74" t="str">
        <f>_xlfn.XLOOKUP(Sales7[[#This Row],[Order ID]],ST[Order ID],ST[Employee ID])</f>
        <v>E01</v>
      </c>
      <c r="H74" t="str">
        <f>_xlfn.XLOOKUP(G74,SM[Employee ID],SM[Salesperson])</f>
        <v>Aarav Sharma</v>
      </c>
      <c r="I74" t="str">
        <f>_xlfn.XLOOKUP(G74,SM[Employee ID],SM[Region])</f>
        <v>North</v>
      </c>
      <c r="J74" t="str">
        <f>_xlfn.XLOOKUP(G74,SM[Employee ID],SM[State/City])</f>
        <v>Lucknow</v>
      </c>
      <c r="K74" s="2">
        <f>_xlfn.XLOOKUP(Sales7[[#This Row],[Order ID]],ST[Order ID],ST[Units Sold])</f>
        <v>2</v>
      </c>
      <c r="L74">
        <f t="shared" si="1"/>
        <v>8140</v>
      </c>
    </row>
    <row r="75" spans="1:12" x14ac:dyDescent="0.35">
      <c r="A75" s="7">
        <v>1074</v>
      </c>
      <c r="B75" s="1">
        <v>45015</v>
      </c>
      <c r="C75" s="2" t="s">
        <v>8</v>
      </c>
      <c r="D75" t="str">
        <f>_xlfn.XLOOKUP(Merged_Sales_Data!C75,PM[Product ID],PM[Product Name])</f>
        <v>USB-C Hub</v>
      </c>
      <c r="E75" t="str">
        <f>VLOOKUP(C75,PM[],3,FALSE)</f>
        <v>Accessories</v>
      </c>
      <c r="F75">
        <f>_xlfn.XLOOKUP(C75,PM[Product ID],PM[Unit Price (₹)])</f>
        <v>880</v>
      </c>
      <c r="G75" t="str">
        <f>_xlfn.XLOOKUP(Sales7[[#This Row],[Order ID]],ST[Order ID],ST[Employee ID])</f>
        <v>E07</v>
      </c>
      <c r="H75" t="str">
        <f>_xlfn.XLOOKUP(G75,SM[Employee ID],SM[Salesperson])</f>
        <v>Aditya Kapoor</v>
      </c>
      <c r="I75" t="str">
        <f>_xlfn.XLOOKUP(G75,SM[Employee ID],SM[Region])</f>
        <v>West</v>
      </c>
      <c r="J75" t="str">
        <f>_xlfn.XLOOKUP(G75,SM[Employee ID],SM[State/City])</f>
        <v>Mumbai</v>
      </c>
      <c r="K75" s="2">
        <f>_xlfn.XLOOKUP(Sales7[[#This Row],[Order ID]],ST[Order ID],ST[Units Sold])</f>
        <v>3</v>
      </c>
      <c r="L75">
        <f t="shared" si="1"/>
        <v>2640</v>
      </c>
    </row>
    <row r="76" spans="1:12" x14ac:dyDescent="0.35">
      <c r="A76" s="7">
        <v>1072</v>
      </c>
      <c r="B76" s="1">
        <v>45016</v>
      </c>
      <c r="C76" s="2" t="s">
        <v>10</v>
      </c>
      <c r="D76" t="str">
        <f>_xlfn.XLOOKUP(Merged_Sales_Data!C76,PM[Product ID],PM[Product Name])</f>
        <v>Filing Cabinet</v>
      </c>
      <c r="E76" t="str">
        <f>VLOOKUP(C76,PM[],3,FALSE)</f>
        <v>Furniture</v>
      </c>
      <c r="F76">
        <f>_xlfn.XLOOKUP(C76,PM[Product ID],PM[Unit Price (₹)])</f>
        <v>4070</v>
      </c>
      <c r="G76" t="str">
        <f>_xlfn.XLOOKUP(Sales7[[#This Row],[Order ID]],ST[Order ID],ST[Employee ID])</f>
        <v>E04</v>
      </c>
      <c r="H76" t="str">
        <f>_xlfn.XLOOKUP(G76,SM[Employee ID],SM[Salesperson])</f>
        <v>Priya Nair</v>
      </c>
      <c r="I76" t="str">
        <f>_xlfn.XLOOKUP(G76,SM[Employee ID],SM[Region])</f>
        <v>South</v>
      </c>
      <c r="J76" t="str">
        <f>_xlfn.XLOOKUP(G76,SM[Employee ID],SM[State/City])</f>
        <v>Bengaluru</v>
      </c>
      <c r="K76" s="2">
        <f>_xlfn.XLOOKUP(Sales7[[#This Row],[Order ID]],ST[Order ID],ST[Units Sold])</f>
        <v>1</v>
      </c>
      <c r="L76">
        <f t="shared" si="1"/>
        <v>4070</v>
      </c>
    </row>
    <row r="77" spans="1:12" x14ac:dyDescent="0.35">
      <c r="A77" s="7">
        <v>1100</v>
      </c>
      <c r="B77" s="1">
        <v>45017</v>
      </c>
      <c r="C77" s="2" t="s">
        <v>18</v>
      </c>
      <c r="D77" t="str">
        <f>_xlfn.XLOOKUP(Merged_Sales_Data!C77,PM[Product ID],PM[Product Name])</f>
        <v>LED Monitor 24"</v>
      </c>
      <c r="E77" t="str">
        <f>VLOOKUP(C77,PM[],3,FALSE)</f>
        <v>Electronics</v>
      </c>
      <c r="F77">
        <f>_xlfn.XLOOKUP(C77,PM[Product ID],PM[Unit Price (₹)])</f>
        <v>7700</v>
      </c>
      <c r="G77" t="str">
        <f>_xlfn.XLOOKUP(Sales7[[#This Row],[Order ID]],ST[Order ID],ST[Employee ID])</f>
        <v>E03</v>
      </c>
      <c r="H77" t="str">
        <f>_xlfn.XLOOKUP(G77,SM[Employee ID],SM[Salesperson])</f>
        <v>Rohan Mehta</v>
      </c>
      <c r="I77" t="str">
        <f>_xlfn.XLOOKUP(G77,SM[Employee ID],SM[Region])</f>
        <v>South</v>
      </c>
      <c r="J77" t="str">
        <f>_xlfn.XLOOKUP(G77,SM[Employee ID],SM[State/City])</f>
        <v>Bengaluru</v>
      </c>
      <c r="K77" s="2">
        <f>_xlfn.XLOOKUP(Sales7[[#This Row],[Order ID]],ST[Order ID],ST[Units Sold])</f>
        <v>4</v>
      </c>
      <c r="L77">
        <f t="shared" si="1"/>
        <v>30800</v>
      </c>
    </row>
    <row r="78" spans="1:12" x14ac:dyDescent="0.35">
      <c r="A78" s="7">
        <v>1076</v>
      </c>
      <c r="B78" s="1">
        <v>45021</v>
      </c>
      <c r="C78" s="2" t="s">
        <v>20</v>
      </c>
      <c r="D78" t="str">
        <f>_xlfn.XLOOKUP(Merged_Sales_Data!C78,PM[Product ID],PM[Product Name])</f>
        <v>Standing Desk</v>
      </c>
      <c r="E78" t="str">
        <f>VLOOKUP(C78,PM[],3,FALSE)</f>
        <v>Office Supplies</v>
      </c>
      <c r="F78">
        <f>_xlfn.XLOOKUP(C78,PM[Product ID],PM[Unit Price (₹)])</f>
        <v>11010</v>
      </c>
      <c r="G78" t="str">
        <f>_xlfn.XLOOKUP(Sales7[[#This Row],[Order ID]],ST[Order ID],ST[Employee ID])</f>
        <v>E04</v>
      </c>
      <c r="H78" t="str">
        <f>_xlfn.XLOOKUP(G78,SM[Employee ID],SM[Salesperson])</f>
        <v>Priya Nair</v>
      </c>
      <c r="I78" t="str">
        <f>_xlfn.XLOOKUP(G78,SM[Employee ID],SM[Region])</f>
        <v>South</v>
      </c>
      <c r="J78" t="str">
        <f>_xlfn.XLOOKUP(G78,SM[Employee ID],SM[State/City])</f>
        <v>Bengaluru</v>
      </c>
      <c r="K78" s="2">
        <f>_xlfn.XLOOKUP(Sales7[[#This Row],[Order ID]],ST[Order ID],ST[Units Sold])</f>
        <v>4</v>
      </c>
      <c r="L78">
        <f t="shared" si="1"/>
        <v>44040</v>
      </c>
    </row>
    <row r="79" spans="1:12" x14ac:dyDescent="0.35">
      <c r="A79" s="7">
        <v>1085</v>
      </c>
      <c r="B79" s="1">
        <v>45021</v>
      </c>
      <c r="C79" s="2" t="s">
        <v>11</v>
      </c>
      <c r="D79" t="str">
        <f>_xlfn.XLOOKUP(Merged_Sales_Data!C79,PM[Product ID],PM[Product Name])</f>
        <v>Bluetooth Speaker</v>
      </c>
      <c r="E79" t="str">
        <f>VLOOKUP(C79,PM[],3,FALSE)</f>
        <v>Electronics</v>
      </c>
      <c r="F79">
        <f>_xlfn.XLOOKUP(C79,PM[Product ID],PM[Unit Price (₹)])</f>
        <v>1430</v>
      </c>
      <c r="G79" t="str">
        <f>_xlfn.XLOOKUP(Sales7[[#This Row],[Order ID]],ST[Order ID],ST[Employee ID])</f>
        <v>E02</v>
      </c>
      <c r="H79" t="str">
        <f>_xlfn.XLOOKUP(G79,SM[Employee ID],SM[Salesperson])</f>
        <v>Ishita Verma</v>
      </c>
      <c r="I79" t="str">
        <f>_xlfn.XLOOKUP(G79,SM[Employee ID],SM[Region])</f>
        <v>North</v>
      </c>
      <c r="J79" t="str">
        <f>_xlfn.XLOOKUP(G79,SM[Employee ID],SM[State/City])</f>
        <v>Chandigarh</v>
      </c>
      <c r="K79" s="2">
        <f>_xlfn.XLOOKUP(Sales7[[#This Row],[Order ID]],ST[Order ID],ST[Units Sold])</f>
        <v>6</v>
      </c>
      <c r="L79">
        <f t="shared" si="1"/>
        <v>8580</v>
      </c>
    </row>
    <row r="80" spans="1:12" x14ac:dyDescent="0.35">
      <c r="A80" s="7">
        <v>1079</v>
      </c>
      <c r="B80" s="1">
        <v>45023</v>
      </c>
      <c r="C80" s="2" t="s">
        <v>11</v>
      </c>
      <c r="D80" t="str">
        <f>_xlfn.XLOOKUP(Merged_Sales_Data!C80,PM[Product ID],PM[Product Name])</f>
        <v>Bluetooth Speaker</v>
      </c>
      <c r="E80" t="str">
        <f>VLOOKUP(C80,PM[],3,FALSE)</f>
        <v>Electronics</v>
      </c>
      <c r="F80">
        <f>_xlfn.XLOOKUP(C80,PM[Product ID],PM[Unit Price (₹)])</f>
        <v>1430</v>
      </c>
      <c r="G80" t="str">
        <f>_xlfn.XLOOKUP(Sales7[[#This Row],[Order ID]],ST[Order ID],ST[Employee ID])</f>
        <v>E02</v>
      </c>
      <c r="H80" t="str">
        <f>_xlfn.XLOOKUP(G80,SM[Employee ID],SM[Salesperson])</f>
        <v>Ishita Verma</v>
      </c>
      <c r="I80" t="str">
        <f>_xlfn.XLOOKUP(G80,SM[Employee ID],SM[Region])</f>
        <v>North</v>
      </c>
      <c r="J80" t="str">
        <f>_xlfn.XLOOKUP(G80,SM[Employee ID],SM[State/City])</f>
        <v>Chandigarh</v>
      </c>
      <c r="K80" s="2">
        <f>_xlfn.XLOOKUP(Sales7[[#This Row],[Order ID]],ST[Order ID],ST[Units Sold])</f>
        <v>6</v>
      </c>
      <c r="L80">
        <f t="shared" si="1"/>
        <v>8580</v>
      </c>
    </row>
    <row r="81" spans="1:12" x14ac:dyDescent="0.35">
      <c r="A81" s="7">
        <v>1086</v>
      </c>
      <c r="B81" s="1">
        <v>45023</v>
      </c>
      <c r="C81" s="2" t="s">
        <v>20</v>
      </c>
      <c r="D81" t="str">
        <f>_xlfn.XLOOKUP(Merged_Sales_Data!C81,PM[Product ID],PM[Product Name])</f>
        <v>Standing Desk</v>
      </c>
      <c r="E81" t="str">
        <f>VLOOKUP(C81,PM[],3,FALSE)</f>
        <v>Office Supplies</v>
      </c>
      <c r="F81">
        <f>_xlfn.XLOOKUP(C81,PM[Product ID],PM[Unit Price (₹)])</f>
        <v>11010</v>
      </c>
      <c r="G81" t="str">
        <f>_xlfn.XLOOKUP(Sales7[[#This Row],[Order ID]],ST[Order ID],ST[Employee ID])</f>
        <v>E05</v>
      </c>
      <c r="H81" t="str">
        <f>_xlfn.XLOOKUP(G81,SM[Employee ID],SM[Salesperson])</f>
        <v>Karan Malhotra</v>
      </c>
      <c r="I81" t="str">
        <f>_xlfn.XLOOKUP(G81,SM[Employee ID],SM[Region])</f>
        <v>East</v>
      </c>
      <c r="J81" t="str">
        <f>_xlfn.XLOOKUP(G81,SM[Employee ID],SM[State/City])</f>
        <v>Kolkata</v>
      </c>
      <c r="K81" s="2">
        <f>_xlfn.XLOOKUP(Sales7[[#This Row],[Order ID]],ST[Order ID],ST[Units Sold])</f>
        <v>8</v>
      </c>
      <c r="L81">
        <f t="shared" si="1"/>
        <v>88080</v>
      </c>
    </row>
    <row r="82" spans="1:12" x14ac:dyDescent="0.35">
      <c r="A82" s="7">
        <v>1084</v>
      </c>
      <c r="B82" s="1">
        <v>45025</v>
      </c>
      <c r="C82" s="2" t="s">
        <v>11</v>
      </c>
      <c r="D82" t="str">
        <f>_xlfn.XLOOKUP(Merged_Sales_Data!C82,PM[Product ID],PM[Product Name])</f>
        <v>Bluetooth Speaker</v>
      </c>
      <c r="E82" t="str">
        <f>VLOOKUP(C82,PM[],3,FALSE)</f>
        <v>Electronics</v>
      </c>
      <c r="F82">
        <f>_xlfn.XLOOKUP(C82,PM[Product ID],PM[Unit Price (₹)])</f>
        <v>1430</v>
      </c>
      <c r="G82" t="str">
        <f>_xlfn.XLOOKUP(Sales7[[#This Row],[Order ID]],ST[Order ID],ST[Employee ID])</f>
        <v>E05</v>
      </c>
      <c r="H82" t="str">
        <f>_xlfn.XLOOKUP(G82,SM[Employee ID],SM[Salesperson])</f>
        <v>Karan Malhotra</v>
      </c>
      <c r="I82" t="str">
        <f>_xlfn.XLOOKUP(G82,SM[Employee ID],SM[Region])</f>
        <v>East</v>
      </c>
      <c r="J82" t="str">
        <f>_xlfn.XLOOKUP(G82,SM[Employee ID],SM[State/City])</f>
        <v>Kolkata</v>
      </c>
      <c r="K82" s="2">
        <f>_xlfn.XLOOKUP(Sales7[[#This Row],[Order ID]],ST[Order ID],ST[Units Sold])</f>
        <v>1</v>
      </c>
      <c r="L82">
        <f t="shared" si="1"/>
        <v>1430</v>
      </c>
    </row>
    <row r="83" spans="1:12" x14ac:dyDescent="0.35">
      <c r="A83" s="7">
        <v>1088</v>
      </c>
      <c r="B83" s="1">
        <v>45025</v>
      </c>
      <c r="C83" s="2" t="s">
        <v>8</v>
      </c>
      <c r="D83" t="str">
        <f>_xlfn.XLOOKUP(Merged_Sales_Data!C83,PM[Product ID],PM[Product Name])</f>
        <v>USB-C Hub</v>
      </c>
      <c r="E83" t="str">
        <f>VLOOKUP(C83,PM[],3,FALSE)</f>
        <v>Accessories</v>
      </c>
      <c r="F83">
        <f>_xlfn.XLOOKUP(C83,PM[Product ID],PM[Unit Price (₹)])</f>
        <v>880</v>
      </c>
      <c r="G83" t="str">
        <f>_xlfn.XLOOKUP(Sales7[[#This Row],[Order ID]],ST[Order ID],ST[Employee ID])</f>
        <v>E05</v>
      </c>
      <c r="H83" t="str">
        <f>_xlfn.XLOOKUP(G83,SM[Employee ID],SM[Salesperson])</f>
        <v>Karan Malhotra</v>
      </c>
      <c r="I83" t="str">
        <f>_xlfn.XLOOKUP(G83,SM[Employee ID],SM[Region])</f>
        <v>East</v>
      </c>
      <c r="J83" t="str">
        <f>_xlfn.XLOOKUP(G83,SM[Employee ID],SM[State/City])</f>
        <v>Kolkata</v>
      </c>
      <c r="K83" s="2">
        <f>_xlfn.XLOOKUP(Sales7[[#This Row],[Order ID]],ST[Order ID],ST[Units Sold])</f>
        <v>5</v>
      </c>
      <c r="L83">
        <f t="shared" si="1"/>
        <v>4400</v>
      </c>
    </row>
    <row r="84" spans="1:12" x14ac:dyDescent="0.35">
      <c r="A84" s="7">
        <v>1081</v>
      </c>
      <c r="B84" s="1">
        <v>45026</v>
      </c>
      <c r="C84" s="2" t="s">
        <v>5</v>
      </c>
      <c r="D84" t="str">
        <f>_xlfn.XLOOKUP(Merged_Sales_Data!C84,PM[Product ID],PM[Product Name])</f>
        <v>Ergo Office Chair</v>
      </c>
      <c r="E84" t="str">
        <f>VLOOKUP(C84,PM[],3,FALSE)</f>
        <v>Office Supplies</v>
      </c>
      <c r="F84">
        <f>_xlfn.XLOOKUP(C84,PM[Product ID],PM[Unit Price (₹)])</f>
        <v>6750</v>
      </c>
      <c r="G84" t="str">
        <f>_xlfn.XLOOKUP(Sales7[[#This Row],[Order ID]],ST[Order ID],ST[Employee ID])</f>
        <v>E02</v>
      </c>
      <c r="H84" t="str">
        <f>_xlfn.XLOOKUP(G84,SM[Employee ID],SM[Salesperson])</f>
        <v>Ishita Verma</v>
      </c>
      <c r="I84" t="str">
        <f>_xlfn.XLOOKUP(G84,SM[Employee ID],SM[Region])</f>
        <v>North</v>
      </c>
      <c r="J84" t="str">
        <f>_xlfn.XLOOKUP(G84,SM[Employee ID],SM[State/City])</f>
        <v>Chandigarh</v>
      </c>
      <c r="K84" s="2">
        <f>_xlfn.XLOOKUP(Sales7[[#This Row],[Order ID]],ST[Order ID],ST[Units Sold])</f>
        <v>3</v>
      </c>
      <c r="L84">
        <f t="shared" si="1"/>
        <v>20250</v>
      </c>
    </row>
    <row r="85" spans="1:12" x14ac:dyDescent="0.35">
      <c r="A85" s="7">
        <v>1090</v>
      </c>
      <c r="B85" s="1">
        <v>45027</v>
      </c>
      <c r="C85" s="2" t="s">
        <v>21</v>
      </c>
      <c r="D85" t="str">
        <f>_xlfn.XLOOKUP(Merged_Sales_Data!C85,PM[Product ID],PM[Product Name])</f>
        <v>Wireless Mouse</v>
      </c>
      <c r="E85" t="str">
        <f>VLOOKUP(C85,PM[],3,FALSE)</f>
        <v>Electronics</v>
      </c>
      <c r="F85">
        <f>_xlfn.XLOOKUP(C85,PM[Product ID],PM[Unit Price (₹)])</f>
        <v>780</v>
      </c>
      <c r="G85" t="str">
        <f>_xlfn.XLOOKUP(Sales7[[#This Row],[Order ID]],ST[Order ID],ST[Employee ID])</f>
        <v>E05</v>
      </c>
      <c r="H85" t="str">
        <f>_xlfn.XLOOKUP(G85,SM[Employee ID],SM[Salesperson])</f>
        <v>Karan Malhotra</v>
      </c>
      <c r="I85" t="str">
        <f>_xlfn.XLOOKUP(G85,SM[Employee ID],SM[Region])</f>
        <v>East</v>
      </c>
      <c r="J85" t="str">
        <f>_xlfn.XLOOKUP(G85,SM[Employee ID],SM[State/City])</f>
        <v>Kolkata</v>
      </c>
      <c r="K85" s="2">
        <f>_xlfn.XLOOKUP(Sales7[[#This Row],[Order ID]],ST[Order ID],ST[Units Sold])</f>
        <v>1</v>
      </c>
      <c r="L85">
        <f t="shared" si="1"/>
        <v>780</v>
      </c>
    </row>
    <row r="86" spans="1:12" x14ac:dyDescent="0.35">
      <c r="A86" s="7">
        <v>1096</v>
      </c>
      <c r="B86" s="1">
        <v>45028</v>
      </c>
      <c r="C86" s="2" t="s">
        <v>21</v>
      </c>
      <c r="D86" t="str">
        <f>_xlfn.XLOOKUP(Merged_Sales_Data!C86,PM[Product ID],PM[Product Name])</f>
        <v>Wireless Mouse</v>
      </c>
      <c r="E86" t="str">
        <f>VLOOKUP(C86,PM[],3,FALSE)</f>
        <v>Electronics</v>
      </c>
      <c r="F86">
        <f>_xlfn.XLOOKUP(C86,PM[Product ID],PM[Unit Price (₹)])</f>
        <v>780</v>
      </c>
      <c r="G86" t="str">
        <f>_xlfn.XLOOKUP(Sales7[[#This Row],[Order ID]],ST[Order ID],ST[Employee ID])</f>
        <v>E03</v>
      </c>
      <c r="H86" t="str">
        <f>_xlfn.XLOOKUP(G86,SM[Employee ID],SM[Salesperson])</f>
        <v>Rohan Mehta</v>
      </c>
      <c r="I86" t="str">
        <f>_xlfn.XLOOKUP(G86,SM[Employee ID],SM[Region])</f>
        <v>South</v>
      </c>
      <c r="J86" t="str">
        <f>_xlfn.XLOOKUP(G86,SM[Employee ID],SM[State/City])</f>
        <v>Bengaluru</v>
      </c>
      <c r="K86" s="2">
        <f>_xlfn.XLOOKUP(Sales7[[#This Row],[Order ID]],ST[Order ID],ST[Units Sold])</f>
        <v>2</v>
      </c>
      <c r="L86">
        <f t="shared" si="1"/>
        <v>1560</v>
      </c>
    </row>
    <row r="87" spans="1:12" x14ac:dyDescent="0.35">
      <c r="A87" s="7">
        <v>1089</v>
      </c>
      <c r="B87" s="1">
        <v>45030</v>
      </c>
      <c r="C87" s="2" t="s">
        <v>11</v>
      </c>
      <c r="D87" t="str">
        <f>_xlfn.XLOOKUP(Merged_Sales_Data!C87,PM[Product ID],PM[Product Name])</f>
        <v>Bluetooth Speaker</v>
      </c>
      <c r="E87" t="str">
        <f>VLOOKUP(C87,PM[],3,FALSE)</f>
        <v>Electronics</v>
      </c>
      <c r="F87">
        <f>_xlfn.XLOOKUP(C87,PM[Product ID],PM[Unit Price (₹)])</f>
        <v>1430</v>
      </c>
      <c r="G87" t="str">
        <f>_xlfn.XLOOKUP(Sales7[[#This Row],[Order ID]],ST[Order ID],ST[Employee ID])</f>
        <v>E01</v>
      </c>
      <c r="H87" t="str">
        <f>_xlfn.XLOOKUP(G87,SM[Employee ID],SM[Salesperson])</f>
        <v>Aarav Sharma</v>
      </c>
      <c r="I87" t="str">
        <f>_xlfn.XLOOKUP(G87,SM[Employee ID],SM[Region])</f>
        <v>North</v>
      </c>
      <c r="J87" t="str">
        <f>_xlfn.XLOOKUP(G87,SM[Employee ID],SM[State/City])</f>
        <v>Lucknow</v>
      </c>
      <c r="K87" s="2">
        <f>_xlfn.XLOOKUP(Sales7[[#This Row],[Order ID]],ST[Order ID],ST[Units Sold])</f>
        <v>10</v>
      </c>
      <c r="L87">
        <f t="shared" si="1"/>
        <v>14300</v>
      </c>
    </row>
    <row r="88" spans="1:12" x14ac:dyDescent="0.35">
      <c r="A88" s="7">
        <v>1095</v>
      </c>
      <c r="B88" s="1">
        <v>45030</v>
      </c>
      <c r="C88" s="2" t="s">
        <v>8</v>
      </c>
      <c r="D88" t="str">
        <f>_xlfn.XLOOKUP(Merged_Sales_Data!C88,PM[Product ID],PM[Product Name])</f>
        <v>USB-C Hub</v>
      </c>
      <c r="E88" t="str">
        <f>VLOOKUP(C88,PM[],3,FALSE)</f>
        <v>Accessories</v>
      </c>
      <c r="F88">
        <f>_xlfn.XLOOKUP(C88,PM[Product ID],PM[Unit Price (₹)])</f>
        <v>880</v>
      </c>
      <c r="G88" t="str">
        <f>_xlfn.XLOOKUP(Sales7[[#This Row],[Order ID]],ST[Order ID],ST[Employee ID])</f>
        <v>E06</v>
      </c>
      <c r="H88" t="str">
        <f>_xlfn.XLOOKUP(G88,SM[Employee ID],SM[Salesperson])</f>
        <v>Sneha Roy</v>
      </c>
      <c r="I88" t="str">
        <f>_xlfn.XLOOKUP(G88,SM[Employee ID],SM[Region])</f>
        <v>East</v>
      </c>
      <c r="J88" t="str">
        <f>_xlfn.XLOOKUP(G88,SM[Employee ID],SM[State/City])</f>
        <v>Kolkata</v>
      </c>
      <c r="K88" s="2">
        <f>_xlfn.XLOOKUP(Sales7[[#This Row],[Order ID]],ST[Order ID],ST[Units Sold])</f>
        <v>1</v>
      </c>
      <c r="L88">
        <f t="shared" si="1"/>
        <v>880</v>
      </c>
    </row>
    <row r="89" spans="1:12" x14ac:dyDescent="0.35">
      <c r="A89" s="7">
        <v>1092</v>
      </c>
      <c r="B89" s="1">
        <v>45034</v>
      </c>
      <c r="C89" s="2" t="s">
        <v>8</v>
      </c>
      <c r="D89" t="str">
        <f>_xlfn.XLOOKUP(Merged_Sales_Data!C89,PM[Product ID],PM[Product Name])</f>
        <v>USB-C Hub</v>
      </c>
      <c r="E89" t="str">
        <f>VLOOKUP(C89,PM[],3,FALSE)</f>
        <v>Accessories</v>
      </c>
      <c r="F89">
        <f>_xlfn.XLOOKUP(C89,PM[Product ID],PM[Unit Price (₹)])</f>
        <v>880</v>
      </c>
      <c r="G89" t="str">
        <f>_xlfn.XLOOKUP(Sales7[[#This Row],[Order ID]],ST[Order ID],ST[Employee ID])</f>
        <v>E08</v>
      </c>
      <c r="H89" t="str">
        <f>_xlfn.XLOOKUP(G89,SM[Employee ID],SM[Salesperson])</f>
        <v>Neha Joshi</v>
      </c>
      <c r="I89" t="str">
        <f>_xlfn.XLOOKUP(G89,SM[Employee ID],SM[Region])</f>
        <v>West</v>
      </c>
      <c r="J89" t="str">
        <f>_xlfn.XLOOKUP(G89,SM[Employee ID],SM[State/City])</f>
        <v>Ahmedabad</v>
      </c>
      <c r="K89" s="2">
        <f>_xlfn.XLOOKUP(Sales7[[#This Row],[Order ID]],ST[Order ID],ST[Units Sold])</f>
        <v>4</v>
      </c>
      <c r="L89">
        <f t="shared" si="1"/>
        <v>3520</v>
      </c>
    </row>
    <row r="90" spans="1:12" x14ac:dyDescent="0.35">
      <c r="A90" s="7">
        <v>1078</v>
      </c>
      <c r="B90" s="1">
        <v>45036</v>
      </c>
      <c r="C90" s="2" t="s">
        <v>21</v>
      </c>
      <c r="D90" t="str">
        <f>_xlfn.XLOOKUP(Merged_Sales_Data!C90,PM[Product ID],PM[Product Name])</f>
        <v>Wireless Mouse</v>
      </c>
      <c r="E90" t="str">
        <f>VLOOKUP(C90,PM[],3,FALSE)</f>
        <v>Electronics</v>
      </c>
      <c r="F90">
        <f>_xlfn.XLOOKUP(C90,PM[Product ID],PM[Unit Price (₹)])</f>
        <v>780</v>
      </c>
      <c r="G90" t="str">
        <f>_xlfn.XLOOKUP(Sales7[[#This Row],[Order ID]],ST[Order ID],ST[Employee ID])</f>
        <v>E02</v>
      </c>
      <c r="H90" t="str">
        <f>_xlfn.XLOOKUP(G90,SM[Employee ID],SM[Salesperson])</f>
        <v>Ishita Verma</v>
      </c>
      <c r="I90" t="str">
        <f>_xlfn.XLOOKUP(G90,SM[Employee ID],SM[Region])</f>
        <v>North</v>
      </c>
      <c r="J90" t="str">
        <f>_xlfn.XLOOKUP(G90,SM[Employee ID],SM[State/City])</f>
        <v>Chandigarh</v>
      </c>
      <c r="K90" s="2">
        <f>_xlfn.XLOOKUP(Sales7[[#This Row],[Order ID]],ST[Order ID],ST[Units Sold])</f>
        <v>5</v>
      </c>
      <c r="L90">
        <f t="shared" si="1"/>
        <v>3900</v>
      </c>
    </row>
    <row r="91" spans="1:12" x14ac:dyDescent="0.35">
      <c r="A91" s="7">
        <v>1087</v>
      </c>
      <c r="B91" s="1">
        <v>45037</v>
      </c>
      <c r="C91" s="2" t="s">
        <v>5</v>
      </c>
      <c r="D91" t="str">
        <f>_xlfn.XLOOKUP(Merged_Sales_Data!C91,PM[Product ID],PM[Product Name])</f>
        <v>Ergo Office Chair</v>
      </c>
      <c r="E91" t="str">
        <f>VLOOKUP(C91,PM[],3,FALSE)</f>
        <v>Office Supplies</v>
      </c>
      <c r="F91">
        <f>_xlfn.XLOOKUP(C91,PM[Product ID],PM[Unit Price (₹)])</f>
        <v>6750</v>
      </c>
      <c r="G91" t="str">
        <f>_xlfn.XLOOKUP(Sales7[[#This Row],[Order ID]],ST[Order ID],ST[Employee ID])</f>
        <v>E06</v>
      </c>
      <c r="H91" t="str">
        <f>_xlfn.XLOOKUP(G91,SM[Employee ID],SM[Salesperson])</f>
        <v>Sneha Roy</v>
      </c>
      <c r="I91" t="str">
        <f>_xlfn.XLOOKUP(G91,SM[Employee ID],SM[Region])</f>
        <v>East</v>
      </c>
      <c r="J91" t="str">
        <f>_xlfn.XLOOKUP(G91,SM[Employee ID],SM[State/City])</f>
        <v>Kolkata</v>
      </c>
      <c r="K91" s="2">
        <f>_xlfn.XLOOKUP(Sales7[[#This Row],[Order ID]],ST[Order ID],ST[Units Sold])</f>
        <v>10</v>
      </c>
      <c r="L91">
        <f t="shared" si="1"/>
        <v>67500</v>
      </c>
    </row>
    <row r="92" spans="1:12" x14ac:dyDescent="0.35">
      <c r="A92" s="7">
        <v>1083</v>
      </c>
      <c r="B92" s="1">
        <v>45038</v>
      </c>
      <c r="C92" s="2" t="s">
        <v>8</v>
      </c>
      <c r="D92" t="str">
        <f>_xlfn.XLOOKUP(Merged_Sales_Data!C92,PM[Product ID],PM[Product Name])</f>
        <v>USB-C Hub</v>
      </c>
      <c r="E92" t="str">
        <f>VLOOKUP(C92,PM[],3,FALSE)</f>
        <v>Accessories</v>
      </c>
      <c r="F92">
        <f>_xlfn.XLOOKUP(C92,PM[Product ID],PM[Unit Price (₹)])</f>
        <v>880</v>
      </c>
      <c r="G92" t="str">
        <f>_xlfn.XLOOKUP(Sales7[[#This Row],[Order ID]],ST[Order ID],ST[Employee ID])</f>
        <v>E05</v>
      </c>
      <c r="H92" t="str">
        <f>_xlfn.XLOOKUP(G92,SM[Employee ID],SM[Salesperson])</f>
        <v>Karan Malhotra</v>
      </c>
      <c r="I92" t="str">
        <f>_xlfn.XLOOKUP(G92,SM[Employee ID],SM[Region])</f>
        <v>East</v>
      </c>
      <c r="J92" t="str">
        <f>_xlfn.XLOOKUP(G92,SM[Employee ID],SM[State/City])</f>
        <v>Kolkata</v>
      </c>
      <c r="K92" s="2">
        <f>_xlfn.XLOOKUP(Sales7[[#This Row],[Order ID]],ST[Order ID],ST[Units Sold])</f>
        <v>1</v>
      </c>
      <c r="L92">
        <f t="shared" si="1"/>
        <v>880</v>
      </c>
    </row>
    <row r="93" spans="1:12" x14ac:dyDescent="0.35">
      <c r="A93" s="7">
        <v>1097</v>
      </c>
      <c r="B93" s="1">
        <v>45038</v>
      </c>
      <c r="C93" s="2" t="s">
        <v>12</v>
      </c>
      <c r="D93" t="str">
        <f>_xlfn.XLOOKUP(Merged_Sales_Data!C93,PM[Product ID],PM[Product Name])</f>
        <v>Bookshelf Unit</v>
      </c>
      <c r="E93" t="str">
        <f>VLOOKUP(C93,PM[],3,FALSE)</f>
        <v>Furniture</v>
      </c>
      <c r="F93">
        <f>_xlfn.XLOOKUP(C93,PM[Product ID],PM[Unit Price (₹)])</f>
        <v>3910</v>
      </c>
      <c r="G93" t="str">
        <f>_xlfn.XLOOKUP(Sales7[[#This Row],[Order ID]],ST[Order ID],ST[Employee ID])</f>
        <v>E01</v>
      </c>
      <c r="H93" t="str">
        <f>_xlfn.XLOOKUP(G93,SM[Employee ID],SM[Salesperson])</f>
        <v>Aarav Sharma</v>
      </c>
      <c r="I93" t="str">
        <f>_xlfn.XLOOKUP(G93,SM[Employee ID],SM[Region])</f>
        <v>North</v>
      </c>
      <c r="J93" t="str">
        <f>_xlfn.XLOOKUP(G93,SM[Employee ID],SM[State/City])</f>
        <v>Lucknow</v>
      </c>
      <c r="K93" s="2">
        <f>_xlfn.XLOOKUP(Sales7[[#This Row],[Order ID]],ST[Order ID],ST[Units Sold])</f>
        <v>2</v>
      </c>
      <c r="L93">
        <f t="shared" si="1"/>
        <v>7820</v>
      </c>
    </row>
    <row r="94" spans="1:12" x14ac:dyDescent="0.35">
      <c r="A94" s="7">
        <v>1082</v>
      </c>
      <c r="B94" s="1">
        <v>45039</v>
      </c>
      <c r="C94" s="2" t="s">
        <v>14</v>
      </c>
      <c r="D94" t="str">
        <f>_xlfn.XLOOKUP(Merged_Sales_Data!C94,PM[Product ID],PM[Product Name])</f>
        <v>Laptop Backpack</v>
      </c>
      <c r="E94" t="str">
        <f>VLOOKUP(C94,PM[],3,FALSE)</f>
        <v>Accessories</v>
      </c>
      <c r="F94">
        <f>_xlfn.XLOOKUP(C94,PM[Product ID],PM[Unit Price (₹)])</f>
        <v>1110</v>
      </c>
      <c r="G94" t="str">
        <f>_xlfn.XLOOKUP(Sales7[[#This Row],[Order ID]],ST[Order ID],ST[Employee ID])</f>
        <v>E03</v>
      </c>
      <c r="H94" t="str">
        <f>_xlfn.XLOOKUP(G94,SM[Employee ID],SM[Salesperson])</f>
        <v>Rohan Mehta</v>
      </c>
      <c r="I94" t="str">
        <f>_xlfn.XLOOKUP(G94,SM[Employee ID],SM[Region])</f>
        <v>South</v>
      </c>
      <c r="J94" t="str">
        <f>_xlfn.XLOOKUP(G94,SM[Employee ID],SM[State/City])</f>
        <v>Bengaluru</v>
      </c>
      <c r="K94" s="2">
        <f>_xlfn.XLOOKUP(Sales7[[#This Row],[Order ID]],ST[Order ID],ST[Units Sold])</f>
        <v>6</v>
      </c>
      <c r="L94">
        <f t="shared" si="1"/>
        <v>6660</v>
      </c>
    </row>
    <row r="95" spans="1:12" x14ac:dyDescent="0.35">
      <c r="A95" s="7">
        <v>1091</v>
      </c>
      <c r="B95" s="1">
        <v>45040</v>
      </c>
      <c r="C95" s="2" t="s">
        <v>20</v>
      </c>
      <c r="D95" t="str">
        <f>_xlfn.XLOOKUP(Merged_Sales_Data!C95,PM[Product ID],PM[Product Name])</f>
        <v>Standing Desk</v>
      </c>
      <c r="E95" t="str">
        <f>VLOOKUP(C95,PM[],3,FALSE)</f>
        <v>Office Supplies</v>
      </c>
      <c r="F95">
        <f>_xlfn.XLOOKUP(C95,PM[Product ID],PM[Unit Price (₹)])</f>
        <v>11010</v>
      </c>
      <c r="G95" t="str">
        <f>_xlfn.XLOOKUP(Sales7[[#This Row],[Order ID]],ST[Order ID],ST[Employee ID])</f>
        <v>E03</v>
      </c>
      <c r="H95" t="str">
        <f>_xlfn.XLOOKUP(G95,SM[Employee ID],SM[Salesperson])</f>
        <v>Rohan Mehta</v>
      </c>
      <c r="I95" t="str">
        <f>_xlfn.XLOOKUP(G95,SM[Employee ID],SM[Region])</f>
        <v>South</v>
      </c>
      <c r="J95" t="str">
        <f>_xlfn.XLOOKUP(G95,SM[Employee ID],SM[State/City])</f>
        <v>Bengaluru</v>
      </c>
      <c r="K95" s="2">
        <f>_xlfn.XLOOKUP(Sales7[[#This Row],[Order ID]],ST[Order ID],ST[Units Sold])</f>
        <v>1</v>
      </c>
      <c r="L95">
        <f t="shared" si="1"/>
        <v>11010</v>
      </c>
    </row>
    <row r="96" spans="1:12" x14ac:dyDescent="0.35">
      <c r="A96" s="7">
        <v>1098</v>
      </c>
      <c r="B96" s="1">
        <v>45041</v>
      </c>
      <c r="C96" s="2" t="s">
        <v>11</v>
      </c>
      <c r="D96" t="str">
        <f>_xlfn.XLOOKUP(Merged_Sales_Data!C96,PM[Product ID],PM[Product Name])</f>
        <v>Bluetooth Speaker</v>
      </c>
      <c r="E96" t="str">
        <f>VLOOKUP(C96,PM[],3,FALSE)</f>
        <v>Electronics</v>
      </c>
      <c r="F96">
        <f>_xlfn.XLOOKUP(C96,PM[Product ID],PM[Unit Price (₹)])</f>
        <v>1430</v>
      </c>
      <c r="G96" t="str">
        <f>_xlfn.XLOOKUP(Sales7[[#This Row],[Order ID]],ST[Order ID],ST[Employee ID])</f>
        <v>E04</v>
      </c>
      <c r="H96" t="str">
        <f>_xlfn.XLOOKUP(G96,SM[Employee ID],SM[Salesperson])</f>
        <v>Priya Nair</v>
      </c>
      <c r="I96" t="str">
        <f>_xlfn.XLOOKUP(G96,SM[Employee ID],SM[Region])</f>
        <v>South</v>
      </c>
      <c r="J96" t="str">
        <f>_xlfn.XLOOKUP(G96,SM[Employee ID],SM[State/City])</f>
        <v>Bengaluru</v>
      </c>
      <c r="K96" s="2">
        <f>_xlfn.XLOOKUP(Sales7[[#This Row],[Order ID]],ST[Order ID],ST[Units Sold])</f>
        <v>3</v>
      </c>
      <c r="L96">
        <f t="shared" si="1"/>
        <v>4290</v>
      </c>
    </row>
    <row r="97" spans="1:12" x14ac:dyDescent="0.35">
      <c r="A97" s="7">
        <v>1101</v>
      </c>
      <c r="B97" s="1">
        <v>45042</v>
      </c>
      <c r="C97" s="2" t="s">
        <v>12</v>
      </c>
      <c r="D97" t="str">
        <f>_xlfn.XLOOKUP(Merged_Sales_Data!C97,PM[Product ID],PM[Product Name])</f>
        <v>Bookshelf Unit</v>
      </c>
      <c r="E97" t="str">
        <f>VLOOKUP(C97,PM[],3,FALSE)</f>
        <v>Furniture</v>
      </c>
      <c r="F97">
        <f>_xlfn.XLOOKUP(C97,PM[Product ID],PM[Unit Price (₹)])</f>
        <v>3910</v>
      </c>
      <c r="G97" t="str">
        <f>_xlfn.XLOOKUP(Sales7[[#This Row],[Order ID]],ST[Order ID],ST[Employee ID])</f>
        <v>E03</v>
      </c>
      <c r="H97" t="str">
        <f>_xlfn.XLOOKUP(G97,SM[Employee ID],SM[Salesperson])</f>
        <v>Rohan Mehta</v>
      </c>
      <c r="I97" t="str">
        <f>_xlfn.XLOOKUP(G97,SM[Employee ID],SM[Region])</f>
        <v>South</v>
      </c>
      <c r="J97" t="str">
        <f>_xlfn.XLOOKUP(G97,SM[Employee ID],SM[State/City])</f>
        <v>Bengaluru</v>
      </c>
      <c r="K97" s="2">
        <f>_xlfn.XLOOKUP(Sales7[[#This Row],[Order ID]],ST[Order ID],ST[Units Sold])</f>
        <v>4</v>
      </c>
      <c r="L97">
        <f t="shared" si="1"/>
        <v>15640</v>
      </c>
    </row>
    <row r="98" spans="1:12" x14ac:dyDescent="0.35">
      <c r="A98" s="7">
        <v>1102</v>
      </c>
      <c r="B98" s="1">
        <v>45042</v>
      </c>
      <c r="C98" s="2" t="s">
        <v>20</v>
      </c>
      <c r="D98" t="str">
        <f>_xlfn.XLOOKUP(Merged_Sales_Data!C98,PM[Product ID],PM[Product Name])</f>
        <v>Standing Desk</v>
      </c>
      <c r="E98" t="str">
        <f>VLOOKUP(C98,PM[],3,FALSE)</f>
        <v>Office Supplies</v>
      </c>
      <c r="F98">
        <f>_xlfn.XLOOKUP(C98,PM[Product ID],PM[Unit Price (₹)])</f>
        <v>11010</v>
      </c>
      <c r="G98" t="str">
        <f>_xlfn.XLOOKUP(Sales7[[#This Row],[Order ID]],ST[Order ID],ST[Employee ID])</f>
        <v>E04</v>
      </c>
      <c r="H98" t="str">
        <f>_xlfn.XLOOKUP(G98,SM[Employee ID],SM[Salesperson])</f>
        <v>Priya Nair</v>
      </c>
      <c r="I98" t="str">
        <f>_xlfn.XLOOKUP(G98,SM[Employee ID],SM[Region])</f>
        <v>South</v>
      </c>
      <c r="J98" t="str">
        <f>_xlfn.XLOOKUP(G98,SM[Employee ID],SM[State/City])</f>
        <v>Bengaluru</v>
      </c>
      <c r="K98" s="2">
        <f>_xlfn.XLOOKUP(Sales7[[#This Row],[Order ID]],ST[Order ID],ST[Units Sold])</f>
        <v>1</v>
      </c>
      <c r="L98">
        <f t="shared" si="1"/>
        <v>11010</v>
      </c>
    </row>
    <row r="99" spans="1:12" x14ac:dyDescent="0.35">
      <c r="A99" s="7">
        <v>1094</v>
      </c>
      <c r="B99" s="1">
        <v>45043</v>
      </c>
      <c r="C99" s="2" t="s">
        <v>8</v>
      </c>
      <c r="D99" t="str">
        <f>_xlfn.XLOOKUP(Merged_Sales_Data!C99,PM[Product ID],PM[Product Name])</f>
        <v>USB-C Hub</v>
      </c>
      <c r="E99" t="str">
        <f>VLOOKUP(C99,PM[],3,FALSE)</f>
        <v>Accessories</v>
      </c>
      <c r="F99">
        <f>_xlfn.XLOOKUP(C99,PM[Product ID],PM[Unit Price (₹)])</f>
        <v>880</v>
      </c>
      <c r="G99" t="str">
        <f>_xlfn.XLOOKUP(Sales7[[#This Row],[Order ID]],ST[Order ID],ST[Employee ID])</f>
        <v>E03</v>
      </c>
      <c r="H99" t="str">
        <f>_xlfn.XLOOKUP(G99,SM[Employee ID],SM[Salesperson])</f>
        <v>Rohan Mehta</v>
      </c>
      <c r="I99" t="str">
        <f>_xlfn.XLOOKUP(G99,SM[Employee ID],SM[Region])</f>
        <v>South</v>
      </c>
      <c r="J99" t="str">
        <f>_xlfn.XLOOKUP(G99,SM[Employee ID],SM[State/City])</f>
        <v>Bengaluru</v>
      </c>
      <c r="K99" s="2">
        <f>_xlfn.XLOOKUP(Sales7[[#This Row],[Order ID]],ST[Order ID],ST[Units Sold])</f>
        <v>1</v>
      </c>
      <c r="L99">
        <f t="shared" si="1"/>
        <v>880</v>
      </c>
    </row>
    <row r="100" spans="1:12" x14ac:dyDescent="0.35">
      <c r="A100" s="7">
        <v>1099</v>
      </c>
      <c r="B100" s="1">
        <v>45044</v>
      </c>
      <c r="C100" s="2" t="s">
        <v>18</v>
      </c>
      <c r="D100" t="str">
        <f>_xlfn.XLOOKUP(Merged_Sales_Data!C100,PM[Product ID],PM[Product Name])</f>
        <v>LED Monitor 24"</v>
      </c>
      <c r="E100" t="str">
        <f>VLOOKUP(C100,PM[],3,FALSE)</f>
        <v>Electronics</v>
      </c>
      <c r="F100">
        <f>_xlfn.XLOOKUP(C100,PM[Product ID],PM[Unit Price (₹)])</f>
        <v>7700</v>
      </c>
      <c r="G100" t="str">
        <f>_xlfn.XLOOKUP(Sales7[[#This Row],[Order ID]],ST[Order ID],ST[Employee ID])</f>
        <v>E07</v>
      </c>
      <c r="H100" t="str">
        <f>_xlfn.XLOOKUP(G100,SM[Employee ID],SM[Salesperson])</f>
        <v>Aditya Kapoor</v>
      </c>
      <c r="I100" t="str">
        <f>_xlfn.XLOOKUP(G100,SM[Employee ID],SM[Region])</f>
        <v>West</v>
      </c>
      <c r="J100" t="str">
        <f>_xlfn.XLOOKUP(G100,SM[Employee ID],SM[State/City])</f>
        <v>Mumbai</v>
      </c>
      <c r="K100" s="2">
        <f>_xlfn.XLOOKUP(Sales7[[#This Row],[Order ID]],ST[Order ID],ST[Units Sold])</f>
        <v>2</v>
      </c>
      <c r="L100">
        <f t="shared" si="1"/>
        <v>15400</v>
      </c>
    </row>
    <row r="101" spans="1:12" x14ac:dyDescent="0.35">
      <c r="A101" s="7">
        <v>1080</v>
      </c>
      <c r="B101" s="1">
        <v>45045</v>
      </c>
      <c r="C101" s="2" t="s">
        <v>18</v>
      </c>
      <c r="D101" t="str">
        <f>_xlfn.XLOOKUP(Merged_Sales_Data!C101,PM[Product ID],PM[Product Name])</f>
        <v>LED Monitor 24"</v>
      </c>
      <c r="E101" t="str">
        <f>VLOOKUP(C101,PM[],3,FALSE)</f>
        <v>Electronics</v>
      </c>
      <c r="F101">
        <f>_xlfn.XLOOKUP(C101,PM[Product ID],PM[Unit Price (₹)])</f>
        <v>7700</v>
      </c>
      <c r="G101" t="str">
        <f>_xlfn.XLOOKUP(Sales7[[#This Row],[Order ID]],ST[Order ID],ST[Employee ID])</f>
        <v>E05</v>
      </c>
      <c r="H101" t="str">
        <f>_xlfn.XLOOKUP(G101,SM[Employee ID],SM[Salesperson])</f>
        <v>Karan Malhotra</v>
      </c>
      <c r="I101" t="str">
        <f>_xlfn.XLOOKUP(G101,SM[Employee ID],SM[Region])</f>
        <v>East</v>
      </c>
      <c r="J101" t="str">
        <f>_xlfn.XLOOKUP(G101,SM[Employee ID],SM[State/City])</f>
        <v>Kolkata</v>
      </c>
      <c r="K101" s="2">
        <f>_xlfn.XLOOKUP(Sales7[[#This Row],[Order ID]],ST[Order ID],ST[Units Sold])</f>
        <v>3</v>
      </c>
      <c r="L101">
        <f t="shared" si="1"/>
        <v>23100</v>
      </c>
    </row>
    <row r="102" spans="1:12" x14ac:dyDescent="0.35">
      <c r="A102" s="7">
        <v>1093</v>
      </c>
      <c r="B102" s="1">
        <v>45045</v>
      </c>
      <c r="C102" s="2" t="s">
        <v>11</v>
      </c>
      <c r="D102" t="str">
        <f>_xlfn.XLOOKUP(Merged_Sales_Data!C102,PM[Product ID],PM[Product Name])</f>
        <v>Bluetooth Speaker</v>
      </c>
      <c r="E102" t="str">
        <f>VLOOKUP(C102,PM[],3,FALSE)</f>
        <v>Electronics</v>
      </c>
      <c r="F102">
        <f>_xlfn.XLOOKUP(C102,PM[Product ID],PM[Unit Price (₹)])</f>
        <v>1430</v>
      </c>
      <c r="G102" t="str">
        <f>_xlfn.XLOOKUP(Sales7[[#This Row],[Order ID]],ST[Order ID],ST[Employee ID])</f>
        <v>E01</v>
      </c>
      <c r="H102" t="str">
        <f>_xlfn.XLOOKUP(G102,SM[Employee ID],SM[Salesperson])</f>
        <v>Aarav Sharma</v>
      </c>
      <c r="I102" t="str">
        <f>_xlfn.XLOOKUP(G102,SM[Employee ID],SM[Region])</f>
        <v>North</v>
      </c>
      <c r="J102" t="str">
        <f>_xlfn.XLOOKUP(G102,SM[Employee ID],SM[State/City])</f>
        <v>Lucknow</v>
      </c>
      <c r="K102" s="2">
        <f>_xlfn.XLOOKUP(Sales7[[#This Row],[Order ID]],ST[Order ID],ST[Units Sold])</f>
        <v>1</v>
      </c>
      <c r="L102">
        <f t="shared" si="1"/>
        <v>1430</v>
      </c>
    </row>
    <row r="103" spans="1:12" x14ac:dyDescent="0.35">
      <c r="A103" s="7">
        <v>1077</v>
      </c>
      <c r="B103" s="1">
        <v>45046</v>
      </c>
      <c r="C103" s="2" t="s">
        <v>14</v>
      </c>
      <c r="D103" t="str">
        <f>_xlfn.XLOOKUP(Merged_Sales_Data!C103,PM[Product ID],PM[Product Name])</f>
        <v>Laptop Backpack</v>
      </c>
      <c r="E103" t="str">
        <f>VLOOKUP(C103,PM[],3,FALSE)</f>
        <v>Accessories</v>
      </c>
      <c r="F103">
        <f>_xlfn.XLOOKUP(C103,PM[Product ID],PM[Unit Price (₹)])</f>
        <v>1110</v>
      </c>
      <c r="G103" t="str">
        <f>_xlfn.XLOOKUP(Sales7[[#This Row],[Order ID]],ST[Order ID],ST[Employee ID])</f>
        <v>E05</v>
      </c>
      <c r="H103" t="str">
        <f>_xlfn.XLOOKUP(G103,SM[Employee ID],SM[Salesperson])</f>
        <v>Karan Malhotra</v>
      </c>
      <c r="I103" t="str">
        <f>_xlfn.XLOOKUP(G103,SM[Employee ID],SM[Region])</f>
        <v>East</v>
      </c>
      <c r="J103" t="str">
        <f>_xlfn.XLOOKUP(G103,SM[Employee ID],SM[State/City])</f>
        <v>Kolkata</v>
      </c>
      <c r="K103" s="2">
        <f>_xlfn.XLOOKUP(Sales7[[#This Row],[Order ID]],ST[Order ID],ST[Units Sold])</f>
        <v>3</v>
      </c>
      <c r="L103">
        <f t="shared" si="1"/>
        <v>3330</v>
      </c>
    </row>
    <row r="104" spans="1:12" x14ac:dyDescent="0.35">
      <c r="A104" s="7">
        <v>1113</v>
      </c>
      <c r="B104" s="1">
        <v>45047</v>
      </c>
      <c r="C104" s="2" t="s">
        <v>21</v>
      </c>
      <c r="D104" t="str">
        <f>_xlfn.XLOOKUP(Merged_Sales_Data!C104,PM[Product ID],PM[Product Name])</f>
        <v>Wireless Mouse</v>
      </c>
      <c r="E104" t="str">
        <f>VLOOKUP(C104,PM[],3,FALSE)</f>
        <v>Electronics</v>
      </c>
      <c r="F104">
        <f>_xlfn.XLOOKUP(C104,PM[Product ID],PM[Unit Price (₹)])</f>
        <v>780</v>
      </c>
      <c r="G104" t="str">
        <f>_xlfn.XLOOKUP(Sales7[[#This Row],[Order ID]],ST[Order ID],ST[Employee ID])</f>
        <v>E05</v>
      </c>
      <c r="H104" t="str">
        <f>_xlfn.XLOOKUP(G104,SM[Employee ID],SM[Salesperson])</f>
        <v>Karan Malhotra</v>
      </c>
      <c r="I104" t="str">
        <f>_xlfn.XLOOKUP(G104,SM[Employee ID],SM[Region])</f>
        <v>East</v>
      </c>
      <c r="J104" t="str">
        <f>_xlfn.XLOOKUP(G104,SM[Employee ID],SM[State/City])</f>
        <v>Kolkata</v>
      </c>
      <c r="K104" s="2">
        <f>_xlfn.XLOOKUP(Sales7[[#This Row],[Order ID]],ST[Order ID],ST[Units Sold])</f>
        <v>4</v>
      </c>
      <c r="L104">
        <f t="shared" si="1"/>
        <v>3120</v>
      </c>
    </row>
    <row r="105" spans="1:12" x14ac:dyDescent="0.35">
      <c r="A105" s="7">
        <v>1114</v>
      </c>
      <c r="B105" s="1">
        <v>45049</v>
      </c>
      <c r="C105" s="2" t="s">
        <v>12</v>
      </c>
      <c r="D105" t="str">
        <f>_xlfn.XLOOKUP(Merged_Sales_Data!C105,PM[Product ID],PM[Product Name])</f>
        <v>Bookshelf Unit</v>
      </c>
      <c r="E105" t="str">
        <f>VLOOKUP(C105,PM[],3,FALSE)</f>
        <v>Furniture</v>
      </c>
      <c r="F105">
        <f>_xlfn.XLOOKUP(C105,PM[Product ID],PM[Unit Price (₹)])</f>
        <v>3910</v>
      </c>
      <c r="G105" t="str">
        <f>_xlfn.XLOOKUP(Sales7[[#This Row],[Order ID]],ST[Order ID],ST[Employee ID])</f>
        <v>E04</v>
      </c>
      <c r="H105" t="str">
        <f>_xlfn.XLOOKUP(G105,SM[Employee ID],SM[Salesperson])</f>
        <v>Priya Nair</v>
      </c>
      <c r="I105" t="str">
        <f>_xlfn.XLOOKUP(G105,SM[Employee ID],SM[Region])</f>
        <v>South</v>
      </c>
      <c r="J105" t="str">
        <f>_xlfn.XLOOKUP(G105,SM[Employee ID],SM[State/City])</f>
        <v>Bengaluru</v>
      </c>
      <c r="K105" s="2">
        <f>_xlfn.XLOOKUP(Sales7[[#This Row],[Order ID]],ST[Order ID],ST[Units Sold])</f>
        <v>4</v>
      </c>
      <c r="L105">
        <f t="shared" si="1"/>
        <v>15640</v>
      </c>
    </row>
    <row r="106" spans="1:12" x14ac:dyDescent="0.35">
      <c r="A106" s="7">
        <v>1109</v>
      </c>
      <c r="B106" s="1">
        <v>45052</v>
      </c>
      <c r="C106" s="2" t="s">
        <v>11</v>
      </c>
      <c r="D106" t="str">
        <f>_xlfn.XLOOKUP(Merged_Sales_Data!C106,PM[Product ID],PM[Product Name])</f>
        <v>Bluetooth Speaker</v>
      </c>
      <c r="E106" t="str">
        <f>VLOOKUP(C106,PM[],3,FALSE)</f>
        <v>Electronics</v>
      </c>
      <c r="F106">
        <f>_xlfn.XLOOKUP(C106,PM[Product ID],PM[Unit Price (₹)])</f>
        <v>1430</v>
      </c>
      <c r="G106" t="str">
        <f>_xlfn.XLOOKUP(Sales7[[#This Row],[Order ID]],ST[Order ID],ST[Employee ID])</f>
        <v>E01</v>
      </c>
      <c r="H106" t="str">
        <f>_xlfn.XLOOKUP(G106,SM[Employee ID],SM[Salesperson])</f>
        <v>Aarav Sharma</v>
      </c>
      <c r="I106" t="str">
        <f>_xlfn.XLOOKUP(G106,SM[Employee ID],SM[Region])</f>
        <v>North</v>
      </c>
      <c r="J106" t="str">
        <f>_xlfn.XLOOKUP(G106,SM[Employee ID],SM[State/City])</f>
        <v>Lucknow</v>
      </c>
      <c r="K106" s="2">
        <f>_xlfn.XLOOKUP(Sales7[[#This Row],[Order ID]],ST[Order ID],ST[Units Sold])</f>
        <v>2</v>
      </c>
      <c r="L106">
        <f t="shared" si="1"/>
        <v>2860</v>
      </c>
    </row>
    <row r="107" spans="1:12" x14ac:dyDescent="0.35">
      <c r="A107" s="7">
        <v>1112</v>
      </c>
      <c r="B107" s="1">
        <v>45053</v>
      </c>
      <c r="C107" s="2" t="s">
        <v>10</v>
      </c>
      <c r="D107" t="str">
        <f>_xlfn.XLOOKUP(Merged_Sales_Data!C107,PM[Product ID],PM[Product Name])</f>
        <v>Filing Cabinet</v>
      </c>
      <c r="E107" t="str">
        <f>VLOOKUP(C107,PM[],3,FALSE)</f>
        <v>Furniture</v>
      </c>
      <c r="F107">
        <f>_xlfn.XLOOKUP(C107,PM[Product ID],PM[Unit Price (₹)])</f>
        <v>4070</v>
      </c>
      <c r="G107" t="str">
        <f>_xlfn.XLOOKUP(Sales7[[#This Row],[Order ID]],ST[Order ID],ST[Employee ID])</f>
        <v>E02</v>
      </c>
      <c r="H107" t="str">
        <f>_xlfn.XLOOKUP(G107,SM[Employee ID],SM[Salesperson])</f>
        <v>Ishita Verma</v>
      </c>
      <c r="I107" t="str">
        <f>_xlfn.XLOOKUP(G107,SM[Employee ID],SM[Region])</f>
        <v>North</v>
      </c>
      <c r="J107" t="str">
        <f>_xlfn.XLOOKUP(G107,SM[Employee ID],SM[State/City])</f>
        <v>Chandigarh</v>
      </c>
      <c r="K107" s="2">
        <f>_xlfn.XLOOKUP(Sales7[[#This Row],[Order ID]],ST[Order ID],ST[Units Sold])</f>
        <v>8</v>
      </c>
      <c r="L107">
        <f t="shared" si="1"/>
        <v>32560</v>
      </c>
    </row>
    <row r="108" spans="1:12" x14ac:dyDescent="0.35">
      <c r="A108" s="7">
        <v>1118</v>
      </c>
      <c r="B108" s="1">
        <v>45053</v>
      </c>
      <c r="C108" s="2" t="s">
        <v>8</v>
      </c>
      <c r="D108" t="str">
        <f>_xlfn.XLOOKUP(Merged_Sales_Data!C108,PM[Product ID],PM[Product Name])</f>
        <v>USB-C Hub</v>
      </c>
      <c r="E108" t="str">
        <f>VLOOKUP(C108,PM[],3,FALSE)</f>
        <v>Accessories</v>
      </c>
      <c r="F108">
        <f>_xlfn.XLOOKUP(C108,PM[Product ID],PM[Unit Price (₹)])</f>
        <v>880</v>
      </c>
      <c r="G108" t="str">
        <f>_xlfn.XLOOKUP(Sales7[[#This Row],[Order ID]],ST[Order ID],ST[Employee ID])</f>
        <v>E05</v>
      </c>
      <c r="H108" t="str">
        <f>_xlfn.XLOOKUP(G108,SM[Employee ID],SM[Salesperson])</f>
        <v>Karan Malhotra</v>
      </c>
      <c r="I108" t="str">
        <f>_xlfn.XLOOKUP(G108,SM[Employee ID],SM[Region])</f>
        <v>East</v>
      </c>
      <c r="J108" t="str">
        <f>_xlfn.XLOOKUP(G108,SM[Employee ID],SM[State/City])</f>
        <v>Kolkata</v>
      </c>
      <c r="K108" s="2">
        <f>_xlfn.XLOOKUP(Sales7[[#This Row],[Order ID]],ST[Order ID],ST[Units Sold])</f>
        <v>1</v>
      </c>
      <c r="L108">
        <f t="shared" si="1"/>
        <v>880</v>
      </c>
    </row>
    <row r="109" spans="1:12" x14ac:dyDescent="0.35">
      <c r="A109" s="7">
        <v>1121</v>
      </c>
      <c r="B109" s="1">
        <v>45053</v>
      </c>
      <c r="C109" s="2" t="s">
        <v>20</v>
      </c>
      <c r="D109" t="str">
        <f>_xlfn.XLOOKUP(Merged_Sales_Data!C109,PM[Product ID],PM[Product Name])</f>
        <v>Standing Desk</v>
      </c>
      <c r="E109" t="str">
        <f>VLOOKUP(C109,PM[],3,FALSE)</f>
        <v>Office Supplies</v>
      </c>
      <c r="F109">
        <f>_xlfn.XLOOKUP(C109,PM[Product ID],PM[Unit Price (₹)])</f>
        <v>11010</v>
      </c>
      <c r="G109" t="str">
        <f>_xlfn.XLOOKUP(Sales7[[#This Row],[Order ID]],ST[Order ID],ST[Employee ID])</f>
        <v>E01</v>
      </c>
      <c r="H109" t="str">
        <f>_xlfn.XLOOKUP(G109,SM[Employee ID],SM[Salesperson])</f>
        <v>Aarav Sharma</v>
      </c>
      <c r="I109" t="str">
        <f>_xlfn.XLOOKUP(G109,SM[Employee ID],SM[Region])</f>
        <v>North</v>
      </c>
      <c r="J109" t="str">
        <f>_xlfn.XLOOKUP(G109,SM[Employee ID],SM[State/City])</f>
        <v>Lucknow</v>
      </c>
      <c r="K109" s="2">
        <f>_xlfn.XLOOKUP(Sales7[[#This Row],[Order ID]],ST[Order ID],ST[Units Sold])</f>
        <v>2</v>
      </c>
      <c r="L109">
        <f t="shared" si="1"/>
        <v>22020</v>
      </c>
    </row>
    <row r="110" spans="1:12" x14ac:dyDescent="0.35">
      <c r="A110" s="7">
        <v>1103</v>
      </c>
      <c r="B110" s="1">
        <v>45054</v>
      </c>
      <c r="C110" s="2" t="s">
        <v>21</v>
      </c>
      <c r="D110" t="str">
        <f>_xlfn.XLOOKUP(Merged_Sales_Data!C110,PM[Product ID],PM[Product Name])</f>
        <v>Wireless Mouse</v>
      </c>
      <c r="E110" t="str">
        <f>VLOOKUP(C110,PM[],3,FALSE)</f>
        <v>Electronics</v>
      </c>
      <c r="F110">
        <f>_xlfn.XLOOKUP(C110,PM[Product ID],PM[Unit Price (₹)])</f>
        <v>780</v>
      </c>
      <c r="G110" t="str">
        <f>_xlfn.XLOOKUP(Sales7[[#This Row],[Order ID]],ST[Order ID],ST[Employee ID])</f>
        <v>E07</v>
      </c>
      <c r="H110" t="str">
        <f>_xlfn.XLOOKUP(G110,SM[Employee ID],SM[Salesperson])</f>
        <v>Aditya Kapoor</v>
      </c>
      <c r="I110" t="str">
        <f>_xlfn.XLOOKUP(G110,SM[Employee ID],SM[Region])</f>
        <v>West</v>
      </c>
      <c r="J110" t="str">
        <f>_xlfn.XLOOKUP(G110,SM[Employee ID],SM[State/City])</f>
        <v>Mumbai</v>
      </c>
      <c r="K110" s="2">
        <f>_xlfn.XLOOKUP(Sales7[[#This Row],[Order ID]],ST[Order ID],ST[Units Sold])</f>
        <v>5</v>
      </c>
      <c r="L110">
        <f t="shared" si="1"/>
        <v>3900</v>
      </c>
    </row>
    <row r="111" spans="1:12" x14ac:dyDescent="0.35">
      <c r="A111" s="7">
        <v>1106</v>
      </c>
      <c r="B111" s="1">
        <v>45055</v>
      </c>
      <c r="C111" s="2" t="s">
        <v>10</v>
      </c>
      <c r="D111" t="str">
        <f>_xlfn.XLOOKUP(Merged_Sales_Data!C111,PM[Product ID],PM[Product Name])</f>
        <v>Filing Cabinet</v>
      </c>
      <c r="E111" t="str">
        <f>VLOOKUP(C111,PM[],3,FALSE)</f>
        <v>Furniture</v>
      </c>
      <c r="F111">
        <f>_xlfn.XLOOKUP(C111,PM[Product ID],PM[Unit Price (₹)])</f>
        <v>4070</v>
      </c>
      <c r="G111" t="str">
        <f>_xlfn.XLOOKUP(Sales7[[#This Row],[Order ID]],ST[Order ID],ST[Employee ID])</f>
        <v>E04</v>
      </c>
      <c r="H111" t="str">
        <f>_xlfn.XLOOKUP(G111,SM[Employee ID],SM[Salesperson])</f>
        <v>Priya Nair</v>
      </c>
      <c r="I111" t="str">
        <f>_xlfn.XLOOKUP(G111,SM[Employee ID],SM[Region])</f>
        <v>South</v>
      </c>
      <c r="J111" t="str">
        <f>_xlfn.XLOOKUP(G111,SM[Employee ID],SM[State/City])</f>
        <v>Bengaluru</v>
      </c>
      <c r="K111" s="2">
        <f>_xlfn.XLOOKUP(Sales7[[#This Row],[Order ID]],ST[Order ID],ST[Units Sold])</f>
        <v>3</v>
      </c>
      <c r="L111">
        <f t="shared" si="1"/>
        <v>12210</v>
      </c>
    </row>
    <row r="112" spans="1:12" x14ac:dyDescent="0.35">
      <c r="A112" s="7">
        <v>1104</v>
      </c>
      <c r="B112" s="1">
        <v>45056</v>
      </c>
      <c r="C112" s="2" t="s">
        <v>14</v>
      </c>
      <c r="D112" t="str">
        <f>_xlfn.XLOOKUP(Merged_Sales_Data!C112,PM[Product ID],PM[Product Name])</f>
        <v>Laptop Backpack</v>
      </c>
      <c r="E112" t="str">
        <f>VLOOKUP(C112,PM[],3,FALSE)</f>
        <v>Accessories</v>
      </c>
      <c r="F112">
        <f>_xlfn.XLOOKUP(C112,PM[Product ID],PM[Unit Price (₹)])</f>
        <v>1110</v>
      </c>
      <c r="G112" t="str">
        <f>_xlfn.XLOOKUP(Sales7[[#This Row],[Order ID]],ST[Order ID],ST[Employee ID])</f>
        <v>E04</v>
      </c>
      <c r="H112" t="str">
        <f>_xlfn.XLOOKUP(G112,SM[Employee ID],SM[Salesperson])</f>
        <v>Priya Nair</v>
      </c>
      <c r="I112" t="str">
        <f>_xlfn.XLOOKUP(G112,SM[Employee ID],SM[Region])</f>
        <v>South</v>
      </c>
      <c r="J112" t="str">
        <f>_xlfn.XLOOKUP(G112,SM[Employee ID],SM[State/City])</f>
        <v>Bengaluru</v>
      </c>
      <c r="K112" s="2">
        <f>_xlfn.XLOOKUP(Sales7[[#This Row],[Order ID]],ST[Order ID],ST[Units Sold])</f>
        <v>3</v>
      </c>
      <c r="L112">
        <f t="shared" si="1"/>
        <v>3330</v>
      </c>
    </row>
    <row r="113" spans="1:12" x14ac:dyDescent="0.35">
      <c r="A113" s="7">
        <v>1116</v>
      </c>
      <c r="B113" s="1">
        <v>45056</v>
      </c>
      <c r="C113" s="2" t="s">
        <v>20</v>
      </c>
      <c r="D113" t="str">
        <f>_xlfn.XLOOKUP(Merged_Sales_Data!C113,PM[Product ID],PM[Product Name])</f>
        <v>Standing Desk</v>
      </c>
      <c r="E113" t="str">
        <f>VLOOKUP(C113,PM[],3,FALSE)</f>
        <v>Office Supplies</v>
      </c>
      <c r="F113">
        <f>_xlfn.XLOOKUP(C113,PM[Product ID],PM[Unit Price (₹)])</f>
        <v>11010</v>
      </c>
      <c r="G113" t="str">
        <f>_xlfn.XLOOKUP(Sales7[[#This Row],[Order ID]],ST[Order ID],ST[Employee ID])</f>
        <v>E02</v>
      </c>
      <c r="H113" t="str">
        <f>_xlfn.XLOOKUP(G113,SM[Employee ID],SM[Salesperson])</f>
        <v>Ishita Verma</v>
      </c>
      <c r="I113" t="str">
        <f>_xlfn.XLOOKUP(G113,SM[Employee ID],SM[Region])</f>
        <v>North</v>
      </c>
      <c r="J113" t="str">
        <f>_xlfn.XLOOKUP(G113,SM[Employee ID],SM[State/City])</f>
        <v>Chandigarh</v>
      </c>
      <c r="K113" s="2">
        <f>_xlfn.XLOOKUP(Sales7[[#This Row],[Order ID]],ST[Order ID],ST[Units Sold])</f>
        <v>6</v>
      </c>
      <c r="L113">
        <f t="shared" si="1"/>
        <v>66060</v>
      </c>
    </row>
    <row r="114" spans="1:12" x14ac:dyDescent="0.35">
      <c r="A114" s="7">
        <v>1111</v>
      </c>
      <c r="B114" s="1">
        <v>45060</v>
      </c>
      <c r="C114" s="2" t="s">
        <v>12</v>
      </c>
      <c r="D114" t="str">
        <f>_xlfn.XLOOKUP(Merged_Sales_Data!C114,PM[Product ID],PM[Product Name])</f>
        <v>Bookshelf Unit</v>
      </c>
      <c r="E114" t="str">
        <f>VLOOKUP(C114,PM[],3,FALSE)</f>
        <v>Furniture</v>
      </c>
      <c r="F114">
        <f>_xlfn.XLOOKUP(C114,PM[Product ID],PM[Unit Price (₹)])</f>
        <v>3910</v>
      </c>
      <c r="G114" t="str">
        <f>_xlfn.XLOOKUP(Sales7[[#This Row],[Order ID]],ST[Order ID],ST[Employee ID])</f>
        <v>E07</v>
      </c>
      <c r="H114" t="str">
        <f>_xlfn.XLOOKUP(G114,SM[Employee ID],SM[Salesperson])</f>
        <v>Aditya Kapoor</v>
      </c>
      <c r="I114" t="str">
        <f>_xlfn.XLOOKUP(G114,SM[Employee ID],SM[Region])</f>
        <v>West</v>
      </c>
      <c r="J114" t="str">
        <f>_xlfn.XLOOKUP(G114,SM[Employee ID],SM[State/City])</f>
        <v>Mumbai</v>
      </c>
      <c r="K114" s="2">
        <f>_xlfn.XLOOKUP(Sales7[[#This Row],[Order ID]],ST[Order ID],ST[Units Sold])</f>
        <v>3</v>
      </c>
      <c r="L114">
        <f t="shared" si="1"/>
        <v>11730</v>
      </c>
    </row>
    <row r="115" spans="1:12" x14ac:dyDescent="0.35">
      <c r="A115" s="7">
        <v>1122</v>
      </c>
      <c r="B115" s="1">
        <v>45061</v>
      </c>
      <c r="C115" s="2" t="s">
        <v>12</v>
      </c>
      <c r="D115" t="str">
        <f>_xlfn.XLOOKUP(Merged_Sales_Data!C115,PM[Product ID],PM[Product Name])</f>
        <v>Bookshelf Unit</v>
      </c>
      <c r="E115" t="str">
        <f>VLOOKUP(C115,PM[],3,FALSE)</f>
        <v>Furniture</v>
      </c>
      <c r="F115">
        <f>_xlfn.XLOOKUP(C115,PM[Product ID],PM[Unit Price (₹)])</f>
        <v>3910</v>
      </c>
      <c r="G115" t="str">
        <f>_xlfn.XLOOKUP(Sales7[[#This Row],[Order ID]],ST[Order ID],ST[Employee ID])</f>
        <v>E07</v>
      </c>
      <c r="H115" t="str">
        <f>_xlfn.XLOOKUP(G115,SM[Employee ID],SM[Salesperson])</f>
        <v>Aditya Kapoor</v>
      </c>
      <c r="I115" t="str">
        <f>_xlfn.XLOOKUP(G115,SM[Employee ID],SM[Region])</f>
        <v>West</v>
      </c>
      <c r="J115" t="str">
        <f>_xlfn.XLOOKUP(G115,SM[Employee ID],SM[State/City])</f>
        <v>Mumbai</v>
      </c>
      <c r="K115" s="2">
        <f>_xlfn.XLOOKUP(Sales7[[#This Row],[Order ID]],ST[Order ID],ST[Units Sold])</f>
        <v>5</v>
      </c>
      <c r="L115">
        <f t="shared" si="1"/>
        <v>19550</v>
      </c>
    </row>
    <row r="116" spans="1:12" x14ac:dyDescent="0.35">
      <c r="A116" s="7">
        <v>1120</v>
      </c>
      <c r="B116" s="1">
        <v>45064</v>
      </c>
      <c r="C116" s="2" t="s">
        <v>20</v>
      </c>
      <c r="D116" t="str">
        <f>_xlfn.XLOOKUP(Merged_Sales_Data!C116,PM[Product ID],PM[Product Name])</f>
        <v>Standing Desk</v>
      </c>
      <c r="E116" t="str">
        <f>VLOOKUP(C116,PM[],3,FALSE)</f>
        <v>Office Supplies</v>
      </c>
      <c r="F116">
        <f>_xlfn.XLOOKUP(C116,PM[Product ID],PM[Unit Price (₹)])</f>
        <v>11010</v>
      </c>
      <c r="G116" t="str">
        <f>_xlfn.XLOOKUP(Sales7[[#This Row],[Order ID]],ST[Order ID],ST[Employee ID])</f>
        <v>E03</v>
      </c>
      <c r="H116" t="str">
        <f>_xlfn.XLOOKUP(G116,SM[Employee ID],SM[Salesperson])</f>
        <v>Rohan Mehta</v>
      </c>
      <c r="I116" t="str">
        <f>_xlfn.XLOOKUP(G116,SM[Employee ID],SM[Region])</f>
        <v>South</v>
      </c>
      <c r="J116" t="str">
        <f>_xlfn.XLOOKUP(G116,SM[Employee ID],SM[State/City])</f>
        <v>Bengaluru</v>
      </c>
      <c r="K116" s="2">
        <f>_xlfn.XLOOKUP(Sales7[[#This Row],[Order ID]],ST[Order ID],ST[Units Sold])</f>
        <v>4</v>
      </c>
      <c r="L116">
        <f t="shared" si="1"/>
        <v>44040</v>
      </c>
    </row>
    <row r="117" spans="1:12" x14ac:dyDescent="0.35">
      <c r="A117" s="7">
        <v>1110</v>
      </c>
      <c r="B117" s="1">
        <v>45066</v>
      </c>
      <c r="C117" s="2" t="s">
        <v>21</v>
      </c>
      <c r="D117" t="str">
        <f>_xlfn.XLOOKUP(Merged_Sales_Data!C117,PM[Product ID],PM[Product Name])</f>
        <v>Wireless Mouse</v>
      </c>
      <c r="E117" t="str">
        <f>VLOOKUP(C117,PM[],3,FALSE)</f>
        <v>Electronics</v>
      </c>
      <c r="F117">
        <f>_xlfn.XLOOKUP(C117,PM[Product ID],PM[Unit Price (₹)])</f>
        <v>780</v>
      </c>
      <c r="G117" t="str">
        <f>_xlfn.XLOOKUP(Sales7[[#This Row],[Order ID]],ST[Order ID],ST[Employee ID])</f>
        <v>E05</v>
      </c>
      <c r="H117" t="str">
        <f>_xlfn.XLOOKUP(G117,SM[Employee ID],SM[Salesperson])</f>
        <v>Karan Malhotra</v>
      </c>
      <c r="I117" t="str">
        <f>_xlfn.XLOOKUP(G117,SM[Employee ID],SM[Region])</f>
        <v>East</v>
      </c>
      <c r="J117" t="str">
        <f>_xlfn.XLOOKUP(G117,SM[Employee ID],SM[State/City])</f>
        <v>Kolkata</v>
      </c>
      <c r="K117" s="2">
        <f>_xlfn.XLOOKUP(Sales7[[#This Row],[Order ID]],ST[Order ID],ST[Units Sold])</f>
        <v>1</v>
      </c>
      <c r="L117">
        <f t="shared" si="1"/>
        <v>780</v>
      </c>
    </row>
    <row r="118" spans="1:12" x14ac:dyDescent="0.35">
      <c r="A118" s="7">
        <v>1107</v>
      </c>
      <c r="B118" s="1">
        <v>45067</v>
      </c>
      <c r="C118" s="2" t="s">
        <v>20</v>
      </c>
      <c r="D118" t="str">
        <f>_xlfn.XLOOKUP(Merged_Sales_Data!C118,PM[Product ID],PM[Product Name])</f>
        <v>Standing Desk</v>
      </c>
      <c r="E118" t="str">
        <f>VLOOKUP(C118,PM[],3,FALSE)</f>
        <v>Office Supplies</v>
      </c>
      <c r="F118">
        <f>_xlfn.XLOOKUP(C118,PM[Product ID],PM[Unit Price (₹)])</f>
        <v>11010</v>
      </c>
      <c r="G118" t="str">
        <f>_xlfn.XLOOKUP(Sales7[[#This Row],[Order ID]],ST[Order ID],ST[Employee ID])</f>
        <v>E02</v>
      </c>
      <c r="H118" t="str">
        <f>_xlfn.XLOOKUP(G118,SM[Employee ID],SM[Salesperson])</f>
        <v>Ishita Verma</v>
      </c>
      <c r="I118" t="str">
        <f>_xlfn.XLOOKUP(G118,SM[Employee ID],SM[Region])</f>
        <v>North</v>
      </c>
      <c r="J118" t="str">
        <f>_xlfn.XLOOKUP(G118,SM[Employee ID],SM[State/City])</f>
        <v>Chandigarh</v>
      </c>
      <c r="K118" s="2">
        <f>_xlfn.XLOOKUP(Sales7[[#This Row],[Order ID]],ST[Order ID],ST[Units Sold])</f>
        <v>3</v>
      </c>
      <c r="L118">
        <f t="shared" si="1"/>
        <v>33030</v>
      </c>
    </row>
    <row r="119" spans="1:12" x14ac:dyDescent="0.35">
      <c r="A119" s="7">
        <v>1105</v>
      </c>
      <c r="B119" s="1">
        <v>45068</v>
      </c>
      <c r="C119" s="2" t="s">
        <v>5</v>
      </c>
      <c r="D119" t="str">
        <f>_xlfn.XLOOKUP(Merged_Sales_Data!C119,PM[Product ID],PM[Product Name])</f>
        <v>Ergo Office Chair</v>
      </c>
      <c r="E119" t="str">
        <f>VLOOKUP(C119,PM[],3,FALSE)</f>
        <v>Office Supplies</v>
      </c>
      <c r="F119">
        <f>_xlfn.XLOOKUP(C119,PM[Product ID],PM[Unit Price (₹)])</f>
        <v>6750</v>
      </c>
      <c r="G119" t="str">
        <f>_xlfn.XLOOKUP(Sales7[[#This Row],[Order ID]],ST[Order ID],ST[Employee ID])</f>
        <v>E04</v>
      </c>
      <c r="H119" t="str">
        <f>_xlfn.XLOOKUP(G119,SM[Employee ID],SM[Salesperson])</f>
        <v>Priya Nair</v>
      </c>
      <c r="I119" t="str">
        <f>_xlfn.XLOOKUP(G119,SM[Employee ID],SM[Region])</f>
        <v>South</v>
      </c>
      <c r="J119" t="str">
        <f>_xlfn.XLOOKUP(G119,SM[Employee ID],SM[State/City])</f>
        <v>Bengaluru</v>
      </c>
      <c r="K119" s="2">
        <f>_xlfn.XLOOKUP(Sales7[[#This Row],[Order ID]],ST[Order ID],ST[Units Sold])</f>
        <v>1</v>
      </c>
      <c r="L119">
        <f t="shared" si="1"/>
        <v>6750</v>
      </c>
    </row>
    <row r="120" spans="1:12" x14ac:dyDescent="0.35">
      <c r="A120" s="7">
        <v>1117</v>
      </c>
      <c r="B120" s="1">
        <v>45069</v>
      </c>
      <c r="C120" s="2" t="s">
        <v>12</v>
      </c>
      <c r="D120" t="str">
        <f>_xlfn.XLOOKUP(Merged_Sales_Data!C120,PM[Product ID],PM[Product Name])</f>
        <v>Bookshelf Unit</v>
      </c>
      <c r="E120" t="str">
        <f>VLOOKUP(C120,PM[],3,FALSE)</f>
        <v>Furniture</v>
      </c>
      <c r="F120">
        <f>_xlfn.XLOOKUP(C120,PM[Product ID],PM[Unit Price (₹)])</f>
        <v>3910</v>
      </c>
      <c r="G120" t="str">
        <f>_xlfn.XLOOKUP(Sales7[[#This Row],[Order ID]],ST[Order ID],ST[Employee ID])</f>
        <v>E07</v>
      </c>
      <c r="H120" t="str">
        <f>_xlfn.XLOOKUP(G120,SM[Employee ID],SM[Salesperson])</f>
        <v>Aditya Kapoor</v>
      </c>
      <c r="I120" t="str">
        <f>_xlfn.XLOOKUP(G120,SM[Employee ID],SM[Region])</f>
        <v>West</v>
      </c>
      <c r="J120" t="str">
        <f>_xlfn.XLOOKUP(G120,SM[Employee ID],SM[State/City])</f>
        <v>Mumbai</v>
      </c>
      <c r="K120" s="2">
        <f>_xlfn.XLOOKUP(Sales7[[#This Row],[Order ID]],ST[Order ID],ST[Units Sold])</f>
        <v>4</v>
      </c>
      <c r="L120">
        <f t="shared" si="1"/>
        <v>15640</v>
      </c>
    </row>
    <row r="121" spans="1:12" x14ac:dyDescent="0.35">
      <c r="A121" s="7">
        <v>1119</v>
      </c>
      <c r="B121" s="1">
        <v>45070</v>
      </c>
      <c r="C121" s="2" t="s">
        <v>10</v>
      </c>
      <c r="D121" t="str">
        <f>_xlfn.XLOOKUP(Merged_Sales_Data!C121,PM[Product ID],PM[Product Name])</f>
        <v>Filing Cabinet</v>
      </c>
      <c r="E121" t="str">
        <f>VLOOKUP(C121,PM[],3,FALSE)</f>
        <v>Furniture</v>
      </c>
      <c r="F121">
        <f>_xlfn.XLOOKUP(C121,PM[Product ID],PM[Unit Price (₹)])</f>
        <v>4070</v>
      </c>
      <c r="G121" t="str">
        <f>_xlfn.XLOOKUP(Sales7[[#This Row],[Order ID]],ST[Order ID],ST[Employee ID])</f>
        <v>E07</v>
      </c>
      <c r="H121" t="str">
        <f>_xlfn.XLOOKUP(G121,SM[Employee ID],SM[Salesperson])</f>
        <v>Aditya Kapoor</v>
      </c>
      <c r="I121" t="str">
        <f>_xlfn.XLOOKUP(G121,SM[Employee ID],SM[Region])</f>
        <v>West</v>
      </c>
      <c r="J121" t="str">
        <f>_xlfn.XLOOKUP(G121,SM[Employee ID],SM[State/City])</f>
        <v>Mumbai</v>
      </c>
      <c r="K121" s="2">
        <f>_xlfn.XLOOKUP(Sales7[[#This Row],[Order ID]],ST[Order ID],ST[Units Sold])</f>
        <v>10</v>
      </c>
      <c r="L121">
        <f t="shared" si="1"/>
        <v>40700</v>
      </c>
    </row>
    <row r="122" spans="1:12" x14ac:dyDescent="0.35">
      <c r="A122" s="7">
        <v>1115</v>
      </c>
      <c r="B122" s="1">
        <v>45074</v>
      </c>
      <c r="C122" s="2" t="s">
        <v>12</v>
      </c>
      <c r="D122" t="str">
        <f>_xlfn.XLOOKUP(Merged_Sales_Data!C122,PM[Product ID],PM[Product Name])</f>
        <v>Bookshelf Unit</v>
      </c>
      <c r="E122" t="str">
        <f>VLOOKUP(C122,PM[],3,FALSE)</f>
        <v>Furniture</v>
      </c>
      <c r="F122">
        <f>_xlfn.XLOOKUP(C122,PM[Product ID],PM[Unit Price (₹)])</f>
        <v>3910</v>
      </c>
      <c r="G122" t="str">
        <f>_xlfn.XLOOKUP(Sales7[[#This Row],[Order ID]],ST[Order ID],ST[Employee ID])</f>
        <v>E06</v>
      </c>
      <c r="H122" t="str">
        <f>_xlfn.XLOOKUP(G122,SM[Employee ID],SM[Salesperson])</f>
        <v>Sneha Roy</v>
      </c>
      <c r="I122" t="str">
        <f>_xlfn.XLOOKUP(G122,SM[Employee ID],SM[Region])</f>
        <v>East</v>
      </c>
      <c r="J122" t="str">
        <f>_xlfn.XLOOKUP(G122,SM[Employee ID],SM[State/City])</f>
        <v>Kolkata</v>
      </c>
      <c r="K122" s="2">
        <f>_xlfn.XLOOKUP(Sales7[[#This Row],[Order ID]],ST[Order ID],ST[Units Sold])</f>
        <v>10</v>
      </c>
      <c r="L122">
        <f t="shared" si="1"/>
        <v>39100</v>
      </c>
    </row>
    <row r="123" spans="1:12" x14ac:dyDescent="0.35">
      <c r="A123" s="7">
        <v>1108</v>
      </c>
      <c r="B123" s="1">
        <v>45077</v>
      </c>
      <c r="C123" s="2" t="s">
        <v>8</v>
      </c>
      <c r="D123" t="str">
        <f>_xlfn.XLOOKUP(Merged_Sales_Data!C123,PM[Product ID],PM[Product Name])</f>
        <v>USB-C Hub</v>
      </c>
      <c r="E123" t="str">
        <f>VLOOKUP(C123,PM[],3,FALSE)</f>
        <v>Accessories</v>
      </c>
      <c r="F123">
        <f>_xlfn.XLOOKUP(C123,PM[Product ID],PM[Unit Price (₹)])</f>
        <v>880</v>
      </c>
      <c r="G123" t="str">
        <f>_xlfn.XLOOKUP(Sales7[[#This Row],[Order ID]],ST[Order ID],ST[Employee ID])</f>
        <v>E07</v>
      </c>
      <c r="H123" t="str">
        <f>_xlfn.XLOOKUP(G123,SM[Employee ID],SM[Salesperson])</f>
        <v>Aditya Kapoor</v>
      </c>
      <c r="I123" t="str">
        <f>_xlfn.XLOOKUP(G123,SM[Employee ID],SM[Region])</f>
        <v>West</v>
      </c>
      <c r="J123" t="str">
        <f>_xlfn.XLOOKUP(G123,SM[Employee ID],SM[State/City])</f>
        <v>Mumbai</v>
      </c>
      <c r="K123" s="2">
        <f>_xlfn.XLOOKUP(Sales7[[#This Row],[Order ID]],ST[Order ID],ST[Units Sold])</f>
        <v>3</v>
      </c>
      <c r="L123">
        <f t="shared" si="1"/>
        <v>2640</v>
      </c>
    </row>
    <row r="124" spans="1:12" x14ac:dyDescent="0.35">
      <c r="A124" s="7">
        <v>1147</v>
      </c>
      <c r="B124" s="1">
        <v>45078</v>
      </c>
      <c r="C124" s="2" t="s">
        <v>10</v>
      </c>
      <c r="D124" t="str">
        <f>_xlfn.XLOOKUP(Merged_Sales_Data!C124,PM[Product ID],PM[Product Name])</f>
        <v>Filing Cabinet</v>
      </c>
      <c r="E124" t="str">
        <f>VLOOKUP(C124,PM[],3,FALSE)</f>
        <v>Furniture</v>
      </c>
      <c r="F124">
        <f>_xlfn.XLOOKUP(C124,PM[Product ID],PM[Unit Price (₹)])</f>
        <v>4070</v>
      </c>
      <c r="G124" t="str">
        <f>_xlfn.XLOOKUP(Sales7[[#This Row],[Order ID]],ST[Order ID],ST[Employee ID])</f>
        <v>E01</v>
      </c>
      <c r="H124" t="str">
        <f>_xlfn.XLOOKUP(G124,SM[Employee ID],SM[Salesperson])</f>
        <v>Aarav Sharma</v>
      </c>
      <c r="I124" t="str">
        <f>_xlfn.XLOOKUP(G124,SM[Employee ID],SM[Region])</f>
        <v>North</v>
      </c>
      <c r="J124" t="str">
        <f>_xlfn.XLOOKUP(G124,SM[Employee ID],SM[State/City])</f>
        <v>Lucknow</v>
      </c>
      <c r="K124" s="2">
        <f>_xlfn.XLOOKUP(Sales7[[#This Row],[Order ID]],ST[Order ID],ST[Units Sold])</f>
        <v>5</v>
      </c>
      <c r="L124">
        <f t="shared" si="1"/>
        <v>20350</v>
      </c>
    </row>
    <row r="125" spans="1:12" x14ac:dyDescent="0.35">
      <c r="A125" s="7">
        <v>1132</v>
      </c>
      <c r="B125" s="1">
        <v>45079</v>
      </c>
      <c r="C125" s="2" t="s">
        <v>8</v>
      </c>
      <c r="D125" t="str">
        <f>_xlfn.XLOOKUP(Merged_Sales_Data!C125,PM[Product ID],PM[Product Name])</f>
        <v>USB-C Hub</v>
      </c>
      <c r="E125" t="str">
        <f>VLOOKUP(C125,PM[],3,FALSE)</f>
        <v>Accessories</v>
      </c>
      <c r="F125">
        <f>_xlfn.XLOOKUP(C125,PM[Product ID],PM[Unit Price (₹)])</f>
        <v>880</v>
      </c>
      <c r="G125" t="str">
        <f>_xlfn.XLOOKUP(Sales7[[#This Row],[Order ID]],ST[Order ID],ST[Employee ID])</f>
        <v>E03</v>
      </c>
      <c r="H125" t="str">
        <f>_xlfn.XLOOKUP(G125,SM[Employee ID],SM[Salesperson])</f>
        <v>Rohan Mehta</v>
      </c>
      <c r="I125" t="str">
        <f>_xlfn.XLOOKUP(G125,SM[Employee ID],SM[Region])</f>
        <v>South</v>
      </c>
      <c r="J125" t="str">
        <f>_xlfn.XLOOKUP(G125,SM[Employee ID],SM[State/City])</f>
        <v>Bengaluru</v>
      </c>
      <c r="K125" s="2">
        <f>_xlfn.XLOOKUP(Sales7[[#This Row],[Order ID]],ST[Order ID],ST[Units Sold])</f>
        <v>5</v>
      </c>
      <c r="L125">
        <f t="shared" si="1"/>
        <v>4400</v>
      </c>
    </row>
    <row r="126" spans="1:12" x14ac:dyDescent="0.35">
      <c r="A126" s="7">
        <v>1139</v>
      </c>
      <c r="B126" s="1">
        <v>45080</v>
      </c>
      <c r="C126" s="2" t="s">
        <v>20</v>
      </c>
      <c r="D126" t="str">
        <f>_xlfn.XLOOKUP(Merged_Sales_Data!C126,PM[Product ID],PM[Product Name])</f>
        <v>Standing Desk</v>
      </c>
      <c r="E126" t="str">
        <f>VLOOKUP(C126,PM[],3,FALSE)</f>
        <v>Office Supplies</v>
      </c>
      <c r="F126">
        <f>_xlfn.XLOOKUP(C126,PM[Product ID],PM[Unit Price (₹)])</f>
        <v>11010</v>
      </c>
      <c r="G126" t="str">
        <f>_xlfn.XLOOKUP(Sales7[[#This Row],[Order ID]],ST[Order ID],ST[Employee ID])</f>
        <v>E04</v>
      </c>
      <c r="H126" t="str">
        <f>_xlfn.XLOOKUP(G126,SM[Employee ID],SM[Salesperson])</f>
        <v>Priya Nair</v>
      </c>
      <c r="I126" t="str">
        <f>_xlfn.XLOOKUP(G126,SM[Employee ID],SM[Region])</f>
        <v>South</v>
      </c>
      <c r="J126" t="str">
        <f>_xlfn.XLOOKUP(G126,SM[Employee ID],SM[State/City])</f>
        <v>Bengaluru</v>
      </c>
      <c r="K126" s="2">
        <f>_xlfn.XLOOKUP(Sales7[[#This Row],[Order ID]],ST[Order ID],ST[Units Sold])</f>
        <v>5</v>
      </c>
      <c r="L126">
        <f t="shared" si="1"/>
        <v>55050</v>
      </c>
    </row>
    <row r="127" spans="1:12" x14ac:dyDescent="0.35">
      <c r="A127" s="7">
        <v>1126</v>
      </c>
      <c r="B127" s="1">
        <v>45082</v>
      </c>
      <c r="C127" s="2" t="s">
        <v>5</v>
      </c>
      <c r="D127" t="str">
        <f>_xlfn.XLOOKUP(Merged_Sales_Data!C127,PM[Product ID],PM[Product Name])</f>
        <v>Ergo Office Chair</v>
      </c>
      <c r="E127" t="str">
        <f>VLOOKUP(C127,PM[],3,FALSE)</f>
        <v>Office Supplies</v>
      </c>
      <c r="F127">
        <f>_xlfn.XLOOKUP(C127,PM[Product ID],PM[Unit Price (₹)])</f>
        <v>6750</v>
      </c>
      <c r="G127" t="str">
        <f>_xlfn.XLOOKUP(Sales7[[#This Row],[Order ID]],ST[Order ID],ST[Employee ID])</f>
        <v>E05</v>
      </c>
      <c r="H127" t="str">
        <f>_xlfn.XLOOKUP(G127,SM[Employee ID],SM[Salesperson])</f>
        <v>Karan Malhotra</v>
      </c>
      <c r="I127" t="str">
        <f>_xlfn.XLOOKUP(G127,SM[Employee ID],SM[Region])</f>
        <v>East</v>
      </c>
      <c r="J127" t="str">
        <f>_xlfn.XLOOKUP(G127,SM[Employee ID],SM[State/City])</f>
        <v>Kolkata</v>
      </c>
      <c r="K127" s="2">
        <f>_xlfn.XLOOKUP(Sales7[[#This Row],[Order ID]],ST[Order ID],ST[Units Sold])</f>
        <v>2</v>
      </c>
      <c r="L127">
        <f t="shared" si="1"/>
        <v>13500</v>
      </c>
    </row>
    <row r="128" spans="1:12" x14ac:dyDescent="0.35">
      <c r="A128" s="7">
        <v>1133</v>
      </c>
      <c r="B128" s="1">
        <v>45082</v>
      </c>
      <c r="C128" s="2" t="s">
        <v>11</v>
      </c>
      <c r="D128" t="str">
        <f>_xlfn.XLOOKUP(Merged_Sales_Data!C128,PM[Product ID],PM[Product Name])</f>
        <v>Bluetooth Speaker</v>
      </c>
      <c r="E128" t="str">
        <f>VLOOKUP(C128,PM[],3,FALSE)</f>
        <v>Electronics</v>
      </c>
      <c r="F128">
        <f>_xlfn.XLOOKUP(C128,PM[Product ID],PM[Unit Price (₹)])</f>
        <v>1430</v>
      </c>
      <c r="G128" t="str">
        <f>_xlfn.XLOOKUP(Sales7[[#This Row],[Order ID]],ST[Order ID],ST[Employee ID])</f>
        <v>E04</v>
      </c>
      <c r="H128" t="str">
        <f>_xlfn.XLOOKUP(G128,SM[Employee ID],SM[Salesperson])</f>
        <v>Priya Nair</v>
      </c>
      <c r="I128" t="str">
        <f>_xlfn.XLOOKUP(G128,SM[Employee ID],SM[Region])</f>
        <v>South</v>
      </c>
      <c r="J128" t="str">
        <f>_xlfn.XLOOKUP(G128,SM[Employee ID],SM[State/City])</f>
        <v>Bengaluru</v>
      </c>
      <c r="K128" s="2">
        <f>_xlfn.XLOOKUP(Sales7[[#This Row],[Order ID]],ST[Order ID],ST[Units Sold])</f>
        <v>5</v>
      </c>
      <c r="L128">
        <f t="shared" si="1"/>
        <v>7150</v>
      </c>
    </row>
    <row r="129" spans="1:12" x14ac:dyDescent="0.35">
      <c r="A129" s="7">
        <v>1141</v>
      </c>
      <c r="B129" s="1">
        <v>45082</v>
      </c>
      <c r="C129" s="2" t="s">
        <v>8</v>
      </c>
      <c r="D129" t="str">
        <f>_xlfn.XLOOKUP(Merged_Sales_Data!C129,PM[Product ID],PM[Product Name])</f>
        <v>USB-C Hub</v>
      </c>
      <c r="E129" t="str">
        <f>VLOOKUP(C129,PM[],3,FALSE)</f>
        <v>Accessories</v>
      </c>
      <c r="F129">
        <f>_xlfn.XLOOKUP(C129,PM[Product ID],PM[Unit Price (₹)])</f>
        <v>880</v>
      </c>
      <c r="G129" t="str">
        <f>_xlfn.XLOOKUP(Sales7[[#This Row],[Order ID]],ST[Order ID],ST[Employee ID])</f>
        <v>E06</v>
      </c>
      <c r="H129" t="str">
        <f>_xlfn.XLOOKUP(G129,SM[Employee ID],SM[Salesperson])</f>
        <v>Sneha Roy</v>
      </c>
      <c r="I129" t="str">
        <f>_xlfn.XLOOKUP(G129,SM[Employee ID],SM[Region])</f>
        <v>East</v>
      </c>
      <c r="J129" t="str">
        <f>_xlfn.XLOOKUP(G129,SM[Employee ID],SM[State/City])</f>
        <v>Kolkata</v>
      </c>
      <c r="K129" s="2">
        <f>_xlfn.XLOOKUP(Sales7[[#This Row],[Order ID]],ST[Order ID],ST[Units Sold])</f>
        <v>1</v>
      </c>
      <c r="L129">
        <f t="shared" si="1"/>
        <v>880</v>
      </c>
    </row>
    <row r="130" spans="1:12" x14ac:dyDescent="0.35">
      <c r="A130" s="7">
        <v>1131</v>
      </c>
      <c r="B130" s="1">
        <v>45085</v>
      </c>
      <c r="C130" s="2" t="s">
        <v>11</v>
      </c>
      <c r="D130" t="str">
        <f>_xlfn.XLOOKUP(Merged_Sales_Data!C130,PM[Product ID],PM[Product Name])</f>
        <v>Bluetooth Speaker</v>
      </c>
      <c r="E130" t="str">
        <f>VLOOKUP(C130,PM[],3,FALSE)</f>
        <v>Electronics</v>
      </c>
      <c r="F130">
        <f>_xlfn.XLOOKUP(C130,PM[Product ID],PM[Unit Price (₹)])</f>
        <v>1430</v>
      </c>
      <c r="G130" t="str">
        <f>_xlfn.XLOOKUP(Sales7[[#This Row],[Order ID]],ST[Order ID],ST[Employee ID])</f>
        <v>E01</v>
      </c>
      <c r="H130" t="str">
        <f>_xlfn.XLOOKUP(G130,SM[Employee ID],SM[Salesperson])</f>
        <v>Aarav Sharma</v>
      </c>
      <c r="I130" t="str">
        <f>_xlfn.XLOOKUP(G130,SM[Employee ID],SM[Region])</f>
        <v>North</v>
      </c>
      <c r="J130" t="str">
        <f>_xlfn.XLOOKUP(G130,SM[Employee ID],SM[State/City])</f>
        <v>Lucknow</v>
      </c>
      <c r="K130" s="2">
        <f>_xlfn.XLOOKUP(Sales7[[#This Row],[Order ID]],ST[Order ID],ST[Units Sold])</f>
        <v>4</v>
      </c>
      <c r="L130">
        <f t="shared" si="1"/>
        <v>5720</v>
      </c>
    </row>
    <row r="131" spans="1:12" x14ac:dyDescent="0.35">
      <c r="A131" s="7">
        <v>1137</v>
      </c>
      <c r="B131" s="1">
        <v>45086</v>
      </c>
      <c r="C131" s="2" t="s">
        <v>14</v>
      </c>
      <c r="D131" t="str">
        <f>_xlfn.XLOOKUP(Merged_Sales_Data!C131,PM[Product ID],PM[Product Name])</f>
        <v>Laptop Backpack</v>
      </c>
      <c r="E131" t="str">
        <f>VLOOKUP(C131,PM[],3,FALSE)</f>
        <v>Accessories</v>
      </c>
      <c r="F131">
        <f>_xlfn.XLOOKUP(C131,PM[Product ID],PM[Unit Price (₹)])</f>
        <v>1110</v>
      </c>
      <c r="G131" t="str">
        <f>_xlfn.XLOOKUP(Sales7[[#This Row],[Order ID]],ST[Order ID],ST[Employee ID])</f>
        <v>E03</v>
      </c>
      <c r="H131" t="str">
        <f>_xlfn.XLOOKUP(G131,SM[Employee ID],SM[Salesperson])</f>
        <v>Rohan Mehta</v>
      </c>
      <c r="I131" t="str">
        <f>_xlfn.XLOOKUP(G131,SM[Employee ID],SM[Region])</f>
        <v>South</v>
      </c>
      <c r="J131" t="str">
        <f>_xlfn.XLOOKUP(G131,SM[Employee ID],SM[State/City])</f>
        <v>Bengaluru</v>
      </c>
      <c r="K131" s="2">
        <f>_xlfn.XLOOKUP(Sales7[[#This Row],[Order ID]],ST[Order ID],ST[Units Sold])</f>
        <v>5</v>
      </c>
      <c r="L131">
        <f t="shared" ref="L131:L194" si="2">F131*K131</f>
        <v>5550</v>
      </c>
    </row>
    <row r="132" spans="1:12" x14ac:dyDescent="0.35">
      <c r="A132" s="7">
        <v>1140</v>
      </c>
      <c r="B132" s="1">
        <v>45088</v>
      </c>
      <c r="C132" s="2" t="s">
        <v>5</v>
      </c>
      <c r="D132" t="str">
        <f>_xlfn.XLOOKUP(Merged_Sales_Data!C132,PM[Product ID],PM[Product Name])</f>
        <v>Ergo Office Chair</v>
      </c>
      <c r="E132" t="str">
        <f>VLOOKUP(C132,PM[],3,FALSE)</f>
        <v>Office Supplies</v>
      </c>
      <c r="F132">
        <f>_xlfn.XLOOKUP(C132,PM[Product ID],PM[Unit Price (₹)])</f>
        <v>6750</v>
      </c>
      <c r="G132" t="str">
        <f>_xlfn.XLOOKUP(Sales7[[#This Row],[Order ID]],ST[Order ID],ST[Employee ID])</f>
        <v>E05</v>
      </c>
      <c r="H132" t="str">
        <f>_xlfn.XLOOKUP(G132,SM[Employee ID],SM[Salesperson])</f>
        <v>Karan Malhotra</v>
      </c>
      <c r="I132" t="str">
        <f>_xlfn.XLOOKUP(G132,SM[Employee ID],SM[Region])</f>
        <v>East</v>
      </c>
      <c r="J132" t="str">
        <f>_xlfn.XLOOKUP(G132,SM[Employee ID],SM[State/City])</f>
        <v>Kolkata</v>
      </c>
      <c r="K132" s="2">
        <f>_xlfn.XLOOKUP(Sales7[[#This Row],[Order ID]],ST[Order ID],ST[Units Sold])</f>
        <v>2</v>
      </c>
      <c r="L132">
        <f t="shared" si="2"/>
        <v>13500</v>
      </c>
    </row>
    <row r="133" spans="1:12" x14ac:dyDescent="0.35">
      <c r="A133" s="7">
        <v>1129</v>
      </c>
      <c r="B133" s="1">
        <v>45090</v>
      </c>
      <c r="C133" s="2" t="s">
        <v>10</v>
      </c>
      <c r="D133" t="str">
        <f>_xlfn.XLOOKUP(Merged_Sales_Data!C133,PM[Product ID],PM[Product Name])</f>
        <v>Filing Cabinet</v>
      </c>
      <c r="E133" t="str">
        <f>VLOOKUP(C133,PM[],3,FALSE)</f>
        <v>Furniture</v>
      </c>
      <c r="F133">
        <f>_xlfn.XLOOKUP(C133,PM[Product ID],PM[Unit Price (₹)])</f>
        <v>4070</v>
      </c>
      <c r="G133" t="str">
        <f>_xlfn.XLOOKUP(Sales7[[#This Row],[Order ID]],ST[Order ID],ST[Employee ID])</f>
        <v>E04</v>
      </c>
      <c r="H133" t="str">
        <f>_xlfn.XLOOKUP(G133,SM[Employee ID],SM[Salesperson])</f>
        <v>Priya Nair</v>
      </c>
      <c r="I133" t="str">
        <f>_xlfn.XLOOKUP(G133,SM[Employee ID],SM[Region])</f>
        <v>South</v>
      </c>
      <c r="J133" t="str">
        <f>_xlfn.XLOOKUP(G133,SM[Employee ID],SM[State/City])</f>
        <v>Bengaluru</v>
      </c>
      <c r="K133" s="2">
        <f>_xlfn.XLOOKUP(Sales7[[#This Row],[Order ID]],ST[Order ID],ST[Units Sold])</f>
        <v>5</v>
      </c>
      <c r="L133">
        <f t="shared" si="2"/>
        <v>20350</v>
      </c>
    </row>
    <row r="134" spans="1:12" x14ac:dyDescent="0.35">
      <c r="A134" s="7">
        <v>1143</v>
      </c>
      <c r="B134" s="1">
        <v>45091</v>
      </c>
      <c r="C134" s="2" t="s">
        <v>5</v>
      </c>
      <c r="D134" t="str">
        <f>_xlfn.XLOOKUP(Merged_Sales_Data!C134,PM[Product ID],PM[Product Name])</f>
        <v>Ergo Office Chair</v>
      </c>
      <c r="E134" t="str">
        <f>VLOOKUP(C134,PM[],3,FALSE)</f>
        <v>Office Supplies</v>
      </c>
      <c r="F134">
        <f>_xlfn.XLOOKUP(C134,PM[Product ID],PM[Unit Price (₹)])</f>
        <v>6750</v>
      </c>
      <c r="G134" t="str">
        <f>_xlfn.XLOOKUP(Sales7[[#This Row],[Order ID]],ST[Order ID],ST[Employee ID])</f>
        <v>E03</v>
      </c>
      <c r="H134" t="str">
        <f>_xlfn.XLOOKUP(G134,SM[Employee ID],SM[Salesperson])</f>
        <v>Rohan Mehta</v>
      </c>
      <c r="I134" t="str">
        <f>_xlfn.XLOOKUP(G134,SM[Employee ID],SM[Region])</f>
        <v>South</v>
      </c>
      <c r="J134" t="str">
        <f>_xlfn.XLOOKUP(G134,SM[Employee ID],SM[State/City])</f>
        <v>Bengaluru</v>
      </c>
      <c r="K134" s="2">
        <f>_xlfn.XLOOKUP(Sales7[[#This Row],[Order ID]],ST[Order ID],ST[Units Sold])</f>
        <v>1</v>
      </c>
      <c r="L134">
        <f t="shared" si="2"/>
        <v>6750</v>
      </c>
    </row>
    <row r="135" spans="1:12" x14ac:dyDescent="0.35">
      <c r="A135" s="7">
        <v>1144</v>
      </c>
      <c r="B135" s="1">
        <v>45092</v>
      </c>
      <c r="C135" s="2" t="s">
        <v>12</v>
      </c>
      <c r="D135" t="str">
        <f>_xlfn.XLOOKUP(Merged_Sales_Data!C135,PM[Product ID],PM[Product Name])</f>
        <v>Bookshelf Unit</v>
      </c>
      <c r="E135" t="str">
        <f>VLOOKUP(C135,PM[],3,FALSE)</f>
        <v>Furniture</v>
      </c>
      <c r="F135">
        <f>_xlfn.XLOOKUP(C135,PM[Product ID],PM[Unit Price (₹)])</f>
        <v>3910</v>
      </c>
      <c r="G135" t="str">
        <f>_xlfn.XLOOKUP(Sales7[[#This Row],[Order ID]],ST[Order ID],ST[Employee ID])</f>
        <v>E07</v>
      </c>
      <c r="H135" t="str">
        <f>_xlfn.XLOOKUP(G135,SM[Employee ID],SM[Salesperson])</f>
        <v>Aditya Kapoor</v>
      </c>
      <c r="I135" t="str">
        <f>_xlfn.XLOOKUP(G135,SM[Employee ID],SM[Region])</f>
        <v>West</v>
      </c>
      <c r="J135" t="str">
        <f>_xlfn.XLOOKUP(G135,SM[Employee ID],SM[State/City])</f>
        <v>Mumbai</v>
      </c>
      <c r="K135" s="2">
        <f>_xlfn.XLOOKUP(Sales7[[#This Row],[Order ID]],ST[Order ID],ST[Units Sold])</f>
        <v>6</v>
      </c>
      <c r="L135">
        <f t="shared" si="2"/>
        <v>23460</v>
      </c>
    </row>
    <row r="136" spans="1:12" x14ac:dyDescent="0.35">
      <c r="A136" s="7">
        <v>1127</v>
      </c>
      <c r="B136" s="1">
        <v>45093</v>
      </c>
      <c r="C136" s="2" t="s">
        <v>21</v>
      </c>
      <c r="D136" t="str">
        <f>_xlfn.XLOOKUP(Merged_Sales_Data!C136,PM[Product ID],PM[Product Name])</f>
        <v>Wireless Mouse</v>
      </c>
      <c r="E136" t="str">
        <f>VLOOKUP(C136,PM[],3,FALSE)</f>
        <v>Electronics</v>
      </c>
      <c r="F136">
        <f>_xlfn.XLOOKUP(C136,PM[Product ID],PM[Unit Price (₹)])</f>
        <v>780</v>
      </c>
      <c r="G136" t="str">
        <f>_xlfn.XLOOKUP(Sales7[[#This Row],[Order ID]],ST[Order ID],ST[Employee ID])</f>
        <v>E01</v>
      </c>
      <c r="H136" t="str">
        <f>_xlfn.XLOOKUP(G136,SM[Employee ID],SM[Salesperson])</f>
        <v>Aarav Sharma</v>
      </c>
      <c r="I136" t="str">
        <f>_xlfn.XLOOKUP(G136,SM[Employee ID],SM[Region])</f>
        <v>North</v>
      </c>
      <c r="J136" t="str">
        <f>_xlfn.XLOOKUP(G136,SM[Employee ID],SM[State/City])</f>
        <v>Lucknow</v>
      </c>
      <c r="K136" s="2">
        <f>_xlfn.XLOOKUP(Sales7[[#This Row],[Order ID]],ST[Order ID],ST[Units Sold])</f>
        <v>2</v>
      </c>
      <c r="L136">
        <f t="shared" si="2"/>
        <v>1560</v>
      </c>
    </row>
    <row r="137" spans="1:12" x14ac:dyDescent="0.35">
      <c r="A137" s="7">
        <v>1138</v>
      </c>
      <c r="B137" s="1">
        <v>45093</v>
      </c>
      <c r="C137" s="2" t="s">
        <v>20</v>
      </c>
      <c r="D137" t="str">
        <f>_xlfn.XLOOKUP(Merged_Sales_Data!C137,PM[Product ID],PM[Product Name])</f>
        <v>Standing Desk</v>
      </c>
      <c r="E137" t="str">
        <f>VLOOKUP(C137,PM[],3,FALSE)</f>
        <v>Office Supplies</v>
      </c>
      <c r="F137">
        <f>_xlfn.XLOOKUP(C137,PM[Product ID],PM[Unit Price (₹)])</f>
        <v>11010</v>
      </c>
      <c r="G137" t="str">
        <f>_xlfn.XLOOKUP(Sales7[[#This Row],[Order ID]],ST[Order ID],ST[Employee ID])</f>
        <v>E04</v>
      </c>
      <c r="H137" t="str">
        <f>_xlfn.XLOOKUP(G137,SM[Employee ID],SM[Salesperson])</f>
        <v>Priya Nair</v>
      </c>
      <c r="I137" t="str">
        <f>_xlfn.XLOOKUP(G137,SM[Employee ID],SM[Region])</f>
        <v>South</v>
      </c>
      <c r="J137" t="str">
        <f>_xlfn.XLOOKUP(G137,SM[Employee ID],SM[State/City])</f>
        <v>Bengaluru</v>
      </c>
      <c r="K137" s="2">
        <f>_xlfn.XLOOKUP(Sales7[[#This Row],[Order ID]],ST[Order ID],ST[Units Sold])</f>
        <v>6</v>
      </c>
      <c r="L137">
        <f t="shared" si="2"/>
        <v>66060</v>
      </c>
    </row>
    <row r="138" spans="1:12" x14ac:dyDescent="0.35">
      <c r="A138" s="7">
        <v>1124</v>
      </c>
      <c r="B138" s="1">
        <v>45094</v>
      </c>
      <c r="C138" s="2" t="s">
        <v>11</v>
      </c>
      <c r="D138" t="str">
        <f>_xlfn.XLOOKUP(Merged_Sales_Data!C138,PM[Product ID],PM[Product Name])</f>
        <v>Bluetooth Speaker</v>
      </c>
      <c r="E138" t="str">
        <f>VLOOKUP(C138,PM[],3,FALSE)</f>
        <v>Electronics</v>
      </c>
      <c r="F138">
        <f>_xlfn.XLOOKUP(C138,PM[Product ID],PM[Unit Price (₹)])</f>
        <v>1430</v>
      </c>
      <c r="G138" t="str">
        <f>_xlfn.XLOOKUP(Sales7[[#This Row],[Order ID]],ST[Order ID],ST[Employee ID])</f>
        <v>E03</v>
      </c>
      <c r="H138" t="str">
        <f>_xlfn.XLOOKUP(G138,SM[Employee ID],SM[Salesperson])</f>
        <v>Rohan Mehta</v>
      </c>
      <c r="I138" t="str">
        <f>_xlfn.XLOOKUP(G138,SM[Employee ID],SM[Region])</f>
        <v>South</v>
      </c>
      <c r="J138" t="str">
        <f>_xlfn.XLOOKUP(G138,SM[Employee ID],SM[State/City])</f>
        <v>Bengaluru</v>
      </c>
      <c r="K138" s="2">
        <f>_xlfn.XLOOKUP(Sales7[[#This Row],[Order ID]],ST[Order ID],ST[Units Sold])</f>
        <v>2</v>
      </c>
      <c r="L138">
        <f t="shared" si="2"/>
        <v>2860</v>
      </c>
    </row>
    <row r="139" spans="1:12" x14ac:dyDescent="0.35">
      <c r="A139" s="7">
        <v>1134</v>
      </c>
      <c r="B139" s="1">
        <v>45097</v>
      </c>
      <c r="C139" s="2" t="s">
        <v>8</v>
      </c>
      <c r="D139" t="str">
        <f>_xlfn.XLOOKUP(Merged_Sales_Data!C139,PM[Product ID],PM[Product Name])</f>
        <v>USB-C Hub</v>
      </c>
      <c r="E139" t="str">
        <f>VLOOKUP(C139,PM[],3,FALSE)</f>
        <v>Accessories</v>
      </c>
      <c r="F139">
        <f>_xlfn.XLOOKUP(C139,PM[Product ID],PM[Unit Price (₹)])</f>
        <v>880</v>
      </c>
      <c r="G139" t="str">
        <f>_xlfn.XLOOKUP(Sales7[[#This Row],[Order ID]],ST[Order ID],ST[Employee ID])</f>
        <v>E08</v>
      </c>
      <c r="H139" t="str">
        <f>_xlfn.XLOOKUP(G139,SM[Employee ID],SM[Salesperson])</f>
        <v>Neha Joshi</v>
      </c>
      <c r="I139" t="str">
        <f>_xlfn.XLOOKUP(G139,SM[Employee ID],SM[Region])</f>
        <v>West</v>
      </c>
      <c r="J139" t="str">
        <f>_xlfn.XLOOKUP(G139,SM[Employee ID],SM[State/City])</f>
        <v>Ahmedabad</v>
      </c>
      <c r="K139" s="2">
        <f>_xlfn.XLOOKUP(Sales7[[#This Row],[Order ID]],ST[Order ID],ST[Units Sold])</f>
        <v>6</v>
      </c>
      <c r="L139">
        <f t="shared" si="2"/>
        <v>5280</v>
      </c>
    </row>
    <row r="140" spans="1:12" x14ac:dyDescent="0.35">
      <c r="A140" s="7">
        <v>1125</v>
      </c>
      <c r="B140" s="1">
        <v>45099</v>
      </c>
      <c r="C140" s="2" t="s">
        <v>11</v>
      </c>
      <c r="D140" t="str">
        <f>_xlfn.XLOOKUP(Merged_Sales_Data!C140,PM[Product ID],PM[Product Name])</f>
        <v>Bluetooth Speaker</v>
      </c>
      <c r="E140" t="str">
        <f>VLOOKUP(C140,PM[],3,FALSE)</f>
        <v>Electronics</v>
      </c>
      <c r="F140">
        <f>_xlfn.XLOOKUP(C140,PM[Product ID],PM[Unit Price (₹)])</f>
        <v>1430</v>
      </c>
      <c r="G140" t="str">
        <f>_xlfn.XLOOKUP(Sales7[[#This Row],[Order ID]],ST[Order ID],ST[Employee ID])</f>
        <v>E06</v>
      </c>
      <c r="H140" t="str">
        <f>_xlfn.XLOOKUP(G140,SM[Employee ID],SM[Salesperson])</f>
        <v>Sneha Roy</v>
      </c>
      <c r="I140" t="str">
        <f>_xlfn.XLOOKUP(G140,SM[Employee ID],SM[Region])</f>
        <v>East</v>
      </c>
      <c r="J140" t="str">
        <f>_xlfn.XLOOKUP(G140,SM[Employee ID],SM[State/City])</f>
        <v>Kolkata</v>
      </c>
      <c r="K140" s="2">
        <f>_xlfn.XLOOKUP(Sales7[[#This Row],[Order ID]],ST[Order ID],ST[Units Sold])</f>
        <v>2</v>
      </c>
      <c r="L140">
        <f t="shared" si="2"/>
        <v>2860</v>
      </c>
    </row>
    <row r="141" spans="1:12" x14ac:dyDescent="0.35">
      <c r="A141" s="7">
        <v>1130</v>
      </c>
      <c r="B141" s="1">
        <v>45100</v>
      </c>
      <c r="C141" s="2" t="s">
        <v>18</v>
      </c>
      <c r="D141" t="str">
        <f>_xlfn.XLOOKUP(Merged_Sales_Data!C141,PM[Product ID],PM[Product Name])</f>
        <v>LED Monitor 24"</v>
      </c>
      <c r="E141" t="str">
        <f>VLOOKUP(C141,PM[],3,FALSE)</f>
        <v>Electronics</v>
      </c>
      <c r="F141">
        <f>_xlfn.XLOOKUP(C141,PM[Product ID],PM[Unit Price (₹)])</f>
        <v>7700</v>
      </c>
      <c r="G141" t="str">
        <f>_xlfn.XLOOKUP(Sales7[[#This Row],[Order ID]],ST[Order ID],ST[Employee ID])</f>
        <v>E04</v>
      </c>
      <c r="H141" t="str">
        <f>_xlfn.XLOOKUP(G141,SM[Employee ID],SM[Salesperson])</f>
        <v>Priya Nair</v>
      </c>
      <c r="I141" t="str">
        <f>_xlfn.XLOOKUP(G141,SM[Employee ID],SM[Region])</f>
        <v>South</v>
      </c>
      <c r="J141" t="str">
        <f>_xlfn.XLOOKUP(G141,SM[Employee ID],SM[State/City])</f>
        <v>Bengaluru</v>
      </c>
      <c r="K141" s="2">
        <f>_xlfn.XLOOKUP(Sales7[[#This Row],[Order ID]],ST[Order ID],ST[Units Sold])</f>
        <v>10</v>
      </c>
      <c r="L141">
        <f t="shared" si="2"/>
        <v>77000</v>
      </c>
    </row>
    <row r="142" spans="1:12" x14ac:dyDescent="0.35">
      <c r="A142" s="7">
        <v>1142</v>
      </c>
      <c r="B142" s="1">
        <v>45100</v>
      </c>
      <c r="C142" s="2" t="s">
        <v>5</v>
      </c>
      <c r="D142" t="str">
        <f>_xlfn.XLOOKUP(Merged_Sales_Data!C142,PM[Product ID],PM[Product Name])</f>
        <v>Ergo Office Chair</v>
      </c>
      <c r="E142" t="str">
        <f>VLOOKUP(C142,PM[],3,FALSE)</f>
        <v>Office Supplies</v>
      </c>
      <c r="F142">
        <f>_xlfn.XLOOKUP(C142,PM[Product ID],PM[Unit Price (₹)])</f>
        <v>6750</v>
      </c>
      <c r="G142" t="str">
        <f>_xlfn.XLOOKUP(Sales7[[#This Row],[Order ID]],ST[Order ID],ST[Employee ID])</f>
        <v>E03</v>
      </c>
      <c r="H142" t="str">
        <f>_xlfn.XLOOKUP(G142,SM[Employee ID],SM[Salesperson])</f>
        <v>Rohan Mehta</v>
      </c>
      <c r="I142" t="str">
        <f>_xlfn.XLOOKUP(G142,SM[Employee ID],SM[Region])</f>
        <v>South</v>
      </c>
      <c r="J142" t="str">
        <f>_xlfn.XLOOKUP(G142,SM[Employee ID],SM[State/City])</f>
        <v>Bengaluru</v>
      </c>
      <c r="K142" s="2">
        <f>_xlfn.XLOOKUP(Sales7[[#This Row],[Order ID]],ST[Order ID],ST[Units Sold])</f>
        <v>4</v>
      </c>
      <c r="L142">
        <f t="shared" si="2"/>
        <v>27000</v>
      </c>
    </row>
    <row r="143" spans="1:12" x14ac:dyDescent="0.35">
      <c r="A143" s="7">
        <v>1146</v>
      </c>
      <c r="B143" s="1">
        <v>45100</v>
      </c>
      <c r="C143" s="2" t="s">
        <v>10</v>
      </c>
      <c r="D143" t="str">
        <f>_xlfn.XLOOKUP(Merged_Sales_Data!C143,PM[Product ID],PM[Product Name])</f>
        <v>Filing Cabinet</v>
      </c>
      <c r="E143" t="str">
        <f>VLOOKUP(C143,PM[],3,FALSE)</f>
        <v>Furniture</v>
      </c>
      <c r="F143">
        <f>_xlfn.XLOOKUP(C143,PM[Product ID],PM[Unit Price (₹)])</f>
        <v>4070</v>
      </c>
      <c r="G143" t="str">
        <f>_xlfn.XLOOKUP(Sales7[[#This Row],[Order ID]],ST[Order ID],ST[Employee ID])</f>
        <v>E07</v>
      </c>
      <c r="H143" t="str">
        <f>_xlfn.XLOOKUP(G143,SM[Employee ID],SM[Salesperson])</f>
        <v>Aditya Kapoor</v>
      </c>
      <c r="I143" t="str">
        <f>_xlfn.XLOOKUP(G143,SM[Employee ID],SM[Region])</f>
        <v>West</v>
      </c>
      <c r="J143" t="str">
        <f>_xlfn.XLOOKUP(G143,SM[Employee ID],SM[State/City])</f>
        <v>Mumbai</v>
      </c>
      <c r="K143" s="2">
        <f>_xlfn.XLOOKUP(Sales7[[#This Row],[Order ID]],ST[Order ID],ST[Units Sold])</f>
        <v>8</v>
      </c>
      <c r="L143">
        <f t="shared" si="2"/>
        <v>32560</v>
      </c>
    </row>
    <row r="144" spans="1:12" x14ac:dyDescent="0.35">
      <c r="A144" s="7">
        <v>1123</v>
      </c>
      <c r="B144" s="1">
        <v>45103</v>
      </c>
      <c r="C144" s="2" t="s">
        <v>8</v>
      </c>
      <c r="D144" t="str">
        <f>_xlfn.XLOOKUP(Merged_Sales_Data!C144,PM[Product ID],PM[Product Name])</f>
        <v>USB-C Hub</v>
      </c>
      <c r="E144" t="str">
        <f>VLOOKUP(C144,PM[],3,FALSE)</f>
        <v>Accessories</v>
      </c>
      <c r="F144">
        <f>_xlfn.XLOOKUP(C144,PM[Product ID],PM[Unit Price (₹)])</f>
        <v>880</v>
      </c>
      <c r="G144" t="str">
        <f>_xlfn.XLOOKUP(Sales7[[#This Row],[Order ID]],ST[Order ID],ST[Employee ID])</f>
        <v>E04</v>
      </c>
      <c r="H144" t="str">
        <f>_xlfn.XLOOKUP(G144,SM[Employee ID],SM[Salesperson])</f>
        <v>Priya Nair</v>
      </c>
      <c r="I144" t="str">
        <f>_xlfn.XLOOKUP(G144,SM[Employee ID],SM[Region])</f>
        <v>South</v>
      </c>
      <c r="J144" t="str">
        <f>_xlfn.XLOOKUP(G144,SM[Employee ID],SM[State/City])</f>
        <v>Bengaluru</v>
      </c>
      <c r="K144" s="2">
        <f>_xlfn.XLOOKUP(Sales7[[#This Row],[Order ID]],ST[Order ID],ST[Units Sold])</f>
        <v>5</v>
      </c>
      <c r="L144">
        <f t="shared" si="2"/>
        <v>4400</v>
      </c>
    </row>
    <row r="145" spans="1:12" x14ac:dyDescent="0.35">
      <c r="A145" s="7">
        <v>1135</v>
      </c>
      <c r="B145" s="1">
        <v>45104</v>
      </c>
      <c r="C145" s="2" t="s">
        <v>14</v>
      </c>
      <c r="D145" t="str">
        <f>_xlfn.XLOOKUP(Merged_Sales_Data!C145,PM[Product ID],PM[Product Name])</f>
        <v>Laptop Backpack</v>
      </c>
      <c r="E145" t="str">
        <f>VLOOKUP(C145,PM[],3,FALSE)</f>
        <v>Accessories</v>
      </c>
      <c r="F145">
        <f>_xlfn.XLOOKUP(C145,PM[Product ID],PM[Unit Price (₹)])</f>
        <v>1110</v>
      </c>
      <c r="G145" t="str">
        <f>_xlfn.XLOOKUP(Sales7[[#This Row],[Order ID]],ST[Order ID],ST[Employee ID])</f>
        <v>E06</v>
      </c>
      <c r="H145" t="str">
        <f>_xlfn.XLOOKUP(G145,SM[Employee ID],SM[Salesperson])</f>
        <v>Sneha Roy</v>
      </c>
      <c r="I145" t="str">
        <f>_xlfn.XLOOKUP(G145,SM[Employee ID],SM[Region])</f>
        <v>East</v>
      </c>
      <c r="J145" t="str">
        <f>_xlfn.XLOOKUP(G145,SM[Employee ID],SM[State/City])</f>
        <v>Kolkata</v>
      </c>
      <c r="K145" s="2">
        <f>_xlfn.XLOOKUP(Sales7[[#This Row],[Order ID]],ST[Order ID],ST[Units Sold])</f>
        <v>8</v>
      </c>
      <c r="L145">
        <f t="shared" si="2"/>
        <v>8880</v>
      </c>
    </row>
    <row r="146" spans="1:12" x14ac:dyDescent="0.35">
      <c r="A146" s="7">
        <v>1145</v>
      </c>
      <c r="B146" s="1">
        <v>45104</v>
      </c>
      <c r="C146" s="2" t="s">
        <v>21</v>
      </c>
      <c r="D146" t="str">
        <f>_xlfn.XLOOKUP(Merged_Sales_Data!C146,PM[Product ID],PM[Product Name])</f>
        <v>Wireless Mouse</v>
      </c>
      <c r="E146" t="str">
        <f>VLOOKUP(C146,PM[],3,FALSE)</f>
        <v>Electronics</v>
      </c>
      <c r="F146">
        <f>_xlfn.XLOOKUP(C146,PM[Product ID],PM[Unit Price (₹)])</f>
        <v>780</v>
      </c>
      <c r="G146" t="str">
        <f>_xlfn.XLOOKUP(Sales7[[#This Row],[Order ID]],ST[Order ID],ST[Employee ID])</f>
        <v>E07</v>
      </c>
      <c r="H146" t="str">
        <f>_xlfn.XLOOKUP(G146,SM[Employee ID],SM[Salesperson])</f>
        <v>Aditya Kapoor</v>
      </c>
      <c r="I146" t="str">
        <f>_xlfn.XLOOKUP(G146,SM[Employee ID],SM[Region])</f>
        <v>West</v>
      </c>
      <c r="J146" t="str">
        <f>_xlfn.XLOOKUP(G146,SM[Employee ID],SM[State/City])</f>
        <v>Mumbai</v>
      </c>
      <c r="K146" s="2">
        <f>_xlfn.XLOOKUP(Sales7[[#This Row],[Order ID]],ST[Order ID],ST[Units Sold])</f>
        <v>2</v>
      </c>
      <c r="L146">
        <f t="shared" si="2"/>
        <v>1560</v>
      </c>
    </row>
    <row r="147" spans="1:12" x14ac:dyDescent="0.35">
      <c r="A147" s="7">
        <v>1148</v>
      </c>
      <c r="B147" s="1">
        <v>45105</v>
      </c>
      <c r="C147" s="2" t="s">
        <v>20</v>
      </c>
      <c r="D147" t="str">
        <f>_xlfn.XLOOKUP(Merged_Sales_Data!C147,PM[Product ID],PM[Product Name])</f>
        <v>Standing Desk</v>
      </c>
      <c r="E147" t="str">
        <f>VLOOKUP(C147,PM[],3,FALSE)</f>
        <v>Office Supplies</v>
      </c>
      <c r="F147">
        <f>_xlfn.XLOOKUP(C147,PM[Product ID],PM[Unit Price (₹)])</f>
        <v>11010</v>
      </c>
      <c r="G147" t="str">
        <f>_xlfn.XLOOKUP(Sales7[[#This Row],[Order ID]],ST[Order ID],ST[Employee ID])</f>
        <v>E06</v>
      </c>
      <c r="H147" t="str">
        <f>_xlfn.XLOOKUP(G147,SM[Employee ID],SM[Salesperson])</f>
        <v>Sneha Roy</v>
      </c>
      <c r="I147" t="str">
        <f>_xlfn.XLOOKUP(G147,SM[Employee ID],SM[Region])</f>
        <v>East</v>
      </c>
      <c r="J147" t="str">
        <f>_xlfn.XLOOKUP(G147,SM[Employee ID],SM[State/City])</f>
        <v>Kolkata</v>
      </c>
      <c r="K147" s="2">
        <f>_xlfn.XLOOKUP(Sales7[[#This Row],[Order ID]],ST[Order ID],ST[Units Sold])</f>
        <v>4</v>
      </c>
      <c r="L147">
        <f t="shared" si="2"/>
        <v>44040</v>
      </c>
    </row>
    <row r="148" spans="1:12" x14ac:dyDescent="0.35">
      <c r="A148" s="7">
        <v>1128</v>
      </c>
      <c r="B148" s="1">
        <v>45106</v>
      </c>
      <c r="C148" s="2" t="s">
        <v>14</v>
      </c>
      <c r="D148" t="str">
        <f>_xlfn.XLOOKUP(Merged_Sales_Data!C148,PM[Product ID],PM[Product Name])</f>
        <v>Laptop Backpack</v>
      </c>
      <c r="E148" t="str">
        <f>VLOOKUP(C148,PM[],3,FALSE)</f>
        <v>Accessories</v>
      </c>
      <c r="F148">
        <f>_xlfn.XLOOKUP(C148,PM[Product ID],PM[Unit Price (₹)])</f>
        <v>1110</v>
      </c>
      <c r="G148" t="str">
        <f>_xlfn.XLOOKUP(Sales7[[#This Row],[Order ID]],ST[Order ID],ST[Employee ID])</f>
        <v>E02</v>
      </c>
      <c r="H148" t="str">
        <f>_xlfn.XLOOKUP(G148,SM[Employee ID],SM[Salesperson])</f>
        <v>Ishita Verma</v>
      </c>
      <c r="I148" t="str">
        <f>_xlfn.XLOOKUP(G148,SM[Employee ID],SM[Region])</f>
        <v>North</v>
      </c>
      <c r="J148" t="str">
        <f>_xlfn.XLOOKUP(G148,SM[Employee ID],SM[State/City])</f>
        <v>Chandigarh</v>
      </c>
      <c r="K148" s="2">
        <f>_xlfn.XLOOKUP(Sales7[[#This Row],[Order ID]],ST[Order ID],ST[Units Sold])</f>
        <v>4</v>
      </c>
      <c r="L148">
        <f t="shared" si="2"/>
        <v>4440</v>
      </c>
    </row>
    <row r="149" spans="1:12" x14ac:dyDescent="0.35">
      <c r="A149" s="7">
        <v>1136</v>
      </c>
      <c r="B149" s="1">
        <v>45106</v>
      </c>
      <c r="C149" s="2" t="s">
        <v>8</v>
      </c>
      <c r="D149" t="str">
        <f>_xlfn.XLOOKUP(Merged_Sales_Data!C149,PM[Product ID],PM[Product Name])</f>
        <v>USB-C Hub</v>
      </c>
      <c r="E149" t="str">
        <f>VLOOKUP(C149,PM[],3,FALSE)</f>
        <v>Accessories</v>
      </c>
      <c r="F149">
        <f>_xlfn.XLOOKUP(C149,PM[Product ID],PM[Unit Price (₹)])</f>
        <v>880</v>
      </c>
      <c r="G149" t="str">
        <f>_xlfn.XLOOKUP(Sales7[[#This Row],[Order ID]],ST[Order ID],ST[Employee ID])</f>
        <v>E07</v>
      </c>
      <c r="H149" t="str">
        <f>_xlfn.XLOOKUP(G149,SM[Employee ID],SM[Salesperson])</f>
        <v>Aditya Kapoor</v>
      </c>
      <c r="I149" t="str">
        <f>_xlfn.XLOOKUP(G149,SM[Employee ID],SM[Region])</f>
        <v>West</v>
      </c>
      <c r="J149" t="str">
        <f>_xlfn.XLOOKUP(G149,SM[Employee ID],SM[State/City])</f>
        <v>Mumbai</v>
      </c>
      <c r="K149" s="2">
        <f>_xlfn.XLOOKUP(Sales7[[#This Row],[Order ID]],ST[Order ID],ST[Units Sold])</f>
        <v>5</v>
      </c>
      <c r="L149">
        <f t="shared" si="2"/>
        <v>4400</v>
      </c>
    </row>
    <row r="150" spans="1:12" x14ac:dyDescent="0.35">
      <c r="A150" s="7">
        <v>1155</v>
      </c>
      <c r="B150" s="1">
        <v>45109</v>
      </c>
      <c r="C150" s="2" t="s">
        <v>14</v>
      </c>
      <c r="D150" t="str">
        <f>_xlfn.XLOOKUP(Merged_Sales_Data!C150,PM[Product ID],PM[Product Name])</f>
        <v>Laptop Backpack</v>
      </c>
      <c r="E150" t="str">
        <f>VLOOKUP(C150,PM[],3,FALSE)</f>
        <v>Accessories</v>
      </c>
      <c r="F150">
        <f>_xlfn.XLOOKUP(C150,PM[Product ID],PM[Unit Price (₹)])</f>
        <v>1110</v>
      </c>
      <c r="G150" t="str">
        <f>_xlfn.XLOOKUP(Sales7[[#This Row],[Order ID]],ST[Order ID],ST[Employee ID])</f>
        <v>E03</v>
      </c>
      <c r="H150" t="str">
        <f>_xlfn.XLOOKUP(G150,SM[Employee ID],SM[Salesperson])</f>
        <v>Rohan Mehta</v>
      </c>
      <c r="I150" t="str">
        <f>_xlfn.XLOOKUP(G150,SM[Employee ID],SM[Region])</f>
        <v>South</v>
      </c>
      <c r="J150" t="str">
        <f>_xlfn.XLOOKUP(G150,SM[Employee ID],SM[State/City])</f>
        <v>Bengaluru</v>
      </c>
      <c r="K150" s="2">
        <f>_xlfn.XLOOKUP(Sales7[[#This Row],[Order ID]],ST[Order ID],ST[Units Sold])</f>
        <v>1</v>
      </c>
      <c r="L150">
        <f t="shared" si="2"/>
        <v>1110</v>
      </c>
    </row>
    <row r="151" spans="1:12" x14ac:dyDescent="0.35">
      <c r="A151" s="7">
        <v>1168</v>
      </c>
      <c r="B151" s="1">
        <v>45110</v>
      </c>
      <c r="C151" s="2" t="s">
        <v>10</v>
      </c>
      <c r="D151" t="str">
        <f>_xlfn.XLOOKUP(Merged_Sales_Data!C151,PM[Product ID],PM[Product Name])</f>
        <v>Filing Cabinet</v>
      </c>
      <c r="E151" t="str">
        <f>VLOOKUP(C151,PM[],3,FALSE)</f>
        <v>Furniture</v>
      </c>
      <c r="F151">
        <f>_xlfn.XLOOKUP(C151,PM[Product ID],PM[Unit Price (₹)])</f>
        <v>4070</v>
      </c>
      <c r="G151" t="str">
        <f>_xlfn.XLOOKUP(Sales7[[#This Row],[Order ID]],ST[Order ID],ST[Employee ID])</f>
        <v>E07</v>
      </c>
      <c r="H151" t="str">
        <f>_xlfn.XLOOKUP(G151,SM[Employee ID],SM[Salesperson])</f>
        <v>Aditya Kapoor</v>
      </c>
      <c r="I151" t="str">
        <f>_xlfn.XLOOKUP(G151,SM[Employee ID],SM[Region])</f>
        <v>West</v>
      </c>
      <c r="J151" t="str">
        <f>_xlfn.XLOOKUP(G151,SM[Employee ID],SM[State/City])</f>
        <v>Mumbai</v>
      </c>
      <c r="K151" s="2">
        <f>_xlfn.XLOOKUP(Sales7[[#This Row],[Order ID]],ST[Order ID],ST[Units Sold])</f>
        <v>2</v>
      </c>
      <c r="L151">
        <f t="shared" si="2"/>
        <v>8140</v>
      </c>
    </row>
    <row r="152" spans="1:12" x14ac:dyDescent="0.35">
      <c r="A152" s="7">
        <v>1166</v>
      </c>
      <c r="B152" s="1">
        <v>45111</v>
      </c>
      <c r="C152" s="2" t="s">
        <v>18</v>
      </c>
      <c r="D152" t="str">
        <f>_xlfn.XLOOKUP(Merged_Sales_Data!C152,PM[Product ID],PM[Product Name])</f>
        <v>LED Monitor 24"</v>
      </c>
      <c r="E152" t="str">
        <f>VLOOKUP(C152,PM[],3,FALSE)</f>
        <v>Electronics</v>
      </c>
      <c r="F152">
        <f>_xlfn.XLOOKUP(C152,PM[Product ID],PM[Unit Price (₹)])</f>
        <v>7700</v>
      </c>
      <c r="G152" t="str">
        <f>_xlfn.XLOOKUP(Sales7[[#This Row],[Order ID]],ST[Order ID],ST[Employee ID])</f>
        <v>E02</v>
      </c>
      <c r="H152" t="str">
        <f>_xlfn.XLOOKUP(G152,SM[Employee ID],SM[Salesperson])</f>
        <v>Ishita Verma</v>
      </c>
      <c r="I152" t="str">
        <f>_xlfn.XLOOKUP(G152,SM[Employee ID],SM[Region])</f>
        <v>North</v>
      </c>
      <c r="J152" t="str">
        <f>_xlfn.XLOOKUP(G152,SM[Employee ID],SM[State/City])</f>
        <v>Chandigarh</v>
      </c>
      <c r="K152" s="2">
        <f>_xlfn.XLOOKUP(Sales7[[#This Row],[Order ID]],ST[Order ID],ST[Units Sold])</f>
        <v>2</v>
      </c>
      <c r="L152">
        <f t="shared" si="2"/>
        <v>15400</v>
      </c>
    </row>
    <row r="153" spans="1:12" x14ac:dyDescent="0.35">
      <c r="A153" s="7">
        <v>1156</v>
      </c>
      <c r="B153" s="1">
        <v>45114</v>
      </c>
      <c r="C153" s="2" t="s">
        <v>10</v>
      </c>
      <c r="D153" t="str">
        <f>_xlfn.XLOOKUP(Merged_Sales_Data!C153,PM[Product ID],PM[Product Name])</f>
        <v>Filing Cabinet</v>
      </c>
      <c r="E153" t="str">
        <f>VLOOKUP(C153,PM[],3,FALSE)</f>
        <v>Furniture</v>
      </c>
      <c r="F153">
        <f>_xlfn.XLOOKUP(C153,PM[Product ID],PM[Unit Price (₹)])</f>
        <v>4070</v>
      </c>
      <c r="G153" t="str">
        <f>_xlfn.XLOOKUP(Sales7[[#This Row],[Order ID]],ST[Order ID],ST[Employee ID])</f>
        <v>E05</v>
      </c>
      <c r="H153" t="str">
        <f>_xlfn.XLOOKUP(G153,SM[Employee ID],SM[Salesperson])</f>
        <v>Karan Malhotra</v>
      </c>
      <c r="I153" t="str">
        <f>_xlfn.XLOOKUP(G153,SM[Employee ID],SM[Region])</f>
        <v>East</v>
      </c>
      <c r="J153" t="str">
        <f>_xlfn.XLOOKUP(G153,SM[Employee ID],SM[State/City])</f>
        <v>Kolkata</v>
      </c>
      <c r="K153" s="2">
        <f>_xlfn.XLOOKUP(Sales7[[#This Row],[Order ID]],ST[Order ID],ST[Units Sold])</f>
        <v>3</v>
      </c>
      <c r="L153">
        <f t="shared" si="2"/>
        <v>12210</v>
      </c>
    </row>
    <row r="154" spans="1:12" x14ac:dyDescent="0.35">
      <c r="A154" s="7">
        <v>1178</v>
      </c>
      <c r="B154" s="1">
        <v>45115</v>
      </c>
      <c r="C154" s="2" t="s">
        <v>20</v>
      </c>
      <c r="D154" t="str">
        <f>_xlfn.XLOOKUP(Merged_Sales_Data!C154,PM[Product ID],PM[Product Name])</f>
        <v>Standing Desk</v>
      </c>
      <c r="E154" t="str">
        <f>VLOOKUP(C154,PM[],3,FALSE)</f>
        <v>Office Supplies</v>
      </c>
      <c r="F154">
        <f>_xlfn.XLOOKUP(C154,PM[Product ID],PM[Unit Price (₹)])</f>
        <v>11010</v>
      </c>
      <c r="G154" t="str">
        <f>_xlfn.XLOOKUP(Sales7[[#This Row],[Order ID]],ST[Order ID],ST[Employee ID])</f>
        <v>E02</v>
      </c>
      <c r="H154" t="str">
        <f>_xlfn.XLOOKUP(G154,SM[Employee ID],SM[Salesperson])</f>
        <v>Ishita Verma</v>
      </c>
      <c r="I154" t="str">
        <f>_xlfn.XLOOKUP(G154,SM[Employee ID],SM[Region])</f>
        <v>North</v>
      </c>
      <c r="J154" t="str">
        <f>_xlfn.XLOOKUP(G154,SM[Employee ID],SM[State/City])</f>
        <v>Chandigarh</v>
      </c>
      <c r="K154" s="2">
        <f>_xlfn.XLOOKUP(Sales7[[#This Row],[Order ID]],ST[Order ID],ST[Units Sold])</f>
        <v>5</v>
      </c>
      <c r="L154">
        <f t="shared" si="2"/>
        <v>55050</v>
      </c>
    </row>
    <row r="155" spans="1:12" x14ac:dyDescent="0.35">
      <c r="A155" s="7">
        <v>1149</v>
      </c>
      <c r="B155" s="1">
        <v>45116</v>
      </c>
      <c r="C155" s="2" t="s">
        <v>14</v>
      </c>
      <c r="D155" t="str">
        <f>_xlfn.XLOOKUP(Merged_Sales_Data!C155,PM[Product ID],PM[Product Name])</f>
        <v>Laptop Backpack</v>
      </c>
      <c r="E155" t="str">
        <f>VLOOKUP(C155,PM[],3,FALSE)</f>
        <v>Accessories</v>
      </c>
      <c r="F155">
        <f>_xlfn.XLOOKUP(C155,PM[Product ID],PM[Unit Price (₹)])</f>
        <v>1110</v>
      </c>
      <c r="G155" t="str">
        <f>_xlfn.XLOOKUP(Sales7[[#This Row],[Order ID]],ST[Order ID],ST[Employee ID])</f>
        <v>E04</v>
      </c>
      <c r="H155" t="str">
        <f>_xlfn.XLOOKUP(G155,SM[Employee ID],SM[Salesperson])</f>
        <v>Priya Nair</v>
      </c>
      <c r="I155" t="str">
        <f>_xlfn.XLOOKUP(G155,SM[Employee ID],SM[Region])</f>
        <v>South</v>
      </c>
      <c r="J155" t="str">
        <f>_xlfn.XLOOKUP(G155,SM[Employee ID],SM[State/City])</f>
        <v>Bengaluru</v>
      </c>
      <c r="K155" s="2">
        <f>_xlfn.XLOOKUP(Sales7[[#This Row],[Order ID]],ST[Order ID],ST[Units Sold])</f>
        <v>2</v>
      </c>
      <c r="L155">
        <f t="shared" si="2"/>
        <v>2220</v>
      </c>
    </row>
    <row r="156" spans="1:12" x14ac:dyDescent="0.35">
      <c r="A156" s="7">
        <v>1158</v>
      </c>
      <c r="B156" s="1">
        <v>45116</v>
      </c>
      <c r="C156" s="2" t="s">
        <v>20</v>
      </c>
      <c r="D156" t="str">
        <f>_xlfn.XLOOKUP(Merged_Sales_Data!C156,PM[Product ID],PM[Product Name])</f>
        <v>Standing Desk</v>
      </c>
      <c r="E156" t="str">
        <f>VLOOKUP(C156,PM[],3,FALSE)</f>
        <v>Office Supplies</v>
      </c>
      <c r="F156">
        <f>_xlfn.XLOOKUP(C156,PM[Product ID],PM[Unit Price (₹)])</f>
        <v>11010</v>
      </c>
      <c r="G156" t="str">
        <f>_xlfn.XLOOKUP(Sales7[[#This Row],[Order ID]],ST[Order ID],ST[Employee ID])</f>
        <v>E07</v>
      </c>
      <c r="H156" t="str">
        <f>_xlfn.XLOOKUP(G156,SM[Employee ID],SM[Salesperson])</f>
        <v>Aditya Kapoor</v>
      </c>
      <c r="I156" t="str">
        <f>_xlfn.XLOOKUP(G156,SM[Employee ID],SM[Region])</f>
        <v>West</v>
      </c>
      <c r="J156" t="str">
        <f>_xlfn.XLOOKUP(G156,SM[Employee ID],SM[State/City])</f>
        <v>Mumbai</v>
      </c>
      <c r="K156" s="2">
        <f>_xlfn.XLOOKUP(Sales7[[#This Row],[Order ID]],ST[Order ID],ST[Units Sold])</f>
        <v>4</v>
      </c>
      <c r="L156">
        <f t="shared" si="2"/>
        <v>44040</v>
      </c>
    </row>
    <row r="157" spans="1:12" x14ac:dyDescent="0.35">
      <c r="A157" s="7">
        <v>1175</v>
      </c>
      <c r="B157" s="1">
        <v>45116</v>
      </c>
      <c r="C157" s="2" t="s">
        <v>8</v>
      </c>
      <c r="D157" t="str">
        <f>_xlfn.XLOOKUP(Merged_Sales_Data!C157,PM[Product ID],PM[Product Name])</f>
        <v>USB-C Hub</v>
      </c>
      <c r="E157" t="str">
        <f>VLOOKUP(C157,PM[],3,FALSE)</f>
        <v>Accessories</v>
      </c>
      <c r="F157">
        <f>_xlfn.XLOOKUP(C157,PM[Product ID],PM[Unit Price (₹)])</f>
        <v>880</v>
      </c>
      <c r="G157" t="str">
        <f>_xlfn.XLOOKUP(Sales7[[#This Row],[Order ID]],ST[Order ID],ST[Employee ID])</f>
        <v>E03</v>
      </c>
      <c r="H157" t="str">
        <f>_xlfn.XLOOKUP(G157,SM[Employee ID],SM[Salesperson])</f>
        <v>Rohan Mehta</v>
      </c>
      <c r="I157" t="str">
        <f>_xlfn.XLOOKUP(G157,SM[Employee ID],SM[Region])</f>
        <v>South</v>
      </c>
      <c r="J157" t="str">
        <f>_xlfn.XLOOKUP(G157,SM[Employee ID],SM[State/City])</f>
        <v>Bengaluru</v>
      </c>
      <c r="K157" s="2">
        <f>_xlfn.XLOOKUP(Sales7[[#This Row],[Order ID]],ST[Order ID],ST[Units Sold])</f>
        <v>10</v>
      </c>
      <c r="L157">
        <f t="shared" si="2"/>
        <v>8800</v>
      </c>
    </row>
    <row r="158" spans="1:12" x14ac:dyDescent="0.35">
      <c r="A158" s="7">
        <v>1150</v>
      </c>
      <c r="B158" s="1">
        <v>45120</v>
      </c>
      <c r="C158" s="2" t="s">
        <v>14</v>
      </c>
      <c r="D158" t="str">
        <f>_xlfn.XLOOKUP(Merged_Sales_Data!C158,PM[Product ID],PM[Product Name])</f>
        <v>Laptop Backpack</v>
      </c>
      <c r="E158" t="str">
        <f>VLOOKUP(C158,PM[],3,FALSE)</f>
        <v>Accessories</v>
      </c>
      <c r="F158">
        <f>_xlfn.XLOOKUP(C158,PM[Product ID],PM[Unit Price (₹)])</f>
        <v>1110</v>
      </c>
      <c r="G158" t="str">
        <f>_xlfn.XLOOKUP(Sales7[[#This Row],[Order ID]],ST[Order ID],ST[Employee ID])</f>
        <v>E07</v>
      </c>
      <c r="H158" t="str">
        <f>_xlfn.XLOOKUP(G158,SM[Employee ID],SM[Salesperson])</f>
        <v>Aditya Kapoor</v>
      </c>
      <c r="I158" t="str">
        <f>_xlfn.XLOOKUP(G158,SM[Employee ID],SM[Region])</f>
        <v>West</v>
      </c>
      <c r="J158" t="str">
        <f>_xlfn.XLOOKUP(G158,SM[Employee ID],SM[State/City])</f>
        <v>Mumbai</v>
      </c>
      <c r="K158" s="2">
        <f>_xlfn.XLOOKUP(Sales7[[#This Row],[Order ID]],ST[Order ID],ST[Units Sold])</f>
        <v>1</v>
      </c>
      <c r="L158">
        <f t="shared" si="2"/>
        <v>1110</v>
      </c>
    </row>
    <row r="159" spans="1:12" x14ac:dyDescent="0.35">
      <c r="A159" s="7">
        <v>1154</v>
      </c>
      <c r="B159" s="1">
        <v>45121</v>
      </c>
      <c r="C159" s="2" t="s">
        <v>11</v>
      </c>
      <c r="D159" t="str">
        <f>_xlfn.XLOOKUP(Merged_Sales_Data!C159,PM[Product ID],PM[Product Name])</f>
        <v>Bluetooth Speaker</v>
      </c>
      <c r="E159" t="str">
        <f>VLOOKUP(C159,PM[],3,FALSE)</f>
        <v>Electronics</v>
      </c>
      <c r="F159">
        <f>_xlfn.XLOOKUP(C159,PM[Product ID],PM[Unit Price (₹)])</f>
        <v>1430</v>
      </c>
      <c r="G159" t="str">
        <f>_xlfn.XLOOKUP(Sales7[[#This Row],[Order ID]],ST[Order ID],ST[Employee ID])</f>
        <v>E01</v>
      </c>
      <c r="H159" t="str">
        <f>_xlfn.XLOOKUP(G159,SM[Employee ID],SM[Salesperson])</f>
        <v>Aarav Sharma</v>
      </c>
      <c r="I159" t="str">
        <f>_xlfn.XLOOKUP(G159,SM[Employee ID],SM[Region])</f>
        <v>North</v>
      </c>
      <c r="J159" t="str">
        <f>_xlfn.XLOOKUP(G159,SM[Employee ID],SM[State/City])</f>
        <v>Lucknow</v>
      </c>
      <c r="K159" s="2">
        <f>_xlfn.XLOOKUP(Sales7[[#This Row],[Order ID]],ST[Order ID],ST[Units Sold])</f>
        <v>10</v>
      </c>
      <c r="L159">
        <f t="shared" si="2"/>
        <v>14300</v>
      </c>
    </row>
    <row r="160" spans="1:12" x14ac:dyDescent="0.35">
      <c r="A160" s="7">
        <v>1174</v>
      </c>
      <c r="B160" s="1">
        <v>45121</v>
      </c>
      <c r="C160" s="2" t="s">
        <v>14</v>
      </c>
      <c r="D160" t="str">
        <f>_xlfn.XLOOKUP(Merged_Sales_Data!C160,PM[Product ID],PM[Product Name])</f>
        <v>Laptop Backpack</v>
      </c>
      <c r="E160" t="str">
        <f>VLOOKUP(C160,PM[],3,FALSE)</f>
        <v>Accessories</v>
      </c>
      <c r="F160">
        <f>_xlfn.XLOOKUP(C160,PM[Product ID],PM[Unit Price (₹)])</f>
        <v>1110</v>
      </c>
      <c r="G160" t="str">
        <f>_xlfn.XLOOKUP(Sales7[[#This Row],[Order ID]],ST[Order ID],ST[Employee ID])</f>
        <v>E06</v>
      </c>
      <c r="H160" t="str">
        <f>_xlfn.XLOOKUP(G160,SM[Employee ID],SM[Salesperson])</f>
        <v>Sneha Roy</v>
      </c>
      <c r="I160" t="str">
        <f>_xlfn.XLOOKUP(G160,SM[Employee ID],SM[Region])</f>
        <v>East</v>
      </c>
      <c r="J160" t="str">
        <f>_xlfn.XLOOKUP(G160,SM[Employee ID],SM[State/City])</f>
        <v>Kolkata</v>
      </c>
      <c r="K160" s="2">
        <f>_xlfn.XLOOKUP(Sales7[[#This Row],[Order ID]],ST[Order ID],ST[Units Sold])</f>
        <v>1</v>
      </c>
      <c r="L160">
        <f t="shared" si="2"/>
        <v>1110</v>
      </c>
    </row>
    <row r="161" spans="1:12" x14ac:dyDescent="0.35">
      <c r="A161" s="7">
        <v>1163</v>
      </c>
      <c r="B161" s="1">
        <v>45123</v>
      </c>
      <c r="C161" s="2" t="s">
        <v>5</v>
      </c>
      <c r="D161" t="str">
        <f>_xlfn.XLOOKUP(Merged_Sales_Data!C161,PM[Product ID],PM[Product Name])</f>
        <v>Ergo Office Chair</v>
      </c>
      <c r="E161" t="str">
        <f>VLOOKUP(C161,PM[],3,FALSE)</f>
        <v>Office Supplies</v>
      </c>
      <c r="F161">
        <f>_xlfn.XLOOKUP(C161,PM[Product ID],PM[Unit Price (₹)])</f>
        <v>6750</v>
      </c>
      <c r="G161" t="str">
        <f>_xlfn.XLOOKUP(Sales7[[#This Row],[Order ID]],ST[Order ID],ST[Employee ID])</f>
        <v>E03</v>
      </c>
      <c r="H161" t="str">
        <f>_xlfn.XLOOKUP(G161,SM[Employee ID],SM[Salesperson])</f>
        <v>Rohan Mehta</v>
      </c>
      <c r="I161" t="str">
        <f>_xlfn.XLOOKUP(G161,SM[Employee ID],SM[Region])</f>
        <v>South</v>
      </c>
      <c r="J161" t="str">
        <f>_xlfn.XLOOKUP(G161,SM[Employee ID],SM[State/City])</f>
        <v>Bengaluru</v>
      </c>
      <c r="K161" s="2">
        <f>_xlfn.XLOOKUP(Sales7[[#This Row],[Order ID]],ST[Order ID],ST[Units Sold])</f>
        <v>1</v>
      </c>
      <c r="L161">
        <f t="shared" si="2"/>
        <v>6750</v>
      </c>
    </row>
    <row r="162" spans="1:12" x14ac:dyDescent="0.35">
      <c r="A162" s="7">
        <v>1171</v>
      </c>
      <c r="B162" s="1">
        <v>45124</v>
      </c>
      <c r="C162" s="2" t="s">
        <v>12</v>
      </c>
      <c r="D162" t="str">
        <f>_xlfn.XLOOKUP(Merged_Sales_Data!C162,PM[Product ID],PM[Product Name])</f>
        <v>Bookshelf Unit</v>
      </c>
      <c r="E162" t="str">
        <f>VLOOKUP(C162,PM[],3,FALSE)</f>
        <v>Furniture</v>
      </c>
      <c r="F162">
        <f>_xlfn.XLOOKUP(C162,PM[Product ID],PM[Unit Price (₹)])</f>
        <v>3910</v>
      </c>
      <c r="G162" t="str">
        <f>_xlfn.XLOOKUP(Sales7[[#This Row],[Order ID]],ST[Order ID],ST[Employee ID])</f>
        <v>E07</v>
      </c>
      <c r="H162" t="str">
        <f>_xlfn.XLOOKUP(G162,SM[Employee ID],SM[Salesperson])</f>
        <v>Aditya Kapoor</v>
      </c>
      <c r="I162" t="str">
        <f>_xlfn.XLOOKUP(G162,SM[Employee ID],SM[Region])</f>
        <v>West</v>
      </c>
      <c r="J162" t="str">
        <f>_xlfn.XLOOKUP(G162,SM[Employee ID],SM[State/City])</f>
        <v>Mumbai</v>
      </c>
      <c r="K162" s="2">
        <f>_xlfn.XLOOKUP(Sales7[[#This Row],[Order ID]],ST[Order ID],ST[Units Sold])</f>
        <v>1</v>
      </c>
      <c r="L162">
        <f t="shared" si="2"/>
        <v>3910</v>
      </c>
    </row>
    <row r="163" spans="1:12" x14ac:dyDescent="0.35">
      <c r="A163" s="7">
        <v>1152</v>
      </c>
      <c r="B163" s="1">
        <v>45125</v>
      </c>
      <c r="C163" s="2" t="s">
        <v>18</v>
      </c>
      <c r="D163" t="str">
        <f>_xlfn.XLOOKUP(Merged_Sales_Data!C163,PM[Product ID],PM[Product Name])</f>
        <v>LED Monitor 24"</v>
      </c>
      <c r="E163" t="str">
        <f>VLOOKUP(C163,PM[],3,FALSE)</f>
        <v>Electronics</v>
      </c>
      <c r="F163">
        <f>_xlfn.XLOOKUP(C163,PM[Product ID],PM[Unit Price (₹)])</f>
        <v>7700</v>
      </c>
      <c r="G163" t="str">
        <f>_xlfn.XLOOKUP(Sales7[[#This Row],[Order ID]],ST[Order ID],ST[Employee ID])</f>
        <v>E08</v>
      </c>
      <c r="H163" t="str">
        <f>_xlfn.XLOOKUP(G163,SM[Employee ID],SM[Salesperson])</f>
        <v>Neha Joshi</v>
      </c>
      <c r="I163" t="str">
        <f>_xlfn.XLOOKUP(G163,SM[Employee ID],SM[Region])</f>
        <v>West</v>
      </c>
      <c r="J163" t="str">
        <f>_xlfn.XLOOKUP(G163,SM[Employee ID],SM[State/City])</f>
        <v>Ahmedabad</v>
      </c>
      <c r="K163" s="2">
        <f>_xlfn.XLOOKUP(Sales7[[#This Row],[Order ID]],ST[Order ID],ST[Units Sold])</f>
        <v>8</v>
      </c>
      <c r="L163">
        <f t="shared" si="2"/>
        <v>61600</v>
      </c>
    </row>
    <row r="164" spans="1:12" x14ac:dyDescent="0.35">
      <c r="A164" s="7">
        <v>1170</v>
      </c>
      <c r="B164" s="1">
        <v>45125</v>
      </c>
      <c r="C164" s="2" t="s">
        <v>21</v>
      </c>
      <c r="D164" t="str">
        <f>_xlfn.XLOOKUP(Merged_Sales_Data!C164,PM[Product ID],PM[Product Name])</f>
        <v>Wireless Mouse</v>
      </c>
      <c r="E164" t="str">
        <f>VLOOKUP(C164,PM[],3,FALSE)</f>
        <v>Electronics</v>
      </c>
      <c r="F164">
        <f>_xlfn.XLOOKUP(C164,PM[Product ID],PM[Unit Price (₹)])</f>
        <v>780</v>
      </c>
      <c r="G164" t="str">
        <f>_xlfn.XLOOKUP(Sales7[[#This Row],[Order ID]],ST[Order ID],ST[Employee ID])</f>
        <v>E02</v>
      </c>
      <c r="H164" t="str">
        <f>_xlfn.XLOOKUP(G164,SM[Employee ID],SM[Salesperson])</f>
        <v>Ishita Verma</v>
      </c>
      <c r="I164" t="str">
        <f>_xlfn.XLOOKUP(G164,SM[Employee ID],SM[Region])</f>
        <v>North</v>
      </c>
      <c r="J164" t="str">
        <f>_xlfn.XLOOKUP(G164,SM[Employee ID],SM[State/City])</f>
        <v>Chandigarh</v>
      </c>
      <c r="K164" s="2">
        <f>_xlfn.XLOOKUP(Sales7[[#This Row],[Order ID]],ST[Order ID],ST[Units Sold])</f>
        <v>3</v>
      </c>
      <c r="L164">
        <f t="shared" si="2"/>
        <v>2340</v>
      </c>
    </row>
    <row r="165" spans="1:12" x14ac:dyDescent="0.35">
      <c r="A165" s="7">
        <v>1153</v>
      </c>
      <c r="B165" s="1">
        <v>45126</v>
      </c>
      <c r="C165" s="2" t="s">
        <v>10</v>
      </c>
      <c r="D165" t="str">
        <f>_xlfn.XLOOKUP(Merged_Sales_Data!C165,PM[Product ID],PM[Product Name])</f>
        <v>Filing Cabinet</v>
      </c>
      <c r="E165" t="str">
        <f>VLOOKUP(C165,PM[],3,FALSE)</f>
        <v>Furniture</v>
      </c>
      <c r="F165">
        <f>_xlfn.XLOOKUP(C165,PM[Product ID],PM[Unit Price (₹)])</f>
        <v>4070</v>
      </c>
      <c r="G165" t="str">
        <f>_xlfn.XLOOKUP(Sales7[[#This Row],[Order ID]],ST[Order ID],ST[Employee ID])</f>
        <v>E01</v>
      </c>
      <c r="H165" t="str">
        <f>_xlfn.XLOOKUP(G165,SM[Employee ID],SM[Salesperson])</f>
        <v>Aarav Sharma</v>
      </c>
      <c r="I165" t="str">
        <f>_xlfn.XLOOKUP(G165,SM[Employee ID],SM[Region])</f>
        <v>North</v>
      </c>
      <c r="J165" t="str">
        <f>_xlfn.XLOOKUP(G165,SM[Employee ID],SM[State/City])</f>
        <v>Lucknow</v>
      </c>
      <c r="K165" s="2">
        <f>_xlfn.XLOOKUP(Sales7[[#This Row],[Order ID]],ST[Order ID],ST[Units Sold])</f>
        <v>8</v>
      </c>
      <c r="L165">
        <f t="shared" si="2"/>
        <v>32560</v>
      </c>
    </row>
    <row r="166" spans="1:12" x14ac:dyDescent="0.35">
      <c r="A166" s="7">
        <v>1162</v>
      </c>
      <c r="B166" s="1">
        <v>45127</v>
      </c>
      <c r="C166" s="2" t="s">
        <v>5</v>
      </c>
      <c r="D166" t="str">
        <f>_xlfn.XLOOKUP(Merged_Sales_Data!C166,PM[Product ID],PM[Product Name])</f>
        <v>Ergo Office Chair</v>
      </c>
      <c r="E166" t="str">
        <f>VLOOKUP(C166,PM[],3,FALSE)</f>
        <v>Office Supplies</v>
      </c>
      <c r="F166">
        <f>_xlfn.XLOOKUP(C166,PM[Product ID],PM[Unit Price (₹)])</f>
        <v>6750</v>
      </c>
      <c r="G166" t="str">
        <f>_xlfn.XLOOKUP(Sales7[[#This Row],[Order ID]],ST[Order ID],ST[Employee ID])</f>
        <v>E04</v>
      </c>
      <c r="H166" t="str">
        <f>_xlfn.XLOOKUP(G166,SM[Employee ID],SM[Salesperson])</f>
        <v>Priya Nair</v>
      </c>
      <c r="I166" t="str">
        <f>_xlfn.XLOOKUP(G166,SM[Employee ID],SM[Region])</f>
        <v>South</v>
      </c>
      <c r="J166" t="str">
        <f>_xlfn.XLOOKUP(G166,SM[Employee ID],SM[State/City])</f>
        <v>Bengaluru</v>
      </c>
      <c r="K166" s="2">
        <f>_xlfn.XLOOKUP(Sales7[[#This Row],[Order ID]],ST[Order ID],ST[Units Sold])</f>
        <v>1</v>
      </c>
      <c r="L166">
        <f t="shared" si="2"/>
        <v>6750</v>
      </c>
    </row>
    <row r="167" spans="1:12" x14ac:dyDescent="0.35">
      <c r="A167" s="7">
        <v>1165</v>
      </c>
      <c r="B167" s="1">
        <v>45127</v>
      </c>
      <c r="C167" s="2" t="s">
        <v>12</v>
      </c>
      <c r="D167" t="str">
        <f>_xlfn.XLOOKUP(Merged_Sales_Data!C167,PM[Product ID],PM[Product Name])</f>
        <v>Bookshelf Unit</v>
      </c>
      <c r="E167" t="str">
        <f>VLOOKUP(C167,PM[],3,FALSE)</f>
        <v>Furniture</v>
      </c>
      <c r="F167">
        <f>_xlfn.XLOOKUP(C167,PM[Product ID],PM[Unit Price (₹)])</f>
        <v>3910</v>
      </c>
      <c r="G167" t="str">
        <f>_xlfn.XLOOKUP(Sales7[[#This Row],[Order ID]],ST[Order ID],ST[Employee ID])</f>
        <v>E05</v>
      </c>
      <c r="H167" t="str">
        <f>_xlfn.XLOOKUP(G167,SM[Employee ID],SM[Salesperson])</f>
        <v>Karan Malhotra</v>
      </c>
      <c r="I167" t="str">
        <f>_xlfn.XLOOKUP(G167,SM[Employee ID],SM[Region])</f>
        <v>East</v>
      </c>
      <c r="J167" t="str">
        <f>_xlfn.XLOOKUP(G167,SM[Employee ID],SM[State/City])</f>
        <v>Kolkata</v>
      </c>
      <c r="K167" s="2">
        <f>_xlfn.XLOOKUP(Sales7[[#This Row],[Order ID]],ST[Order ID],ST[Units Sold])</f>
        <v>1</v>
      </c>
      <c r="L167">
        <f t="shared" si="2"/>
        <v>3910</v>
      </c>
    </row>
    <row r="168" spans="1:12" x14ac:dyDescent="0.35">
      <c r="A168" s="7">
        <v>1160</v>
      </c>
      <c r="B168" s="1">
        <v>45128</v>
      </c>
      <c r="C168" s="2" t="s">
        <v>12</v>
      </c>
      <c r="D168" t="str">
        <f>_xlfn.XLOOKUP(Merged_Sales_Data!C168,PM[Product ID],PM[Product Name])</f>
        <v>Bookshelf Unit</v>
      </c>
      <c r="E168" t="str">
        <f>VLOOKUP(C168,PM[],3,FALSE)</f>
        <v>Furniture</v>
      </c>
      <c r="F168">
        <f>_xlfn.XLOOKUP(C168,PM[Product ID],PM[Unit Price (₹)])</f>
        <v>3910</v>
      </c>
      <c r="G168" t="str">
        <f>_xlfn.XLOOKUP(Sales7[[#This Row],[Order ID]],ST[Order ID],ST[Employee ID])</f>
        <v>E01</v>
      </c>
      <c r="H168" t="str">
        <f>_xlfn.XLOOKUP(G168,SM[Employee ID],SM[Salesperson])</f>
        <v>Aarav Sharma</v>
      </c>
      <c r="I168" t="str">
        <f>_xlfn.XLOOKUP(G168,SM[Employee ID],SM[Region])</f>
        <v>North</v>
      </c>
      <c r="J168" t="str">
        <f>_xlfn.XLOOKUP(G168,SM[Employee ID],SM[State/City])</f>
        <v>Lucknow</v>
      </c>
      <c r="K168" s="2">
        <f>_xlfn.XLOOKUP(Sales7[[#This Row],[Order ID]],ST[Order ID],ST[Units Sold])</f>
        <v>2</v>
      </c>
      <c r="L168">
        <f t="shared" si="2"/>
        <v>7820</v>
      </c>
    </row>
    <row r="169" spans="1:12" x14ac:dyDescent="0.35">
      <c r="A169" s="7">
        <v>1167</v>
      </c>
      <c r="B169" s="1">
        <v>45129</v>
      </c>
      <c r="C169" s="2" t="s">
        <v>20</v>
      </c>
      <c r="D169" t="str">
        <f>_xlfn.XLOOKUP(Merged_Sales_Data!C169,PM[Product ID],PM[Product Name])</f>
        <v>Standing Desk</v>
      </c>
      <c r="E169" t="str">
        <f>VLOOKUP(C169,PM[],3,FALSE)</f>
        <v>Office Supplies</v>
      </c>
      <c r="F169">
        <f>_xlfn.XLOOKUP(C169,PM[Product ID],PM[Unit Price (₹)])</f>
        <v>11010</v>
      </c>
      <c r="G169" t="str">
        <f>_xlfn.XLOOKUP(Sales7[[#This Row],[Order ID]],ST[Order ID],ST[Employee ID])</f>
        <v>E01</v>
      </c>
      <c r="H169" t="str">
        <f>_xlfn.XLOOKUP(G169,SM[Employee ID],SM[Salesperson])</f>
        <v>Aarav Sharma</v>
      </c>
      <c r="I169" t="str">
        <f>_xlfn.XLOOKUP(G169,SM[Employee ID],SM[Region])</f>
        <v>North</v>
      </c>
      <c r="J169" t="str">
        <f>_xlfn.XLOOKUP(G169,SM[Employee ID],SM[State/City])</f>
        <v>Lucknow</v>
      </c>
      <c r="K169" s="2">
        <f>_xlfn.XLOOKUP(Sales7[[#This Row],[Order ID]],ST[Order ID],ST[Units Sold])</f>
        <v>8</v>
      </c>
      <c r="L169">
        <f t="shared" si="2"/>
        <v>88080</v>
      </c>
    </row>
    <row r="170" spans="1:12" x14ac:dyDescent="0.35">
      <c r="A170" s="7">
        <v>1164</v>
      </c>
      <c r="B170" s="1">
        <v>45130</v>
      </c>
      <c r="C170" s="2" t="s">
        <v>5</v>
      </c>
      <c r="D170" t="str">
        <f>_xlfn.XLOOKUP(Merged_Sales_Data!C170,PM[Product ID],PM[Product Name])</f>
        <v>Ergo Office Chair</v>
      </c>
      <c r="E170" t="str">
        <f>VLOOKUP(C170,PM[],3,FALSE)</f>
        <v>Office Supplies</v>
      </c>
      <c r="F170">
        <f>_xlfn.XLOOKUP(C170,PM[Product ID],PM[Unit Price (₹)])</f>
        <v>6750</v>
      </c>
      <c r="G170" t="str">
        <f>_xlfn.XLOOKUP(Sales7[[#This Row],[Order ID]],ST[Order ID],ST[Employee ID])</f>
        <v>E02</v>
      </c>
      <c r="H170" t="str">
        <f>_xlfn.XLOOKUP(G170,SM[Employee ID],SM[Salesperson])</f>
        <v>Ishita Verma</v>
      </c>
      <c r="I170" t="str">
        <f>_xlfn.XLOOKUP(G170,SM[Employee ID],SM[Region])</f>
        <v>North</v>
      </c>
      <c r="J170" t="str">
        <f>_xlfn.XLOOKUP(G170,SM[Employee ID],SM[State/City])</f>
        <v>Chandigarh</v>
      </c>
      <c r="K170" s="2">
        <f>_xlfn.XLOOKUP(Sales7[[#This Row],[Order ID]],ST[Order ID],ST[Units Sold])</f>
        <v>5</v>
      </c>
      <c r="L170">
        <f t="shared" si="2"/>
        <v>33750</v>
      </c>
    </row>
    <row r="171" spans="1:12" x14ac:dyDescent="0.35">
      <c r="A171" s="7">
        <v>1159</v>
      </c>
      <c r="B171" s="1">
        <v>45131</v>
      </c>
      <c r="C171" s="2" t="s">
        <v>14</v>
      </c>
      <c r="D171" t="str">
        <f>_xlfn.XLOOKUP(Merged_Sales_Data!C171,PM[Product ID],PM[Product Name])</f>
        <v>Laptop Backpack</v>
      </c>
      <c r="E171" t="str">
        <f>VLOOKUP(C171,PM[],3,FALSE)</f>
        <v>Accessories</v>
      </c>
      <c r="F171">
        <f>_xlfn.XLOOKUP(C171,PM[Product ID],PM[Unit Price (₹)])</f>
        <v>1110</v>
      </c>
      <c r="G171" t="str">
        <f>_xlfn.XLOOKUP(Sales7[[#This Row],[Order ID]],ST[Order ID],ST[Employee ID])</f>
        <v>E02</v>
      </c>
      <c r="H171" t="str">
        <f>_xlfn.XLOOKUP(G171,SM[Employee ID],SM[Salesperson])</f>
        <v>Ishita Verma</v>
      </c>
      <c r="I171" t="str">
        <f>_xlfn.XLOOKUP(G171,SM[Employee ID],SM[Region])</f>
        <v>North</v>
      </c>
      <c r="J171" t="str">
        <f>_xlfn.XLOOKUP(G171,SM[Employee ID],SM[State/City])</f>
        <v>Chandigarh</v>
      </c>
      <c r="K171" s="2">
        <f>_xlfn.XLOOKUP(Sales7[[#This Row],[Order ID]],ST[Order ID],ST[Units Sold])</f>
        <v>1</v>
      </c>
      <c r="L171">
        <f t="shared" si="2"/>
        <v>1110</v>
      </c>
    </row>
    <row r="172" spans="1:12" x14ac:dyDescent="0.35">
      <c r="A172" s="7">
        <v>1157</v>
      </c>
      <c r="B172" s="1">
        <v>45132</v>
      </c>
      <c r="C172" s="2" t="s">
        <v>12</v>
      </c>
      <c r="D172" t="str">
        <f>_xlfn.XLOOKUP(Merged_Sales_Data!C172,PM[Product ID],PM[Product Name])</f>
        <v>Bookshelf Unit</v>
      </c>
      <c r="E172" t="str">
        <f>VLOOKUP(C172,PM[],3,FALSE)</f>
        <v>Furniture</v>
      </c>
      <c r="F172">
        <f>_xlfn.XLOOKUP(C172,PM[Product ID],PM[Unit Price (₹)])</f>
        <v>3910</v>
      </c>
      <c r="G172" t="str">
        <f>_xlfn.XLOOKUP(Sales7[[#This Row],[Order ID]],ST[Order ID],ST[Employee ID])</f>
        <v>E08</v>
      </c>
      <c r="H172" t="str">
        <f>_xlfn.XLOOKUP(G172,SM[Employee ID],SM[Salesperson])</f>
        <v>Neha Joshi</v>
      </c>
      <c r="I172" t="str">
        <f>_xlfn.XLOOKUP(G172,SM[Employee ID],SM[Region])</f>
        <v>West</v>
      </c>
      <c r="J172" t="str">
        <f>_xlfn.XLOOKUP(G172,SM[Employee ID],SM[State/City])</f>
        <v>Ahmedabad</v>
      </c>
      <c r="K172" s="2">
        <f>_xlfn.XLOOKUP(Sales7[[#This Row],[Order ID]],ST[Order ID],ST[Units Sold])</f>
        <v>3</v>
      </c>
      <c r="L172">
        <f t="shared" si="2"/>
        <v>11730</v>
      </c>
    </row>
    <row r="173" spans="1:12" x14ac:dyDescent="0.35">
      <c r="A173" s="7">
        <v>1151</v>
      </c>
      <c r="B173" s="1">
        <v>45134</v>
      </c>
      <c r="C173" s="2" t="s">
        <v>10</v>
      </c>
      <c r="D173" t="str">
        <f>_xlfn.XLOOKUP(Merged_Sales_Data!C173,PM[Product ID],PM[Product Name])</f>
        <v>Filing Cabinet</v>
      </c>
      <c r="E173" t="str">
        <f>VLOOKUP(C173,PM[],3,FALSE)</f>
        <v>Furniture</v>
      </c>
      <c r="F173">
        <f>_xlfn.XLOOKUP(C173,PM[Product ID],PM[Unit Price (₹)])</f>
        <v>4070</v>
      </c>
      <c r="G173" t="str">
        <f>_xlfn.XLOOKUP(Sales7[[#This Row],[Order ID]],ST[Order ID],ST[Employee ID])</f>
        <v>E06</v>
      </c>
      <c r="H173" t="str">
        <f>_xlfn.XLOOKUP(G173,SM[Employee ID],SM[Salesperson])</f>
        <v>Sneha Roy</v>
      </c>
      <c r="I173" t="str">
        <f>_xlfn.XLOOKUP(G173,SM[Employee ID],SM[Region])</f>
        <v>East</v>
      </c>
      <c r="J173" t="str">
        <f>_xlfn.XLOOKUP(G173,SM[Employee ID],SM[State/City])</f>
        <v>Kolkata</v>
      </c>
      <c r="K173" s="2">
        <f>_xlfn.XLOOKUP(Sales7[[#This Row],[Order ID]],ST[Order ID],ST[Units Sold])</f>
        <v>1</v>
      </c>
      <c r="L173">
        <f t="shared" si="2"/>
        <v>4070</v>
      </c>
    </row>
    <row r="174" spans="1:12" x14ac:dyDescent="0.35">
      <c r="A174" s="7">
        <v>1172</v>
      </c>
      <c r="B174" s="1">
        <v>45134</v>
      </c>
      <c r="C174" s="2" t="s">
        <v>21</v>
      </c>
      <c r="D174" t="str">
        <f>_xlfn.XLOOKUP(Merged_Sales_Data!C174,PM[Product ID],PM[Product Name])</f>
        <v>Wireless Mouse</v>
      </c>
      <c r="E174" t="str">
        <f>VLOOKUP(C174,PM[],3,FALSE)</f>
        <v>Electronics</v>
      </c>
      <c r="F174">
        <f>_xlfn.XLOOKUP(C174,PM[Product ID],PM[Unit Price (₹)])</f>
        <v>780</v>
      </c>
      <c r="G174" t="str">
        <f>_xlfn.XLOOKUP(Sales7[[#This Row],[Order ID]],ST[Order ID],ST[Employee ID])</f>
        <v>E06</v>
      </c>
      <c r="H174" t="str">
        <f>_xlfn.XLOOKUP(G174,SM[Employee ID],SM[Salesperson])</f>
        <v>Sneha Roy</v>
      </c>
      <c r="I174" t="str">
        <f>_xlfn.XLOOKUP(G174,SM[Employee ID],SM[Region])</f>
        <v>East</v>
      </c>
      <c r="J174" t="str">
        <f>_xlfn.XLOOKUP(G174,SM[Employee ID],SM[State/City])</f>
        <v>Kolkata</v>
      </c>
      <c r="K174" s="2">
        <f>_xlfn.XLOOKUP(Sales7[[#This Row],[Order ID]],ST[Order ID],ST[Units Sold])</f>
        <v>4</v>
      </c>
      <c r="L174">
        <f t="shared" si="2"/>
        <v>3120</v>
      </c>
    </row>
    <row r="175" spans="1:12" x14ac:dyDescent="0.35">
      <c r="A175" s="7">
        <v>1176</v>
      </c>
      <c r="B175" s="1">
        <v>45134</v>
      </c>
      <c r="C175" s="2" t="s">
        <v>14</v>
      </c>
      <c r="D175" t="str">
        <f>_xlfn.XLOOKUP(Merged_Sales_Data!C175,PM[Product ID],PM[Product Name])</f>
        <v>Laptop Backpack</v>
      </c>
      <c r="E175" t="str">
        <f>VLOOKUP(C175,PM[],3,FALSE)</f>
        <v>Accessories</v>
      </c>
      <c r="F175">
        <f>_xlfn.XLOOKUP(C175,PM[Product ID],PM[Unit Price (₹)])</f>
        <v>1110</v>
      </c>
      <c r="G175" t="str">
        <f>_xlfn.XLOOKUP(Sales7[[#This Row],[Order ID]],ST[Order ID],ST[Employee ID])</f>
        <v>E08</v>
      </c>
      <c r="H175" t="str">
        <f>_xlfn.XLOOKUP(G175,SM[Employee ID],SM[Salesperson])</f>
        <v>Neha Joshi</v>
      </c>
      <c r="I175" t="str">
        <f>_xlfn.XLOOKUP(G175,SM[Employee ID],SM[Region])</f>
        <v>West</v>
      </c>
      <c r="J175" t="str">
        <f>_xlfn.XLOOKUP(G175,SM[Employee ID],SM[State/City])</f>
        <v>Ahmedabad</v>
      </c>
      <c r="K175" s="2">
        <f>_xlfn.XLOOKUP(Sales7[[#This Row],[Order ID]],ST[Order ID],ST[Units Sold])</f>
        <v>4</v>
      </c>
      <c r="L175">
        <f t="shared" si="2"/>
        <v>4440</v>
      </c>
    </row>
    <row r="176" spans="1:12" x14ac:dyDescent="0.35">
      <c r="A176" s="7">
        <v>1177</v>
      </c>
      <c r="B176" s="1">
        <v>45134</v>
      </c>
      <c r="C176" s="2" t="s">
        <v>12</v>
      </c>
      <c r="D176" t="str">
        <f>_xlfn.XLOOKUP(Merged_Sales_Data!C176,PM[Product ID],PM[Product Name])</f>
        <v>Bookshelf Unit</v>
      </c>
      <c r="E176" t="str">
        <f>VLOOKUP(C176,PM[],3,FALSE)</f>
        <v>Furniture</v>
      </c>
      <c r="F176">
        <f>_xlfn.XLOOKUP(C176,PM[Product ID],PM[Unit Price (₹)])</f>
        <v>3910</v>
      </c>
      <c r="G176" t="str">
        <f>_xlfn.XLOOKUP(Sales7[[#This Row],[Order ID]],ST[Order ID],ST[Employee ID])</f>
        <v>E05</v>
      </c>
      <c r="H176" t="str">
        <f>_xlfn.XLOOKUP(G176,SM[Employee ID],SM[Salesperson])</f>
        <v>Karan Malhotra</v>
      </c>
      <c r="I176" t="str">
        <f>_xlfn.XLOOKUP(G176,SM[Employee ID],SM[Region])</f>
        <v>East</v>
      </c>
      <c r="J176" t="str">
        <f>_xlfn.XLOOKUP(G176,SM[Employee ID],SM[State/City])</f>
        <v>Kolkata</v>
      </c>
      <c r="K176" s="2">
        <f>_xlfn.XLOOKUP(Sales7[[#This Row],[Order ID]],ST[Order ID],ST[Units Sold])</f>
        <v>2</v>
      </c>
      <c r="L176">
        <f t="shared" si="2"/>
        <v>7820</v>
      </c>
    </row>
    <row r="177" spans="1:12" x14ac:dyDescent="0.35">
      <c r="A177" s="7">
        <v>1169</v>
      </c>
      <c r="B177" s="1">
        <v>45135</v>
      </c>
      <c r="C177" s="2" t="s">
        <v>11</v>
      </c>
      <c r="D177" t="str">
        <f>_xlfn.XLOOKUP(Merged_Sales_Data!C177,PM[Product ID],PM[Product Name])</f>
        <v>Bluetooth Speaker</v>
      </c>
      <c r="E177" t="str">
        <f>VLOOKUP(C177,PM[],3,FALSE)</f>
        <v>Electronics</v>
      </c>
      <c r="F177">
        <f>_xlfn.XLOOKUP(C177,PM[Product ID],PM[Unit Price (₹)])</f>
        <v>1430</v>
      </c>
      <c r="G177" t="str">
        <f>_xlfn.XLOOKUP(Sales7[[#This Row],[Order ID]],ST[Order ID],ST[Employee ID])</f>
        <v>E04</v>
      </c>
      <c r="H177" t="str">
        <f>_xlfn.XLOOKUP(G177,SM[Employee ID],SM[Salesperson])</f>
        <v>Priya Nair</v>
      </c>
      <c r="I177" t="str">
        <f>_xlfn.XLOOKUP(G177,SM[Employee ID],SM[Region])</f>
        <v>South</v>
      </c>
      <c r="J177" t="str">
        <f>_xlfn.XLOOKUP(G177,SM[Employee ID],SM[State/City])</f>
        <v>Bengaluru</v>
      </c>
      <c r="K177" s="2">
        <f>_xlfn.XLOOKUP(Sales7[[#This Row],[Order ID]],ST[Order ID],ST[Units Sold])</f>
        <v>2</v>
      </c>
      <c r="L177">
        <f t="shared" si="2"/>
        <v>2860</v>
      </c>
    </row>
    <row r="178" spans="1:12" x14ac:dyDescent="0.35">
      <c r="A178" s="7">
        <v>1161</v>
      </c>
      <c r="B178" s="1">
        <v>45138</v>
      </c>
      <c r="C178" s="2" t="s">
        <v>21</v>
      </c>
      <c r="D178" t="str">
        <f>_xlfn.XLOOKUP(Merged_Sales_Data!C178,PM[Product ID],PM[Product Name])</f>
        <v>Wireless Mouse</v>
      </c>
      <c r="E178" t="str">
        <f>VLOOKUP(C178,PM[],3,FALSE)</f>
        <v>Electronics</v>
      </c>
      <c r="F178">
        <f>_xlfn.XLOOKUP(C178,PM[Product ID],PM[Unit Price (₹)])</f>
        <v>780</v>
      </c>
      <c r="G178" t="str">
        <f>_xlfn.XLOOKUP(Sales7[[#This Row],[Order ID]],ST[Order ID],ST[Employee ID])</f>
        <v>E02</v>
      </c>
      <c r="H178" t="str">
        <f>_xlfn.XLOOKUP(G178,SM[Employee ID],SM[Salesperson])</f>
        <v>Ishita Verma</v>
      </c>
      <c r="I178" t="str">
        <f>_xlfn.XLOOKUP(G178,SM[Employee ID],SM[Region])</f>
        <v>North</v>
      </c>
      <c r="J178" t="str">
        <f>_xlfn.XLOOKUP(G178,SM[Employee ID],SM[State/City])</f>
        <v>Chandigarh</v>
      </c>
      <c r="K178" s="2">
        <f>_xlfn.XLOOKUP(Sales7[[#This Row],[Order ID]],ST[Order ID],ST[Units Sold])</f>
        <v>1</v>
      </c>
      <c r="L178">
        <f t="shared" si="2"/>
        <v>780</v>
      </c>
    </row>
    <row r="179" spans="1:12" x14ac:dyDescent="0.35">
      <c r="A179" s="7">
        <v>1173</v>
      </c>
      <c r="B179" s="1">
        <v>45138</v>
      </c>
      <c r="C179" s="2" t="s">
        <v>11</v>
      </c>
      <c r="D179" t="str">
        <f>_xlfn.XLOOKUP(Merged_Sales_Data!C179,PM[Product ID],PM[Product Name])</f>
        <v>Bluetooth Speaker</v>
      </c>
      <c r="E179" t="str">
        <f>VLOOKUP(C179,PM[],3,FALSE)</f>
        <v>Electronics</v>
      </c>
      <c r="F179">
        <f>_xlfn.XLOOKUP(C179,PM[Product ID],PM[Unit Price (₹)])</f>
        <v>1430</v>
      </c>
      <c r="G179" t="str">
        <f>_xlfn.XLOOKUP(Sales7[[#This Row],[Order ID]],ST[Order ID],ST[Employee ID])</f>
        <v>E08</v>
      </c>
      <c r="H179" t="str">
        <f>_xlfn.XLOOKUP(G179,SM[Employee ID],SM[Salesperson])</f>
        <v>Neha Joshi</v>
      </c>
      <c r="I179" t="str">
        <f>_xlfn.XLOOKUP(G179,SM[Employee ID],SM[Region])</f>
        <v>West</v>
      </c>
      <c r="J179" t="str">
        <f>_xlfn.XLOOKUP(G179,SM[Employee ID],SM[State/City])</f>
        <v>Ahmedabad</v>
      </c>
      <c r="K179" s="2">
        <f>_xlfn.XLOOKUP(Sales7[[#This Row],[Order ID]],ST[Order ID],ST[Units Sold])</f>
        <v>4</v>
      </c>
      <c r="L179">
        <f t="shared" si="2"/>
        <v>5720</v>
      </c>
    </row>
    <row r="180" spans="1:12" x14ac:dyDescent="0.35">
      <c r="A180" s="7">
        <v>1186</v>
      </c>
      <c r="B180" s="1">
        <v>45141</v>
      </c>
      <c r="C180" s="2" t="s">
        <v>14</v>
      </c>
      <c r="D180" t="str">
        <f>_xlfn.XLOOKUP(Merged_Sales_Data!C180,PM[Product ID],PM[Product Name])</f>
        <v>Laptop Backpack</v>
      </c>
      <c r="E180" t="str">
        <f>VLOOKUP(C180,PM[],3,FALSE)</f>
        <v>Accessories</v>
      </c>
      <c r="F180">
        <f>_xlfn.XLOOKUP(C180,PM[Product ID],PM[Unit Price (₹)])</f>
        <v>1110</v>
      </c>
      <c r="G180" t="str">
        <f>_xlfn.XLOOKUP(Sales7[[#This Row],[Order ID]],ST[Order ID],ST[Employee ID])</f>
        <v>E08</v>
      </c>
      <c r="H180" t="str">
        <f>_xlfn.XLOOKUP(G180,SM[Employee ID],SM[Salesperson])</f>
        <v>Neha Joshi</v>
      </c>
      <c r="I180" t="str">
        <f>_xlfn.XLOOKUP(G180,SM[Employee ID],SM[Region])</f>
        <v>West</v>
      </c>
      <c r="J180" t="str">
        <f>_xlfn.XLOOKUP(G180,SM[Employee ID],SM[State/City])</f>
        <v>Ahmedabad</v>
      </c>
      <c r="K180" s="2">
        <f>_xlfn.XLOOKUP(Sales7[[#This Row],[Order ID]],ST[Order ID],ST[Units Sold])</f>
        <v>1</v>
      </c>
      <c r="L180">
        <f t="shared" si="2"/>
        <v>1110</v>
      </c>
    </row>
    <row r="181" spans="1:12" x14ac:dyDescent="0.35">
      <c r="A181" s="7">
        <v>1204</v>
      </c>
      <c r="B181" s="1">
        <v>45141</v>
      </c>
      <c r="C181" s="2" t="s">
        <v>10</v>
      </c>
      <c r="D181" t="str">
        <f>_xlfn.XLOOKUP(Merged_Sales_Data!C181,PM[Product ID],PM[Product Name])</f>
        <v>Filing Cabinet</v>
      </c>
      <c r="E181" t="str">
        <f>VLOOKUP(C181,PM[],3,FALSE)</f>
        <v>Furniture</v>
      </c>
      <c r="F181">
        <f>_xlfn.XLOOKUP(C181,PM[Product ID],PM[Unit Price (₹)])</f>
        <v>4070</v>
      </c>
      <c r="G181" t="str">
        <f>_xlfn.XLOOKUP(Sales7[[#This Row],[Order ID]],ST[Order ID],ST[Employee ID])</f>
        <v>E02</v>
      </c>
      <c r="H181" t="str">
        <f>_xlfn.XLOOKUP(G181,SM[Employee ID],SM[Salesperson])</f>
        <v>Ishita Verma</v>
      </c>
      <c r="I181" t="str">
        <f>_xlfn.XLOOKUP(G181,SM[Employee ID],SM[Region])</f>
        <v>North</v>
      </c>
      <c r="J181" t="str">
        <f>_xlfn.XLOOKUP(G181,SM[Employee ID],SM[State/City])</f>
        <v>Chandigarh</v>
      </c>
      <c r="K181" s="2">
        <f>_xlfn.XLOOKUP(Sales7[[#This Row],[Order ID]],ST[Order ID],ST[Units Sold])</f>
        <v>5</v>
      </c>
      <c r="L181">
        <f t="shared" si="2"/>
        <v>20350</v>
      </c>
    </row>
    <row r="182" spans="1:12" x14ac:dyDescent="0.35">
      <c r="A182" s="7">
        <v>1203</v>
      </c>
      <c r="B182" s="1">
        <v>45142</v>
      </c>
      <c r="C182" s="2" t="s">
        <v>20</v>
      </c>
      <c r="D182" t="str">
        <f>_xlfn.XLOOKUP(Merged_Sales_Data!C182,PM[Product ID],PM[Product Name])</f>
        <v>Standing Desk</v>
      </c>
      <c r="E182" t="str">
        <f>VLOOKUP(C182,PM[],3,FALSE)</f>
        <v>Office Supplies</v>
      </c>
      <c r="F182">
        <f>_xlfn.XLOOKUP(C182,PM[Product ID],PM[Unit Price (₹)])</f>
        <v>11010</v>
      </c>
      <c r="G182" t="str">
        <f>_xlfn.XLOOKUP(Sales7[[#This Row],[Order ID]],ST[Order ID],ST[Employee ID])</f>
        <v>E01</v>
      </c>
      <c r="H182" t="str">
        <f>_xlfn.XLOOKUP(G182,SM[Employee ID],SM[Salesperson])</f>
        <v>Aarav Sharma</v>
      </c>
      <c r="I182" t="str">
        <f>_xlfn.XLOOKUP(G182,SM[Employee ID],SM[Region])</f>
        <v>North</v>
      </c>
      <c r="J182" t="str">
        <f>_xlfn.XLOOKUP(G182,SM[Employee ID],SM[State/City])</f>
        <v>Lucknow</v>
      </c>
      <c r="K182" s="2">
        <f>_xlfn.XLOOKUP(Sales7[[#This Row],[Order ID]],ST[Order ID],ST[Units Sold])</f>
        <v>5</v>
      </c>
      <c r="L182">
        <f t="shared" si="2"/>
        <v>55050</v>
      </c>
    </row>
    <row r="183" spans="1:12" x14ac:dyDescent="0.35">
      <c r="A183" s="7">
        <v>1206</v>
      </c>
      <c r="B183" s="1">
        <v>45142</v>
      </c>
      <c r="C183" s="2" t="s">
        <v>11</v>
      </c>
      <c r="D183" t="str">
        <f>_xlfn.XLOOKUP(Merged_Sales_Data!C183,PM[Product ID],PM[Product Name])</f>
        <v>Bluetooth Speaker</v>
      </c>
      <c r="E183" t="str">
        <f>VLOOKUP(C183,PM[],3,FALSE)</f>
        <v>Electronics</v>
      </c>
      <c r="F183">
        <f>_xlfn.XLOOKUP(C183,PM[Product ID],PM[Unit Price (₹)])</f>
        <v>1430</v>
      </c>
      <c r="G183" t="str">
        <f>_xlfn.XLOOKUP(Sales7[[#This Row],[Order ID]],ST[Order ID],ST[Employee ID])</f>
        <v>E05</v>
      </c>
      <c r="H183" t="str">
        <f>_xlfn.XLOOKUP(G183,SM[Employee ID],SM[Salesperson])</f>
        <v>Karan Malhotra</v>
      </c>
      <c r="I183" t="str">
        <f>_xlfn.XLOOKUP(G183,SM[Employee ID],SM[Region])</f>
        <v>East</v>
      </c>
      <c r="J183" t="str">
        <f>_xlfn.XLOOKUP(G183,SM[Employee ID],SM[State/City])</f>
        <v>Kolkata</v>
      </c>
      <c r="K183" s="2">
        <f>_xlfn.XLOOKUP(Sales7[[#This Row],[Order ID]],ST[Order ID],ST[Units Sold])</f>
        <v>2</v>
      </c>
      <c r="L183">
        <f t="shared" si="2"/>
        <v>2860</v>
      </c>
    </row>
    <row r="184" spans="1:12" x14ac:dyDescent="0.35">
      <c r="A184" s="7">
        <v>1180</v>
      </c>
      <c r="B184" s="1">
        <v>45145</v>
      </c>
      <c r="C184" s="2" t="s">
        <v>18</v>
      </c>
      <c r="D184" t="str">
        <f>_xlfn.XLOOKUP(Merged_Sales_Data!C184,PM[Product ID],PM[Product Name])</f>
        <v>LED Monitor 24"</v>
      </c>
      <c r="E184" t="str">
        <f>VLOOKUP(C184,PM[],3,FALSE)</f>
        <v>Electronics</v>
      </c>
      <c r="F184">
        <f>_xlfn.XLOOKUP(C184,PM[Product ID],PM[Unit Price (₹)])</f>
        <v>7700</v>
      </c>
      <c r="G184" t="str">
        <f>_xlfn.XLOOKUP(Sales7[[#This Row],[Order ID]],ST[Order ID],ST[Employee ID])</f>
        <v>E06</v>
      </c>
      <c r="H184" t="str">
        <f>_xlfn.XLOOKUP(G184,SM[Employee ID],SM[Salesperson])</f>
        <v>Sneha Roy</v>
      </c>
      <c r="I184" t="str">
        <f>_xlfn.XLOOKUP(G184,SM[Employee ID],SM[Region])</f>
        <v>East</v>
      </c>
      <c r="J184" t="str">
        <f>_xlfn.XLOOKUP(G184,SM[Employee ID],SM[State/City])</f>
        <v>Kolkata</v>
      </c>
      <c r="K184" s="2">
        <f>_xlfn.XLOOKUP(Sales7[[#This Row],[Order ID]],ST[Order ID],ST[Units Sold])</f>
        <v>5</v>
      </c>
      <c r="L184">
        <f t="shared" si="2"/>
        <v>38500</v>
      </c>
    </row>
    <row r="185" spans="1:12" x14ac:dyDescent="0.35">
      <c r="A185" s="7">
        <v>1181</v>
      </c>
      <c r="B185" s="1">
        <v>45147</v>
      </c>
      <c r="C185" s="2" t="s">
        <v>20</v>
      </c>
      <c r="D185" t="str">
        <f>_xlfn.XLOOKUP(Merged_Sales_Data!C185,PM[Product ID],PM[Product Name])</f>
        <v>Standing Desk</v>
      </c>
      <c r="E185" t="str">
        <f>VLOOKUP(C185,PM[],3,FALSE)</f>
        <v>Office Supplies</v>
      </c>
      <c r="F185">
        <f>_xlfn.XLOOKUP(C185,PM[Product ID],PM[Unit Price (₹)])</f>
        <v>11010</v>
      </c>
      <c r="G185" t="str">
        <f>_xlfn.XLOOKUP(Sales7[[#This Row],[Order ID]],ST[Order ID],ST[Employee ID])</f>
        <v>E06</v>
      </c>
      <c r="H185" t="str">
        <f>_xlfn.XLOOKUP(G185,SM[Employee ID],SM[Salesperson])</f>
        <v>Sneha Roy</v>
      </c>
      <c r="I185" t="str">
        <f>_xlfn.XLOOKUP(G185,SM[Employee ID],SM[Region])</f>
        <v>East</v>
      </c>
      <c r="J185" t="str">
        <f>_xlfn.XLOOKUP(G185,SM[Employee ID],SM[State/City])</f>
        <v>Kolkata</v>
      </c>
      <c r="K185" s="2">
        <f>_xlfn.XLOOKUP(Sales7[[#This Row],[Order ID]],ST[Order ID],ST[Units Sold])</f>
        <v>3</v>
      </c>
      <c r="L185">
        <f t="shared" si="2"/>
        <v>33030</v>
      </c>
    </row>
    <row r="186" spans="1:12" x14ac:dyDescent="0.35">
      <c r="A186" s="7">
        <v>1198</v>
      </c>
      <c r="B186" s="1">
        <v>45147</v>
      </c>
      <c r="C186" s="2" t="s">
        <v>8</v>
      </c>
      <c r="D186" t="str">
        <f>_xlfn.XLOOKUP(Merged_Sales_Data!C186,PM[Product ID],PM[Product Name])</f>
        <v>USB-C Hub</v>
      </c>
      <c r="E186" t="str">
        <f>VLOOKUP(C186,PM[],3,FALSE)</f>
        <v>Accessories</v>
      </c>
      <c r="F186">
        <f>_xlfn.XLOOKUP(C186,PM[Product ID],PM[Unit Price (₹)])</f>
        <v>880</v>
      </c>
      <c r="G186" t="str">
        <f>_xlfn.XLOOKUP(Sales7[[#This Row],[Order ID]],ST[Order ID],ST[Employee ID])</f>
        <v>E01</v>
      </c>
      <c r="H186" t="str">
        <f>_xlfn.XLOOKUP(G186,SM[Employee ID],SM[Salesperson])</f>
        <v>Aarav Sharma</v>
      </c>
      <c r="I186" t="str">
        <f>_xlfn.XLOOKUP(G186,SM[Employee ID],SM[Region])</f>
        <v>North</v>
      </c>
      <c r="J186" t="str">
        <f>_xlfn.XLOOKUP(G186,SM[Employee ID],SM[State/City])</f>
        <v>Lucknow</v>
      </c>
      <c r="K186" s="2">
        <f>_xlfn.XLOOKUP(Sales7[[#This Row],[Order ID]],ST[Order ID],ST[Units Sold])</f>
        <v>1</v>
      </c>
      <c r="L186">
        <f t="shared" si="2"/>
        <v>880</v>
      </c>
    </row>
    <row r="187" spans="1:12" x14ac:dyDescent="0.35">
      <c r="A187" s="7">
        <v>1191</v>
      </c>
      <c r="B187" s="1">
        <v>45148</v>
      </c>
      <c r="C187" s="2" t="s">
        <v>14</v>
      </c>
      <c r="D187" t="str">
        <f>_xlfn.XLOOKUP(Merged_Sales_Data!C187,PM[Product ID],PM[Product Name])</f>
        <v>Laptop Backpack</v>
      </c>
      <c r="E187" t="str">
        <f>VLOOKUP(C187,PM[],3,FALSE)</f>
        <v>Accessories</v>
      </c>
      <c r="F187">
        <f>_xlfn.XLOOKUP(C187,PM[Product ID],PM[Unit Price (₹)])</f>
        <v>1110</v>
      </c>
      <c r="G187" t="str">
        <f>_xlfn.XLOOKUP(Sales7[[#This Row],[Order ID]],ST[Order ID],ST[Employee ID])</f>
        <v>E06</v>
      </c>
      <c r="H187" t="str">
        <f>_xlfn.XLOOKUP(G187,SM[Employee ID],SM[Salesperson])</f>
        <v>Sneha Roy</v>
      </c>
      <c r="I187" t="str">
        <f>_xlfn.XLOOKUP(G187,SM[Employee ID],SM[Region])</f>
        <v>East</v>
      </c>
      <c r="J187" t="str">
        <f>_xlfn.XLOOKUP(G187,SM[Employee ID],SM[State/City])</f>
        <v>Kolkata</v>
      </c>
      <c r="K187" s="2">
        <f>_xlfn.XLOOKUP(Sales7[[#This Row],[Order ID]],ST[Order ID],ST[Units Sold])</f>
        <v>2</v>
      </c>
      <c r="L187">
        <f t="shared" si="2"/>
        <v>2220</v>
      </c>
    </row>
    <row r="188" spans="1:12" x14ac:dyDescent="0.35">
      <c r="A188" s="7">
        <v>1196</v>
      </c>
      <c r="B188" s="1">
        <v>45148</v>
      </c>
      <c r="C188" s="2" t="s">
        <v>11</v>
      </c>
      <c r="D188" t="str">
        <f>_xlfn.XLOOKUP(Merged_Sales_Data!C188,PM[Product ID],PM[Product Name])</f>
        <v>Bluetooth Speaker</v>
      </c>
      <c r="E188" t="str">
        <f>VLOOKUP(C188,PM[],3,FALSE)</f>
        <v>Electronics</v>
      </c>
      <c r="F188">
        <f>_xlfn.XLOOKUP(C188,PM[Product ID],PM[Unit Price (₹)])</f>
        <v>1430</v>
      </c>
      <c r="G188" t="str">
        <f>_xlfn.XLOOKUP(Sales7[[#This Row],[Order ID]],ST[Order ID],ST[Employee ID])</f>
        <v>E05</v>
      </c>
      <c r="H188" t="str">
        <f>_xlfn.XLOOKUP(G188,SM[Employee ID],SM[Salesperson])</f>
        <v>Karan Malhotra</v>
      </c>
      <c r="I188" t="str">
        <f>_xlfn.XLOOKUP(G188,SM[Employee ID],SM[Region])</f>
        <v>East</v>
      </c>
      <c r="J188" t="str">
        <f>_xlfn.XLOOKUP(G188,SM[Employee ID],SM[State/City])</f>
        <v>Kolkata</v>
      </c>
      <c r="K188" s="2">
        <f>_xlfn.XLOOKUP(Sales7[[#This Row],[Order ID]],ST[Order ID],ST[Units Sold])</f>
        <v>2</v>
      </c>
      <c r="L188">
        <f t="shared" si="2"/>
        <v>2860</v>
      </c>
    </row>
    <row r="189" spans="1:12" x14ac:dyDescent="0.35">
      <c r="A189" s="7">
        <v>1197</v>
      </c>
      <c r="B189" s="1">
        <v>45148</v>
      </c>
      <c r="C189" s="2" t="s">
        <v>12</v>
      </c>
      <c r="D189" t="str">
        <f>_xlfn.XLOOKUP(Merged_Sales_Data!C189,PM[Product ID],PM[Product Name])</f>
        <v>Bookshelf Unit</v>
      </c>
      <c r="E189" t="str">
        <f>VLOOKUP(C189,PM[],3,FALSE)</f>
        <v>Furniture</v>
      </c>
      <c r="F189">
        <f>_xlfn.XLOOKUP(C189,PM[Product ID],PM[Unit Price (₹)])</f>
        <v>3910</v>
      </c>
      <c r="G189" t="str">
        <f>_xlfn.XLOOKUP(Sales7[[#This Row],[Order ID]],ST[Order ID],ST[Employee ID])</f>
        <v>E04</v>
      </c>
      <c r="H189" t="str">
        <f>_xlfn.XLOOKUP(G189,SM[Employee ID],SM[Salesperson])</f>
        <v>Priya Nair</v>
      </c>
      <c r="I189" t="str">
        <f>_xlfn.XLOOKUP(G189,SM[Employee ID],SM[Region])</f>
        <v>South</v>
      </c>
      <c r="J189" t="str">
        <f>_xlfn.XLOOKUP(G189,SM[Employee ID],SM[State/City])</f>
        <v>Bengaluru</v>
      </c>
      <c r="K189" s="2">
        <f>_xlfn.XLOOKUP(Sales7[[#This Row],[Order ID]],ST[Order ID],ST[Units Sold])</f>
        <v>1</v>
      </c>
      <c r="L189">
        <f t="shared" si="2"/>
        <v>3910</v>
      </c>
    </row>
    <row r="190" spans="1:12" x14ac:dyDescent="0.35">
      <c r="A190" s="7">
        <v>1199</v>
      </c>
      <c r="B190" s="1">
        <v>45148</v>
      </c>
      <c r="C190" s="2" t="s">
        <v>21</v>
      </c>
      <c r="D190" t="str">
        <f>_xlfn.XLOOKUP(Merged_Sales_Data!C190,PM[Product ID],PM[Product Name])</f>
        <v>Wireless Mouse</v>
      </c>
      <c r="E190" t="str">
        <f>VLOOKUP(C190,PM[],3,FALSE)</f>
        <v>Electronics</v>
      </c>
      <c r="F190">
        <f>_xlfn.XLOOKUP(C190,PM[Product ID],PM[Unit Price (₹)])</f>
        <v>780</v>
      </c>
      <c r="G190" t="str">
        <f>_xlfn.XLOOKUP(Sales7[[#This Row],[Order ID]],ST[Order ID],ST[Employee ID])</f>
        <v>E01</v>
      </c>
      <c r="H190" t="str">
        <f>_xlfn.XLOOKUP(G190,SM[Employee ID],SM[Salesperson])</f>
        <v>Aarav Sharma</v>
      </c>
      <c r="I190" t="str">
        <f>_xlfn.XLOOKUP(G190,SM[Employee ID],SM[Region])</f>
        <v>North</v>
      </c>
      <c r="J190" t="str">
        <f>_xlfn.XLOOKUP(G190,SM[Employee ID],SM[State/City])</f>
        <v>Lucknow</v>
      </c>
      <c r="K190" s="2">
        <f>_xlfn.XLOOKUP(Sales7[[#This Row],[Order ID]],ST[Order ID],ST[Units Sold])</f>
        <v>6</v>
      </c>
      <c r="L190">
        <f t="shared" si="2"/>
        <v>4680</v>
      </c>
    </row>
    <row r="191" spans="1:12" x14ac:dyDescent="0.35">
      <c r="A191" s="7">
        <v>1190</v>
      </c>
      <c r="B191" s="1">
        <v>45149</v>
      </c>
      <c r="C191" s="2" t="s">
        <v>10</v>
      </c>
      <c r="D191" t="str">
        <f>_xlfn.XLOOKUP(Merged_Sales_Data!C191,PM[Product ID],PM[Product Name])</f>
        <v>Filing Cabinet</v>
      </c>
      <c r="E191" t="str">
        <f>VLOOKUP(C191,PM[],3,FALSE)</f>
        <v>Furniture</v>
      </c>
      <c r="F191">
        <f>_xlfn.XLOOKUP(C191,PM[Product ID],PM[Unit Price (₹)])</f>
        <v>4070</v>
      </c>
      <c r="G191" t="str">
        <f>_xlfn.XLOOKUP(Sales7[[#This Row],[Order ID]],ST[Order ID],ST[Employee ID])</f>
        <v>E06</v>
      </c>
      <c r="H191" t="str">
        <f>_xlfn.XLOOKUP(G191,SM[Employee ID],SM[Salesperson])</f>
        <v>Sneha Roy</v>
      </c>
      <c r="I191" t="str">
        <f>_xlfn.XLOOKUP(G191,SM[Employee ID],SM[Region])</f>
        <v>East</v>
      </c>
      <c r="J191" t="str">
        <f>_xlfn.XLOOKUP(G191,SM[Employee ID],SM[State/City])</f>
        <v>Kolkata</v>
      </c>
      <c r="K191" s="2">
        <f>_xlfn.XLOOKUP(Sales7[[#This Row],[Order ID]],ST[Order ID],ST[Units Sold])</f>
        <v>6</v>
      </c>
      <c r="L191">
        <f t="shared" si="2"/>
        <v>24420</v>
      </c>
    </row>
    <row r="192" spans="1:12" x14ac:dyDescent="0.35">
      <c r="A192" s="7">
        <v>1207</v>
      </c>
      <c r="B192" s="1">
        <v>45151</v>
      </c>
      <c r="C192" s="2" t="s">
        <v>5</v>
      </c>
      <c r="D192" t="str">
        <f>_xlfn.XLOOKUP(Merged_Sales_Data!C192,PM[Product ID],PM[Product Name])</f>
        <v>Ergo Office Chair</v>
      </c>
      <c r="E192" t="str">
        <f>VLOOKUP(C192,PM[],3,FALSE)</f>
        <v>Office Supplies</v>
      </c>
      <c r="F192">
        <f>_xlfn.XLOOKUP(C192,PM[Product ID],PM[Unit Price (₹)])</f>
        <v>6750</v>
      </c>
      <c r="G192" t="str">
        <f>_xlfn.XLOOKUP(Sales7[[#This Row],[Order ID]],ST[Order ID],ST[Employee ID])</f>
        <v>E07</v>
      </c>
      <c r="H192" t="str">
        <f>_xlfn.XLOOKUP(G192,SM[Employee ID],SM[Salesperson])</f>
        <v>Aditya Kapoor</v>
      </c>
      <c r="I192" t="str">
        <f>_xlfn.XLOOKUP(G192,SM[Employee ID],SM[Region])</f>
        <v>West</v>
      </c>
      <c r="J192" t="str">
        <f>_xlfn.XLOOKUP(G192,SM[Employee ID],SM[State/City])</f>
        <v>Mumbai</v>
      </c>
      <c r="K192" s="2">
        <f>_xlfn.XLOOKUP(Sales7[[#This Row],[Order ID]],ST[Order ID],ST[Units Sold])</f>
        <v>6</v>
      </c>
      <c r="L192">
        <f t="shared" si="2"/>
        <v>40500</v>
      </c>
    </row>
    <row r="193" spans="1:12" x14ac:dyDescent="0.35">
      <c r="A193" s="7">
        <v>1179</v>
      </c>
      <c r="B193" s="1">
        <v>45154</v>
      </c>
      <c r="C193" s="2" t="s">
        <v>12</v>
      </c>
      <c r="D193" t="str">
        <f>_xlfn.XLOOKUP(Merged_Sales_Data!C193,PM[Product ID],PM[Product Name])</f>
        <v>Bookshelf Unit</v>
      </c>
      <c r="E193" t="str">
        <f>VLOOKUP(C193,PM[],3,FALSE)</f>
        <v>Furniture</v>
      </c>
      <c r="F193">
        <f>_xlfn.XLOOKUP(C193,PM[Product ID],PM[Unit Price (₹)])</f>
        <v>3910</v>
      </c>
      <c r="G193" t="str">
        <f>_xlfn.XLOOKUP(Sales7[[#This Row],[Order ID]],ST[Order ID],ST[Employee ID])</f>
        <v>E07</v>
      </c>
      <c r="H193" t="str">
        <f>_xlfn.XLOOKUP(G193,SM[Employee ID],SM[Salesperson])</f>
        <v>Aditya Kapoor</v>
      </c>
      <c r="I193" t="str">
        <f>_xlfn.XLOOKUP(G193,SM[Employee ID],SM[Region])</f>
        <v>West</v>
      </c>
      <c r="J193" t="str">
        <f>_xlfn.XLOOKUP(G193,SM[Employee ID],SM[State/City])</f>
        <v>Mumbai</v>
      </c>
      <c r="K193" s="2">
        <f>_xlfn.XLOOKUP(Sales7[[#This Row],[Order ID]],ST[Order ID],ST[Units Sold])</f>
        <v>1</v>
      </c>
      <c r="L193">
        <f t="shared" si="2"/>
        <v>3910</v>
      </c>
    </row>
    <row r="194" spans="1:12" x14ac:dyDescent="0.35">
      <c r="A194" s="7">
        <v>1201</v>
      </c>
      <c r="B194" s="1">
        <v>45154</v>
      </c>
      <c r="C194" s="2" t="s">
        <v>20</v>
      </c>
      <c r="D194" t="str">
        <f>_xlfn.XLOOKUP(Merged_Sales_Data!C194,PM[Product ID],PM[Product Name])</f>
        <v>Standing Desk</v>
      </c>
      <c r="E194" t="str">
        <f>VLOOKUP(C194,PM[],3,FALSE)</f>
        <v>Office Supplies</v>
      </c>
      <c r="F194">
        <f>_xlfn.XLOOKUP(C194,PM[Product ID],PM[Unit Price (₹)])</f>
        <v>11010</v>
      </c>
      <c r="G194" t="str">
        <f>_xlfn.XLOOKUP(Sales7[[#This Row],[Order ID]],ST[Order ID],ST[Employee ID])</f>
        <v>E01</v>
      </c>
      <c r="H194" t="str">
        <f>_xlfn.XLOOKUP(G194,SM[Employee ID],SM[Salesperson])</f>
        <v>Aarav Sharma</v>
      </c>
      <c r="I194" t="str">
        <f>_xlfn.XLOOKUP(G194,SM[Employee ID],SM[Region])</f>
        <v>North</v>
      </c>
      <c r="J194" t="str">
        <f>_xlfn.XLOOKUP(G194,SM[Employee ID],SM[State/City])</f>
        <v>Lucknow</v>
      </c>
      <c r="K194" s="2">
        <f>_xlfn.XLOOKUP(Sales7[[#This Row],[Order ID]],ST[Order ID],ST[Units Sold])</f>
        <v>5</v>
      </c>
      <c r="L194">
        <f t="shared" si="2"/>
        <v>55050</v>
      </c>
    </row>
    <row r="195" spans="1:12" x14ac:dyDescent="0.35">
      <c r="A195" s="7">
        <v>1182</v>
      </c>
      <c r="B195" s="1">
        <v>45155</v>
      </c>
      <c r="C195" s="2" t="s">
        <v>8</v>
      </c>
      <c r="D195" t="str">
        <f>_xlfn.XLOOKUP(Merged_Sales_Data!C195,PM[Product ID],PM[Product Name])</f>
        <v>USB-C Hub</v>
      </c>
      <c r="E195" t="str">
        <f>VLOOKUP(C195,PM[],3,FALSE)</f>
        <v>Accessories</v>
      </c>
      <c r="F195">
        <f>_xlfn.XLOOKUP(C195,PM[Product ID],PM[Unit Price (₹)])</f>
        <v>880</v>
      </c>
      <c r="G195" t="str">
        <f>_xlfn.XLOOKUP(Sales7[[#This Row],[Order ID]],ST[Order ID],ST[Employee ID])</f>
        <v>E05</v>
      </c>
      <c r="H195" t="str">
        <f>_xlfn.XLOOKUP(G195,SM[Employee ID],SM[Salesperson])</f>
        <v>Karan Malhotra</v>
      </c>
      <c r="I195" t="str">
        <f>_xlfn.XLOOKUP(G195,SM[Employee ID],SM[Region])</f>
        <v>East</v>
      </c>
      <c r="J195" t="str">
        <f>_xlfn.XLOOKUP(G195,SM[Employee ID],SM[State/City])</f>
        <v>Kolkata</v>
      </c>
      <c r="K195" s="2">
        <f>_xlfn.XLOOKUP(Sales7[[#This Row],[Order ID]],ST[Order ID],ST[Units Sold])</f>
        <v>1</v>
      </c>
      <c r="L195">
        <f t="shared" ref="L195:L258" si="3">F195*K195</f>
        <v>880</v>
      </c>
    </row>
    <row r="196" spans="1:12" x14ac:dyDescent="0.35">
      <c r="A196" s="7">
        <v>1189</v>
      </c>
      <c r="B196" s="1">
        <v>45155</v>
      </c>
      <c r="C196" s="2" t="s">
        <v>14</v>
      </c>
      <c r="D196" t="str">
        <f>_xlfn.XLOOKUP(Merged_Sales_Data!C196,PM[Product ID],PM[Product Name])</f>
        <v>Laptop Backpack</v>
      </c>
      <c r="E196" t="str">
        <f>VLOOKUP(C196,PM[],3,FALSE)</f>
        <v>Accessories</v>
      </c>
      <c r="F196">
        <f>_xlfn.XLOOKUP(C196,PM[Product ID],PM[Unit Price (₹)])</f>
        <v>1110</v>
      </c>
      <c r="G196" t="str">
        <f>_xlfn.XLOOKUP(Sales7[[#This Row],[Order ID]],ST[Order ID],ST[Employee ID])</f>
        <v>E06</v>
      </c>
      <c r="H196" t="str">
        <f>_xlfn.XLOOKUP(G196,SM[Employee ID],SM[Salesperson])</f>
        <v>Sneha Roy</v>
      </c>
      <c r="I196" t="str">
        <f>_xlfn.XLOOKUP(G196,SM[Employee ID],SM[Region])</f>
        <v>East</v>
      </c>
      <c r="J196" t="str">
        <f>_xlfn.XLOOKUP(G196,SM[Employee ID],SM[State/City])</f>
        <v>Kolkata</v>
      </c>
      <c r="K196" s="2">
        <f>_xlfn.XLOOKUP(Sales7[[#This Row],[Order ID]],ST[Order ID],ST[Units Sold])</f>
        <v>6</v>
      </c>
      <c r="L196">
        <f t="shared" si="3"/>
        <v>6660</v>
      </c>
    </row>
    <row r="197" spans="1:12" x14ac:dyDescent="0.35">
      <c r="A197" s="7">
        <v>1188</v>
      </c>
      <c r="B197" s="1">
        <v>45157</v>
      </c>
      <c r="C197" s="2" t="s">
        <v>20</v>
      </c>
      <c r="D197" t="str">
        <f>_xlfn.XLOOKUP(Merged_Sales_Data!C197,PM[Product ID],PM[Product Name])</f>
        <v>Standing Desk</v>
      </c>
      <c r="E197" t="str">
        <f>VLOOKUP(C197,PM[],3,FALSE)</f>
        <v>Office Supplies</v>
      </c>
      <c r="F197">
        <f>_xlfn.XLOOKUP(C197,PM[Product ID],PM[Unit Price (₹)])</f>
        <v>11010</v>
      </c>
      <c r="G197" t="str">
        <f>_xlfn.XLOOKUP(Sales7[[#This Row],[Order ID]],ST[Order ID],ST[Employee ID])</f>
        <v>E04</v>
      </c>
      <c r="H197" t="str">
        <f>_xlfn.XLOOKUP(G197,SM[Employee ID],SM[Salesperson])</f>
        <v>Priya Nair</v>
      </c>
      <c r="I197" t="str">
        <f>_xlfn.XLOOKUP(G197,SM[Employee ID],SM[Region])</f>
        <v>South</v>
      </c>
      <c r="J197" t="str">
        <f>_xlfn.XLOOKUP(G197,SM[Employee ID],SM[State/City])</f>
        <v>Bengaluru</v>
      </c>
      <c r="K197" s="2">
        <f>_xlfn.XLOOKUP(Sales7[[#This Row],[Order ID]],ST[Order ID],ST[Units Sold])</f>
        <v>10</v>
      </c>
      <c r="L197">
        <f t="shared" si="3"/>
        <v>110100</v>
      </c>
    </row>
    <row r="198" spans="1:12" x14ac:dyDescent="0.35">
      <c r="A198" s="7">
        <v>1209</v>
      </c>
      <c r="B198" s="1">
        <v>45158</v>
      </c>
      <c r="C198" s="2" t="s">
        <v>20</v>
      </c>
      <c r="D198" t="str">
        <f>_xlfn.XLOOKUP(Merged_Sales_Data!C198,PM[Product ID],PM[Product Name])</f>
        <v>Standing Desk</v>
      </c>
      <c r="E198" t="str">
        <f>VLOOKUP(C198,PM[],3,FALSE)</f>
        <v>Office Supplies</v>
      </c>
      <c r="F198">
        <f>_xlfn.XLOOKUP(C198,PM[Product ID],PM[Unit Price (₹)])</f>
        <v>11010</v>
      </c>
      <c r="G198" t="str">
        <f>_xlfn.XLOOKUP(Sales7[[#This Row],[Order ID]],ST[Order ID],ST[Employee ID])</f>
        <v>E07</v>
      </c>
      <c r="H198" t="str">
        <f>_xlfn.XLOOKUP(G198,SM[Employee ID],SM[Salesperson])</f>
        <v>Aditya Kapoor</v>
      </c>
      <c r="I198" t="str">
        <f>_xlfn.XLOOKUP(G198,SM[Employee ID],SM[Region])</f>
        <v>West</v>
      </c>
      <c r="J198" t="str">
        <f>_xlfn.XLOOKUP(G198,SM[Employee ID],SM[State/City])</f>
        <v>Mumbai</v>
      </c>
      <c r="K198" s="2">
        <f>_xlfn.XLOOKUP(Sales7[[#This Row],[Order ID]],ST[Order ID],ST[Units Sold])</f>
        <v>8</v>
      </c>
      <c r="L198">
        <f t="shared" si="3"/>
        <v>88080</v>
      </c>
    </row>
    <row r="199" spans="1:12" x14ac:dyDescent="0.35">
      <c r="A199" s="7">
        <v>1185</v>
      </c>
      <c r="B199" s="1">
        <v>45161</v>
      </c>
      <c r="C199" s="2" t="s">
        <v>14</v>
      </c>
      <c r="D199" t="str">
        <f>_xlfn.XLOOKUP(Merged_Sales_Data!C199,PM[Product ID],PM[Product Name])</f>
        <v>Laptop Backpack</v>
      </c>
      <c r="E199" t="str">
        <f>VLOOKUP(C199,PM[],3,FALSE)</f>
        <v>Accessories</v>
      </c>
      <c r="F199">
        <f>_xlfn.XLOOKUP(C199,PM[Product ID],PM[Unit Price (₹)])</f>
        <v>1110</v>
      </c>
      <c r="G199" t="str">
        <f>_xlfn.XLOOKUP(Sales7[[#This Row],[Order ID]],ST[Order ID],ST[Employee ID])</f>
        <v>E04</v>
      </c>
      <c r="H199" t="str">
        <f>_xlfn.XLOOKUP(G199,SM[Employee ID],SM[Salesperson])</f>
        <v>Priya Nair</v>
      </c>
      <c r="I199" t="str">
        <f>_xlfn.XLOOKUP(G199,SM[Employee ID],SM[Region])</f>
        <v>South</v>
      </c>
      <c r="J199" t="str">
        <f>_xlfn.XLOOKUP(G199,SM[Employee ID],SM[State/City])</f>
        <v>Bengaluru</v>
      </c>
      <c r="K199" s="2">
        <f>_xlfn.XLOOKUP(Sales7[[#This Row],[Order ID]],ST[Order ID],ST[Units Sold])</f>
        <v>10</v>
      </c>
      <c r="L199">
        <f t="shared" si="3"/>
        <v>11100</v>
      </c>
    </row>
    <row r="200" spans="1:12" x14ac:dyDescent="0.35">
      <c r="A200" s="7">
        <v>1187</v>
      </c>
      <c r="B200" s="1">
        <v>45161</v>
      </c>
      <c r="C200" s="2" t="s">
        <v>5</v>
      </c>
      <c r="D200" t="str">
        <f>_xlfn.XLOOKUP(Merged_Sales_Data!C200,PM[Product ID],PM[Product Name])</f>
        <v>Ergo Office Chair</v>
      </c>
      <c r="E200" t="str">
        <f>VLOOKUP(C200,PM[],3,FALSE)</f>
        <v>Office Supplies</v>
      </c>
      <c r="F200">
        <f>_xlfn.XLOOKUP(C200,PM[Product ID],PM[Unit Price (₹)])</f>
        <v>6750</v>
      </c>
      <c r="G200" t="str">
        <f>_xlfn.XLOOKUP(Sales7[[#This Row],[Order ID]],ST[Order ID],ST[Employee ID])</f>
        <v>E05</v>
      </c>
      <c r="H200" t="str">
        <f>_xlfn.XLOOKUP(G200,SM[Employee ID],SM[Salesperson])</f>
        <v>Karan Malhotra</v>
      </c>
      <c r="I200" t="str">
        <f>_xlfn.XLOOKUP(G200,SM[Employee ID],SM[Region])</f>
        <v>East</v>
      </c>
      <c r="J200" t="str">
        <f>_xlfn.XLOOKUP(G200,SM[Employee ID],SM[State/City])</f>
        <v>Kolkata</v>
      </c>
      <c r="K200" s="2">
        <f>_xlfn.XLOOKUP(Sales7[[#This Row],[Order ID]],ST[Order ID],ST[Units Sold])</f>
        <v>4</v>
      </c>
      <c r="L200">
        <f t="shared" si="3"/>
        <v>27000</v>
      </c>
    </row>
    <row r="201" spans="1:12" x14ac:dyDescent="0.35">
      <c r="A201" s="7">
        <v>1183</v>
      </c>
      <c r="B201" s="1">
        <v>45162</v>
      </c>
      <c r="C201" s="2" t="s">
        <v>11</v>
      </c>
      <c r="D201" t="str">
        <f>_xlfn.XLOOKUP(Merged_Sales_Data!C201,PM[Product ID],PM[Product Name])</f>
        <v>Bluetooth Speaker</v>
      </c>
      <c r="E201" t="str">
        <f>VLOOKUP(C201,PM[],3,FALSE)</f>
        <v>Electronics</v>
      </c>
      <c r="F201">
        <f>_xlfn.XLOOKUP(C201,PM[Product ID],PM[Unit Price (₹)])</f>
        <v>1430</v>
      </c>
      <c r="G201" t="str">
        <f>_xlfn.XLOOKUP(Sales7[[#This Row],[Order ID]],ST[Order ID],ST[Employee ID])</f>
        <v>E04</v>
      </c>
      <c r="H201" t="str">
        <f>_xlfn.XLOOKUP(G201,SM[Employee ID],SM[Salesperson])</f>
        <v>Priya Nair</v>
      </c>
      <c r="I201" t="str">
        <f>_xlfn.XLOOKUP(G201,SM[Employee ID],SM[Region])</f>
        <v>South</v>
      </c>
      <c r="J201" t="str">
        <f>_xlfn.XLOOKUP(G201,SM[Employee ID],SM[State/City])</f>
        <v>Bengaluru</v>
      </c>
      <c r="K201" s="2">
        <f>_xlfn.XLOOKUP(Sales7[[#This Row],[Order ID]],ST[Order ID],ST[Units Sold])</f>
        <v>2</v>
      </c>
      <c r="L201">
        <f t="shared" si="3"/>
        <v>2860</v>
      </c>
    </row>
    <row r="202" spans="1:12" x14ac:dyDescent="0.35">
      <c r="A202" s="7">
        <v>1192</v>
      </c>
      <c r="B202" s="1">
        <v>45162</v>
      </c>
      <c r="C202" s="2" t="s">
        <v>5</v>
      </c>
      <c r="D202" t="str">
        <f>_xlfn.XLOOKUP(Merged_Sales_Data!C202,PM[Product ID],PM[Product Name])</f>
        <v>Ergo Office Chair</v>
      </c>
      <c r="E202" t="str">
        <f>VLOOKUP(C202,PM[],3,FALSE)</f>
        <v>Office Supplies</v>
      </c>
      <c r="F202">
        <f>_xlfn.XLOOKUP(C202,PM[Product ID],PM[Unit Price (₹)])</f>
        <v>6750</v>
      </c>
      <c r="G202" t="str">
        <f>_xlfn.XLOOKUP(Sales7[[#This Row],[Order ID]],ST[Order ID],ST[Employee ID])</f>
        <v>E05</v>
      </c>
      <c r="H202" t="str">
        <f>_xlfn.XLOOKUP(G202,SM[Employee ID],SM[Salesperson])</f>
        <v>Karan Malhotra</v>
      </c>
      <c r="I202" t="str">
        <f>_xlfn.XLOOKUP(G202,SM[Employee ID],SM[Region])</f>
        <v>East</v>
      </c>
      <c r="J202" t="str">
        <f>_xlfn.XLOOKUP(G202,SM[Employee ID],SM[State/City])</f>
        <v>Kolkata</v>
      </c>
      <c r="K202" s="2">
        <f>_xlfn.XLOOKUP(Sales7[[#This Row],[Order ID]],ST[Order ID],ST[Units Sold])</f>
        <v>1</v>
      </c>
      <c r="L202">
        <f t="shared" si="3"/>
        <v>6750</v>
      </c>
    </row>
    <row r="203" spans="1:12" x14ac:dyDescent="0.35">
      <c r="A203" s="7">
        <v>1193</v>
      </c>
      <c r="B203" s="1">
        <v>45162</v>
      </c>
      <c r="C203" s="2" t="s">
        <v>12</v>
      </c>
      <c r="D203" t="str">
        <f>_xlfn.XLOOKUP(Merged_Sales_Data!C203,PM[Product ID],PM[Product Name])</f>
        <v>Bookshelf Unit</v>
      </c>
      <c r="E203" t="str">
        <f>VLOOKUP(C203,PM[],3,FALSE)</f>
        <v>Furniture</v>
      </c>
      <c r="F203">
        <f>_xlfn.XLOOKUP(C203,PM[Product ID],PM[Unit Price (₹)])</f>
        <v>3910</v>
      </c>
      <c r="G203" t="str">
        <f>_xlfn.XLOOKUP(Sales7[[#This Row],[Order ID]],ST[Order ID],ST[Employee ID])</f>
        <v>E04</v>
      </c>
      <c r="H203" t="str">
        <f>_xlfn.XLOOKUP(G203,SM[Employee ID],SM[Salesperson])</f>
        <v>Priya Nair</v>
      </c>
      <c r="I203" t="str">
        <f>_xlfn.XLOOKUP(G203,SM[Employee ID],SM[Region])</f>
        <v>South</v>
      </c>
      <c r="J203" t="str">
        <f>_xlfn.XLOOKUP(G203,SM[Employee ID],SM[State/City])</f>
        <v>Bengaluru</v>
      </c>
      <c r="K203" s="2">
        <f>_xlfn.XLOOKUP(Sales7[[#This Row],[Order ID]],ST[Order ID],ST[Units Sold])</f>
        <v>1</v>
      </c>
      <c r="L203">
        <f t="shared" si="3"/>
        <v>3910</v>
      </c>
    </row>
    <row r="204" spans="1:12" x14ac:dyDescent="0.35">
      <c r="A204" s="7">
        <v>1194</v>
      </c>
      <c r="B204" s="1">
        <v>45162</v>
      </c>
      <c r="C204" s="2" t="s">
        <v>5</v>
      </c>
      <c r="D204" t="str">
        <f>_xlfn.XLOOKUP(Merged_Sales_Data!C204,PM[Product ID],PM[Product Name])</f>
        <v>Ergo Office Chair</v>
      </c>
      <c r="E204" t="str">
        <f>VLOOKUP(C204,PM[],3,FALSE)</f>
        <v>Office Supplies</v>
      </c>
      <c r="F204">
        <f>_xlfn.XLOOKUP(C204,PM[Product ID],PM[Unit Price (₹)])</f>
        <v>6750</v>
      </c>
      <c r="G204" t="str">
        <f>_xlfn.XLOOKUP(Sales7[[#This Row],[Order ID]],ST[Order ID],ST[Employee ID])</f>
        <v>E03</v>
      </c>
      <c r="H204" t="str">
        <f>_xlfn.XLOOKUP(G204,SM[Employee ID],SM[Salesperson])</f>
        <v>Rohan Mehta</v>
      </c>
      <c r="I204" t="str">
        <f>_xlfn.XLOOKUP(G204,SM[Employee ID],SM[Region])</f>
        <v>South</v>
      </c>
      <c r="J204" t="str">
        <f>_xlfn.XLOOKUP(G204,SM[Employee ID],SM[State/City])</f>
        <v>Bengaluru</v>
      </c>
      <c r="K204" s="2">
        <f>_xlfn.XLOOKUP(Sales7[[#This Row],[Order ID]],ST[Order ID],ST[Units Sold])</f>
        <v>2</v>
      </c>
      <c r="L204">
        <f t="shared" si="3"/>
        <v>13500</v>
      </c>
    </row>
    <row r="205" spans="1:12" x14ac:dyDescent="0.35">
      <c r="A205" s="7">
        <v>1184</v>
      </c>
      <c r="B205" s="1">
        <v>45163</v>
      </c>
      <c r="C205" s="2" t="s">
        <v>14</v>
      </c>
      <c r="D205" t="str">
        <f>_xlfn.XLOOKUP(Merged_Sales_Data!C205,PM[Product ID],PM[Product Name])</f>
        <v>Laptop Backpack</v>
      </c>
      <c r="E205" t="str">
        <f>VLOOKUP(C205,PM[],3,FALSE)</f>
        <v>Accessories</v>
      </c>
      <c r="F205">
        <f>_xlfn.XLOOKUP(C205,PM[Product ID],PM[Unit Price (₹)])</f>
        <v>1110</v>
      </c>
      <c r="G205" t="str">
        <f>_xlfn.XLOOKUP(Sales7[[#This Row],[Order ID]],ST[Order ID],ST[Employee ID])</f>
        <v>E07</v>
      </c>
      <c r="H205" t="str">
        <f>_xlfn.XLOOKUP(G205,SM[Employee ID],SM[Salesperson])</f>
        <v>Aditya Kapoor</v>
      </c>
      <c r="I205" t="str">
        <f>_xlfn.XLOOKUP(G205,SM[Employee ID],SM[Region])</f>
        <v>West</v>
      </c>
      <c r="J205" t="str">
        <f>_xlfn.XLOOKUP(G205,SM[Employee ID],SM[State/City])</f>
        <v>Mumbai</v>
      </c>
      <c r="K205" s="2">
        <f>_xlfn.XLOOKUP(Sales7[[#This Row],[Order ID]],ST[Order ID],ST[Units Sold])</f>
        <v>6</v>
      </c>
      <c r="L205">
        <f t="shared" si="3"/>
        <v>6660</v>
      </c>
    </row>
    <row r="206" spans="1:12" x14ac:dyDescent="0.35">
      <c r="A206" s="7">
        <v>1195</v>
      </c>
      <c r="B206" s="1">
        <v>45163</v>
      </c>
      <c r="C206" s="2" t="s">
        <v>20</v>
      </c>
      <c r="D206" t="str">
        <f>_xlfn.XLOOKUP(Merged_Sales_Data!C206,PM[Product ID],PM[Product Name])</f>
        <v>Standing Desk</v>
      </c>
      <c r="E206" t="str">
        <f>VLOOKUP(C206,PM[],3,FALSE)</f>
        <v>Office Supplies</v>
      </c>
      <c r="F206">
        <f>_xlfn.XLOOKUP(C206,PM[Product ID],PM[Unit Price (₹)])</f>
        <v>11010</v>
      </c>
      <c r="G206" t="str">
        <f>_xlfn.XLOOKUP(Sales7[[#This Row],[Order ID]],ST[Order ID],ST[Employee ID])</f>
        <v>E08</v>
      </c>
      <c r="H206" t="str">
        <f>_xlfn.XLOOKUP(G206,SM[Employee ID],SM[Salesperson])</f>
        <v>Neha Joshi</v>
      </c>
      <c r="I206" t="str">
        <f>_xlfn.XLOOKUP(G206,SM[Employee ID],SM[Region])</f>
        <v>West</v>
      </c>
      <c r="J206" t="str">
        <f>_xlfn.XLOOKUP(G206,SM[Employee ID],SM[State/City])</f>
        <v>Ahmedabad</v>
      </c>
      <c r="K206" s="2">
        <f>_xlfn.XLOOKUP(Sales7[[#This Row],[Order ID]],ST[Order ID],ST[Units Sold])</f>
        <v>8</v>
      </c>
      <c r="L206">
        <f t="shared" si="3"/>
        <v>88080</v>
      </c>
    </row>
    <row r="207" spans="1:12" x14ac:dyDescent="0.35">
      <c r="A207" s="7">
        <v>1205</v>
      </c>
      <c r="B207" s="1">
        <v>45164</v>
      </c>
      <c r="C207" s="2" t="s">
        <v>18</v>
      </c>
      <c r="D207" t="str">
        <f>_xlfn.XLOOKUP(Merged_Sales_Data!C207,PM[Product ID],PM[Product Name])</f>
        <v>LED Monitor 24"</v>
      </c>
      <c r="E207" t="str">
        <f>VLOOKUP(C207,PM[],3,FALSE)</f>
        <v>Electronics</v>
      </c>
      <c r="F207">
        <f>_xlfn.XLOOKUP(C207,PM[Product ID],PM[Unit Price (₹)])</f>
        <v>7700</v>
      </c>
      <c r="G207" t="str">
        <f>_xlfn.XLOOKUP(Sales7[[#This Row],[Order ID]],ST[Order ID],ST[Employee ID])</f>
        <v>E01</v>
      </c>
      <c r="H207" t="str">
        <f>_xlfn.XLOOKUP(G207,SM[Employee ID],SM[Salesperson])</f>
        <v>Aarav Sharma</v>
      </c>
      <c r="I207" t="str">
        <f>_xlfn.XLOOKUP(G207,SM[Employee ID],SM[Region])</f>
        <v>North</v>
      </c>
      <c r="J207" t="str">
        <f>_xlfn.XLOOKUP(G207,SM[Employee ID],SM[State/City])</f>
        <v>Lucknow</v>
      </c>
      <c r="K207" s="2">
        <f>_xlfn.XLOOKUP(Sales7[[#This Row],[Order ID]],ST[Order ID],ST[Units Sold])</f>
        <v>1</v>
      </c>
      <c r="L207">
        <f t="shared" si="3"/>
        <v>7700</v>
      </c>
    </row>
    <row r="208" spans="1:12" x14ac:dyDescent="0.35">
      <c r="A208" s="7">
        <v>1200</v>
      </c>
      <c r="B208" s="1">
        <v>45166</v>
      </c>
      <c r="C208" s="2" t="s">
        <v>14</v>
      </c>
      <c r="D208" t="str">
        <f>_xlfn.XLOOKUP(Merged_Sales_Data!C208,PM[Product ID],PM[Product Name])</f>
        <v>Laptop Backpack</v>
      </c>
      <c r="E208" t="str">
        <f>VLOOKUP(C208,PM[],3,FALSE)</f>
        <v>Accessories</v>
      </c>
      <c r="F208">
        <f>_xlfn.XLOOKUP(C208,PM[Product ID],PM[Unit Price (₹)])</f>
        <v>1110</v>
      </c>
      <c r="G208" t="str">
        <f>_xlfn.XLOOKUP(Sales7[[#This Row],[Order ID]],ST[Order ID],ST[Employee ID])</f>
        <v>E03</v>
      </c>
      <c r="H208" t="str">
        <f>_xlfn.XLOOKUP(G208,SM[Employee ID],SM[Salesperson])</f>
        <v>Rohan Mehta</v>
      </c>
      <c r="I208" t="str">
        <f>_xlfn.XLOOKUP(G208,SM[Employee ID],SM[Region])</f>
        <v>South</v>
      </c>
      <c r="J208" t="str">
        <f>_xlfn.XLOOKUP(G208,SM[Employee ID],SM[State/City])</f>
        <v>Bengaluru</v>
      </c>
      <c r="K208" s="2">
        <f>_xlfn.XLOOKUP(Sales7[[#This Row],[Order ID]],ST[Order ID],ST[Units Sold])</f>
        <v>1</v>
      </c>
      <c r="L208">
        <f t="shared" si="3"/>
        <v>1110</v>
      </c>
    </row>
    <row r="209" spans="1:12" x14ac:dyDescent="0.35">
      <c r="A209" s="7">
        <v>1208</v>
      </c>
      <c r="B209" s="1">
        <v>45166</v>
      </c>
      <c r="C209" s="2" t="s">
        <v>14</v>
      </c>
      <c r="D209" t="str">
        <f>_xlfn.XLOOKUP(Merged_Sales_Data!C209,PM[Product ID],PM[Product Name])</f>
        <v>Laptop Backpack</v>
      </c>
      <c r="E209" t="str">
        <f>VLOOKUP(C209,PM[],3,FALSE)</f>
        <v>Accessories</v>
      </c>
      <c r="F209">
        <f>_xlfn.XLOOKUP(C209,PM[Product ID],PM[Unit Price (₹)])</f>
        <v>1110</v>
      </c>
      <c r="G209" t="str">
        <f>_xlfn.XLOOKUP(Sales7[[#This Row],[Order ID]],ST[Order ID],ST[Employee ID])</f>
        <v>E08</v>
      </c>
      <c r="H209" t="str">
        <f>_xlfn.XLOOKUP(G209,SM[Employee ID],SM[Salesperson])</f>
        <v>Neha Joshi</v>
      </c>
      <c r="I209" t="str">
        <f>_xlfn.XLOOKUP(G209,SM[Employee ID],SM[Region])</f>
        <v>West</v>
      </c>
      <c r="J209" t="str">
        <f>_xlfn.XLOOKUP(G209,SM[Employee ID],SM[State/City])</f>
        <v>Ahmedabad</v>
      </c>
      <c r="K209" s="2">
        <f>_xlfn.XLOOKUP(Sales7[[#This Row],[Order ID]],ST[Order ID],ST[Units Sold])</f>
        <v>2</v>
      </c>
      <c r="L209">
        <f t="shared" si="3"/>
        <v>2220</v>
      </c>
    </row>
    <row r="210" spans="1:12" x14ac:dyDescent="0.35">
      <c r="A210" s="7">
        <v>1202</v>
      </c>
      <c r="B210" s="1">
        <v>45169</v>
      </c>
      <c r="C210" s="2" t="s">
        <v>12</v>
      </c>
      <c r="D210" t="str">
        <f>_xlfn.XLOOKUP(Merged_Sales_Data!C210,PM[Product ID],PM[Product Name])</f>
        <v>Bookshelf Unit</v>
      </c>
      <c r="E210" t="str">
        <f>VLOOKUP(C210,PM[],3,FALSE)</f>
        <v>Furniture</v>
      </c>
      <c r="F210">
        <f>_xlfn.XLOOKUP(C210,PM[Product ID],PM[Unit Price (₹)])</f>
        <v>3910</v>
      </c>
      <c r="G210" t="str">
        <f>_xlfn.XLOOKUP(Sales7[[#This Row],[Order ID]],ST[Order ID],ST[Employee ID])</f>
        <v>E08</v>
      </c>
      <c r="H210" t="str">
        <f>_xlfn.XLOOKUP(G210,SM[Employee ID],SM[Salesperson])</f>
        <v>Neha Joshi</v>
      </c>
      <c r="I210" t="str">
        <f>_xlfn.XLOOKUP(G210,SM[Employee ID],SM[Region])</f>
        <v>West</v>
      </c>
      <c r="J210" t="str">
        <f>_xlfn.XLOOKUP(G210,SM[Employee ID],SM[State/City])</f>
        <v>Ahmedabad</v>
      </c>
      <c r="K210" s="2">
        <f>_xlfn.XLOOKUP(Sales7[[#This Row],[Order ID]],ST[Order ID],ST[Units Sold])</f>
        <v>1</v>
      </c>
      <c r="L210">
        <f t="shared" si="3"/>
        <v>3910</v>
      </c>
    </row>
    <row r="211" spans="1:12" x14ac:dyDescent="0.35">
      <c r="A211" s="7">
        <v>1225</v>
      </c>
      <c r="B211" s="1">
        <v>45171</v>
      </c>
      <c r="C211" s="2" t="s">
        <v>20</v>
      </c>
      <c r="D211" t="str">
        <f>_xlfn.XLOOKUP(Merged_Sales_Data!C211,PM[Product ID],PM[Product Name])</f>
        <v>Standing Desk</v>
      </c>
      <c r="E211" t="str">
        <f>VLOOKUP(C211,PM[],3,FALSE)</f>
        <v>Office Supplies</v>
      </c>
      <c r="F211">
        <f>_xlfn.XLOOKUP(C211,PM[Product ID],PM[Unit Price (₹)])</f>
        <v>11010</v>
      </c>
      <c r="G211" t="str">
        <f>_xlfn.XLOOKUP(Sales7[[#This Row],[Order ID]],ST[Order ID],ST[Employee ID])</f>
        <v>E01</v>
      </c>
      <c r="H211" t="str">
        <f>_xlfn.XLOOKUP(G211,SM[Employee ID],SM[Salesperson])</f>
        <v>Aarav Sharma</v>
      </c>
      <c r="I211" t="str">
        <f>_xlfn.XLOOKUP(G211,SM[Employee ID],SM[Region])</f>
        <v>North</v>
      </c>
      <c r="J211" t="str">
        <f>_xlfn.XLOOKUP(G211,SM[Employee ID],SM[State/City])</f>
        <v>Lucknow</v>
      </c>
      <c r="K211" s="2">
        <f>_xlfn.XLOOKUP(Sales7[[#This Row],[Order ID]],ST[Order ID],ST[Units Sold])</f>
        <v>8</v>
      </c>
      <c r="L211">
        <f t="shared" si="3"/>
        <v>88080</v>
      </c>
    </row>
    <row r="212" spans="1:12" x14ac:dyDescent="0.35">
      <c r="A212" s="7">
        <v>1215</v>
      </c>
      <c r="B212" s="1">
        <v>45172</v>
      </c>
      <c r="C212" s="2" t="s">
        <v>20</v>
      </c>
      <c r="D212" t="str">
        <f>_xlfn.XLOOKUP(Merged_Sales_Data!C212,PM[Product ID],PM[Product Name])</f>
        <v>Standing Desk</v>
      </c>
      <c r="E212" t="str">
        <f>VLOOKUP(C212,PM[],3,FALSE)</f>
        <v>Office Supplies</v>
      </c>
      <c r="F212">
        <f>_xlfn.XLOOKUP(C212,PM[Product ID],PM[Unit Price (₹)])</f>
        <v>11010</v>
      </c>
      <c r="G212" t="str">
        <f>_xlfn.XLOOKUP(Sales7[[#This Row],[Order ID]],ST[Order ID],ST[Employee ID])</f>
        <v>E05</v>
      </c>
      <c r="H212" t="str">
        <f>_xlfn.XLOOKUP(G212,SM[Employee ID],SM[Salesperson])</f>
        <v>Karan Malhotra</v>
      </c>
      <c r="I212" t="str">
        <f>_xlfn.XLOOKUP(G212,SM[Employee ID],SM[Region])</f>
        <v>East</v>
      </c>
      <c r="J212" t="str">
        <f>_xlfn.XLOOKUP(G212,SM[Employee ID],SM[State/City])</f>
        <v>Kolkata</v>
      </c>
      <c r="K212" s="2">
        <f>_xlfn.XLOOKUP(Sales7[[#This Row],[Order ID]],ST[Order ID],ST[Units Sold])</f>
        <v>5</v>
      </c>
      <c r="L212">
        <f t="shared" si="3"/>
        <v>55050</v>
      </c>
    </row>
    <row r="213" spans="1:12" x14ac:dyDescent="0.35">
      <c r="A213" s="7">
        <v>1220</v>
      </c>
      <c r="B213" s="1">
        <v>45173</v>
      </c>
      <c r="C213" s="2" t="s">
        <v>20</v>
      </c>
      <c r="D213" t="str">
        <f>_xlfn.XLOOKUP(Merged_Sales_Data!C213,PM[Product ID],PM[Product Name])</f>
        <v>Standing Desk</v>
      </c>
      <c r="E213" t="str">
        <f>VLOOKUP(C213,PM[],3,FALSE)</f>
        <v>Office Supplies</v>
      </c>
      <c r="F213">
        <f>_xlfn.XLOOKUP(C213,PM[Product ID],PM[Unit Price (₹)])</f>
        <v>11010</v>
      </c>
      <c r="G213" t="str">
        <f>_xlfn.XLOOKUP(Sales7[[#This Row],[Order ID]],ST[Order ID],ST[Employee ID])</f>
        <v>E05</v>
      </c>
      <c r="H213" t="str">
        <f>_xlfn.XLOOKUP(G213,SM[Employee ID],SM[Salesperson])</f>
        <v>Karan Malhotra</v>
      </c>
      <c r="I213" t="str">
        <f>_xlfn.XLOOKUP(G213,SM[Employee ID],SM[Region])</f>
        <v>East</v>
      </c>
      <c r="J213" t="str">
        <f>_xlfn.XLOOKUP(G213,SM[Employee ID],SM[State/City])</f>
        <v>Kolkata</v>
      </c>
      <c r="K213" s="2">
        <f>_xlfn.XLOOKUP(Sales7[[#This Row],[Order ID]],ST[Order ID],ST[Units Sold])</f>
        <v>5</v>
      </c>
      <c r="L213">
        <f t="shared" si="3"/>
        <v>55050</v>
      </c>
    </row>
    <row r="214" spans="1:12" x14ac:dyDescent="0.35">
      <c r="A214" s="7">
        <v>1212</v>
      </c>
      <c r="B214" s="1">
        <v>45175</v>
      </c>
      <c r="C214" s="2" t="s">
        <v>8</v>
      </c>
      <c r="D214" t="str">
        <f>_xlfn.XLOOKUP(Merged_Sales_Data!C214,PM[Product ID],PM[Product Name])</f>
        <v>USB-C Hub</v>
      </c>
      <c r="E214" t="str">
        <f>VLOOKUP(C214,PM[],3,FALSE)</f>
        <v>Accessories</v>
      </c>
      <c r="F214">
        <f>_xlfn.XLOOKUP(C214,PM[Product ID],PM[Unit Price (₹)])</f>
        <v>880</v>
      </c>
      <c r="G214" t="str">
        <f>_xlfn.XLOOKUP(Sales7[[#This Row],[Order ID]],ST[Order ID],ST[Employee ID])</f>
        <v>E03</v>
      </c>
      <c r="H214" t="str">
        <f>_xlfn.XLOOKUP(G214,SM[Employee ID],SM[Salesperson])</f>
        <v>Rohan Mehta</v>
      </c>
      <c r="I214" t="str">
        <f>_xlfn.XLOOKUP(G214,SM[Employee ID],SM[Region])</f>
        <v>South</v>
      </c>
      <c r="J214" t="str">
        <f>_xlfn.XLOOKUP(G214,SM[Employee ID],SM[State/City])</f>
        <v>Bengaluru</v>
      </c>
      <c r="K214" s="2">
        <f>_xlfn.XLOOKUP(Sales7[[#This Row],[Order ID]],ST[Order ID],ST[Units Sold])</f>
        <v>1</v>
      </c>
      <c r="L214">
        <f t="shared" si="3"/>
        <v>880</v>
      </c>
    </row>
    <row r="215" spans="1:12" x14ac:dyDescent="0.35">
      <c r="A215" s="7">
        <v>1219</v>
      </c>
      <c r="B215" s="1">
        <v>45175</v>
      </c>
      <c r="C215" s="2" t="s">
        <v>11</v>
      </c>
      <c r="D215" t="str">
        <f>_xlfn.XLOOKUP(Merged_Sales_Data!C215,PM[Product ID],PM[Product Name])</f>
        <v>Bluetooth Speaker</v>
      </c>
      <c r="E215" t="str">
        <f>VLOOKUP(C215,PM[],3,FALSE)</f>
        <v>Electronics</v>
      </c>
      <c r="F215">
        <f>_xlfn.XLOOKUP(C215,PM[Product ID],PM[Unit Price (₹)])</f>
        <v>1430</v>
      </c>
      <c r="G215" t="str">
        <f>_xlfn.XLOOKUP(Sales7[[#This Row],[Order ID]],ST[Order ID],ST[Employee ID])</f>
        <v>E03</v>
      </c>
      <c r="H215" t="str">
        <f>_xlfn.XLOOKUP(G215,SM[Employee ID],SM[Salesperson])</f>
        <v>Rohan Mehta</v>
      </c>
      <c r="I215" t="str">
        <f>_xlfn.XLOOKUP(G215,SM[Employee ID],SM[Region])</f>
        <v>South</v>
      </c>
      <c r="J215" t="str">
        <f>_xlfn.XLOOKUP(G215,SM[Employee ID],SM[State/City])</f>
        <v>Bengaluru</v>
      </c>
      <c r="K215" s="2">
        <f>_xlfn.XLOOKUP(Sales7[[#This Row],[Order ID]],ST[Order ID],ST[Units Sold])</f>
        <v>1</v>
      </c>
      <c r="L215">
        <f t="shared" si="3"/>
        <v>1430</v>
      </c>
    </row>
    <row r="216" spans="1:12" x14ac:dyDescent="0.35">
      <c r="A216" s="7">
        <v>1210</v>
      </c>
      <c r="B216" s="1">
        <v>45176</v>
      </c>
      <c r="C216" s="2" t="s">
        <v>5</v>
      </c>
      <c r="D216" t="str">
        <f>_xlfn.XLOOKUP(Merged_Sales_Data!C216,PM[Product ID],PM[Product Name])</f>
        <v>Ergo Office Chair</v>
      </c>
      <c r="E216" t="str">
        <f>VLOOKUP(C216,PM[],3,FALSE)</f>
        <v>Office Supplies</v>
      </c>
      <c r="F216">
        <f>_xlfn.XLOOKUP(C216,PM[Product ID],PM[Unit Price (₹)])</f>
        <v>6750</v>
      </c>
      <c r="G216" t="str">
        <f>_xlfn.XLOOKUP(Sales7[[#This Row],[Order ID]],ST[Order ID],ST[Employee ID])</f>
        <v>E02</v>
      </c>
      <c r="H216" t="str">
        <f>_xlfn.XLOOKUP(G216,SM[Employee ID],SM[Salesperson])</f>
        <v>Ishita Verma</v>
      </c>
      <c r="I216" t="str">
        <f>_xlfn.XLOOKUP(G216,SM[Employee ID],SM[Region])</f>
        <v>North</v>
      </c>
      <c r="J216" t="str">
        <f>_xlfn.XLOOKUP(G216,SM[Employee ID],SM[State/City])</f>
        <v>Chandigarh</v>
      </c>
      <c r="K216" s="2">
        <f>_xlfn.XLOOKUP(Sales7[[#This Row],[Order ID]],ST[Order ID],ST[Units Sold])</f>
        <v>10</v>
      </c>
      <c r="L216">
        <f t="shared" si="3"/>
        <v>67500</v>
      </c>
    </row>
    <row r="217" spans="1:12" x14ac:dyDescent="0.35">
      <c r="A217" s="7">
        <v>1211</v>
      </c>
      <c r="B217" s="1">
        <v>45177</v>
      </c>
      <c r="C217" s="2" t="s">
        <v>11</v>
      </c>
      <c r="D217" t="str">
        <f>_xlfn.XLOOKUP(Merged_Sales_Data!C217,PM[Product ID],PM[Product Name])</f>
        <v>Bluetooth Speaker</v>
      </c>
      <c r="E217" t="str">
        <f>VLOOKUP(C217,PM[],3,FALSE)</f>
        <v>Electronics</v>
      </c>
      <c r="F217">
        <f>_xlfn.XLOOKUP(C217,PM[Product ID],PM[Unit Price (₹)])</f>
        <v>1430</v>
      </c>
      <c r="G217" t="str">
        <f>_xlfn.XLOOKUP(Sales7[[#This Row],[Order ID]],ST[Order ID],ST[Employee ID])</f>
        <v>E05</v>
      </c>
      <c r="H217" t="str">
        <f>_xlfn.XLOOKUP(G217,SM[Employee ID],SM[Salesperson])</f>
        <v>Karan Malhotra</v>
      </c>
      <c r="I217" t="str">
        <f>_xlfn.XLOOKUP(G217,SM[Employee ID],SM[Region])</f>
        <v>East</v>
      </c>
      <c r="J217" t="str">
        <f>_xlfn.XLOOKUP(G217,SM[Employee ID],SM[State/City])</f>
        <v>Kolkata</v>
      </c>
      <c r="K217" s="2">
        <f>_xlfn.XLOOKUP(Sales7[[#This Row],[Order ID]],ST[Order ID],ST[Units Sold])</f>
        <v>1</v>
      </c>
      <c r="L217">
        <f t="shared" si="3"/>
        <v>1430</v>
      </c>
    </row>
    <row r="218" spans="1:12" x14ac:dyDescent="0.35">
      <c r="A218" s="7">
        <v>1214</v>
      </c>
      <c r="B218" s="1">
        <v>45177</v>
      </c>
      <c r="C218" s="2" t="s">
        <v>20</v>
      </c>
      <c r="D218" t="str">
        <f>_xlfn.XLOOKUP(Merged_Sales_Data!C218,PM[Product ID],PM[Product Name])</f>
        <v>Standing Desk</v>
      </c>
      <c r="E218" t="str">
        <f>VLOOKUP(C218,PM[],3,FALSE)</f>
        <v>Office Supplies</v>
      </c>
      <c r="F218">
        <f>_xlfn.XLOOKUP(C218,PM[Product ID],PM[Unit Price (₹)])</f>
        <v>11010</v>
      </c>
      <c r="G218" t="str">
        <f>_xlfn.XLOOKUP(Sales7[[#This Row],[Order ID]],ST[Order ID],ST[Employee ID])</f>
        <v>E08</v>
      </c>
      <c r="H218" t="str">
        <f>_xlfn.XLOOKUP(G218,SM[Employee ID],SM[Salesperson])</f>
        <v>Neha Joshi</v>
      </c>
      <c r="I218" t="str">
        <f>_xlfn.XLOOKUP(G218,SM[Employee ID],SM[Region])</f>
        <v>West</v>
      </c>
      <c r="J218" t="str">
        <f>_xlfn.XLOOKUP(G218,SM[Employee ID],SM[State/City])</f>
        <v>Ahmedabad</v>
      </c>
      <c r="K218" s="2">
        <f>_xlfn.XLOOKUP(Sales7[[#This Row],[Order ID]],ST[Order ID],ST[Units Sold])</f>
        <v>1</v>
      </c>
      <c r="L218">
        <f t="shared" si="3"/>
        <v>11010</v>
      </c>
    </row>
    <row r="219" spans="1:12" x14ac:dyDescent="0.35">
      <c r="A219" s="7">
        <v>1224</v>
      </c>
      <c r="B219" s="1">
        <v>45177</v>
      </c>
      <c r="C219" s="2" t="s">
        <v>21</v>
      </c>
      <c r="D219" t="str">
        <f>_xlfn.XLOOKUP(Merged_Sales_Data!C219,PM[Product ID],PM[Product Name])</f>
        <v>Wireless Mouse</v>
      </c>
      <c r="E219" t="str">
        <f>VLOOKUP(C219,PM[],3,FALSE)</f>
        <v>Electronics</v>
      </c>
      <c r="F219">
        <f>_xlfn.XLOOKUP(C219,PM[Product ID],PM[Unit Price (₹)])</f>
        <v>780</v>
      </c>
      <c r="G219" t="str">
        <f>_xlfn.XLOOKUP(Sales7[[#This Row],[Order ID]],ST[Order ID],ST[Employee ID])</f>
        <v>E05</v>
      </c>
      <c r="H219" t="str">
        <f>_xlfn.XLOOKUP(G219,SM[Employee ID],SM[Salesperson])</f>
        <v>Karan Malhotra</v>
      </c>
      <c r="I219" t="str">
        <f>_xlfn.XLOOKUP(G219,SM[Employee ID],SM[Region])</f>
        <v>East</v>
      </c>
      <c r="J219" t="str">
        <f>_xlfn.XLOOKUP(G219,SM[Employee ID],SM[State/City])</f>
        <v>Kolkata</v>
      </c>
      <c r="K219" s="2">
        <f>_xlfn.XLOOKUP(Sales7[[#This Row],[Order ID]],ST[Order ID],ST[Units Sold])</f>
        <v>1</v>
      </c>
      <c r="L219">
        <f t="shared" si="3"/>
        <v>780</v>
      </c>
    </row>
    <row r="220" spans="1:12" x14ac:dyDescent="0.35">
      <c r="A220" s="7">
        <v>1221</v>
      </c>
      <c r="B220" s="1">
        <v>45178</v>
      </c>
      <c r="C220" s="2" t="s">
        <v>20</v>
      </c>
      <c r="D220" t="str">
        <f>_xlfn.XLOOKUP(Merged_Sales_Data!C220,PM[Product ID],PM[Product Name])</f>
        <v>Standing Desk</v>
      </c>
      <c r="E220" t="str">
        <f>VLOOKUP(C220,PM[],3,FALSE)</f>
        <v>Office Supplies</v>
      </c>
      <c r="F220">
        <f>_xlfn.XLOOKUP(C220,PM[Product ID],PM[Unit Price (₹)])</f>
        <v>11010</v>
      </c>
      <c r="G220" t="str">
        <f>_xlfn.XLOOKUP(Sales7[[#This Row],[Order ID]],ST[Order ID],ST[Employee ID])</f>
        <v>E08</v>
      </c>
      <c r="H220" t="str">
        <f>_xlfn.XLOOKUP(G220,SM[Employee ID],SM[Salesperson])</f>
        <v>Neha Joshi</v>
      </c>
      <c r="I220" t="str">
        <f>_xlfn.XLOOKUP(G220,SM[Employee ID],SM[Region])</f>
        <v>West</v>
      </c>
      <c r="J220" t="str">
        <f>_xlfn.XLOOKUP(G220,SM[Employee ID],SM[State/City])</f>
        <v>Ahmedabad</v>
      </c>
      <c r="K220" s="2">
        <f>_xlfn.XLOOKUP(Sales7[[#This Row],[Order ID]],ST[Order ID],ST[Units Sold])</f>
        <v>4</v>
      </c>
      <c r="L220">
        <f t="shared" si="3"/>
        <v>44040</v>
      </c>
    </row>
    <row r="221" spans="1:12" x14ac:dyDescent="0.35">
      <c r="A221" s="7">
        <v>1229</v>
      </c>
      <c r="B221" s="1">
        <v>45180</v>
      </c>
      <c r="C221" s="2" t="s">
        <v>10</v>
      </c>
      <c r="D221" t="str">
        <f>_xlfn.XLOOKUP(Merged_Sales_Data!C221,PM[Product ID],PM[Product Name])</f>
        <v>Filing Cabinet</v>
      </c>
      <c r="E221" t="str">
        <f>VLOOKUP(C221,PM[],3,FALSE)</f>
        <v>Furniture</v>
      </c>
      <c r="F221">
        <f>_xlfn.XLOOKUP(C221,PM[Product ID],PM[Unit Price (₹)])</f>
        <v>4070</v>
      </c>
      <c r="G221" t="str">
        <f>_xlfn.XLOOKUP(Sales7[[#This Row],[Order ID]],ST[Order ID],ST[Employee ID])</f>
        <v>E06</v>
      </c>
      <c r="H221" t="str">
        <f>_xlfn.XLOOKUP(G221,SM[Employee ID],SM[Salesperson])</f>
        <v>Sneha Roy</v>
      </c>
      <c r="I221" t="str">
        <f>_xlfn.XLOOKUP(G221,SM[Employee ID],SM[Region])</f>
        <v>East</v>
      </c>
      <c r="J221" t="str">
        <f>_xlfn.XLOOKUP(G221,SM[Employee ID],SM[State/City])</f>
        <v>Kolkata</v>
      </c>
      <c r="K221" s="2">
        <f>_xlfn.XLOOKUP(Sales7[[#This Row],[Order ID]],ST[Order ID],ST[Units Sold])</f>
        <v>3</v>
      </c>
      <c r="L221">
        <f t="shared" si="3"/>
        <v>12210</v>
      </c>
    </row>
    <row r="222" spans="1:12" x14ac:dyDescent="0.35">
      <c r="A222" s="7">
        <v>1232</v>
      </c>
      <c r="B222" s="1">
        <v>45180</v>
      </c>
      <c r="C222" s="2" t="s">
        <v>14</v>
      </c>
      <c r="D222" t="str">
        <f>_xlfn.XLOOKUP(Merged_Sales_Data!C222,PM[Product ID],PM[Product Name])</f>
        <v>Laptop Backpack</v>
      </c>
      <c r="E222" t="str">
        <f>VLOOKUP(C222,PM[],3,FALSE)</f>
        <v>Accessories</v>
      </c>
      <c r="F222">
        <f>_xlfn.XLOOKUP(C222,PM[Product ID],PM[Unit Price (₹)])</f>
        <v>1110</v>
      </c>
      <c r="G222" t="str">
        <f>_xlfn.XLOOKUP(Sales7[[#This Row],[Order ID]],ST[Order ID],ST[Employee ID])</f>
        <v>E01</v>
      </c>
      <c r="H222" t="str">
        <f>_xlfn.XLOOKUP(G222,SM[Employee ID],SM[Salesperson])</f>
        <v>Aarav Sharma</v>
      </c>
      <c r="I222" t="str">
        <f>_xlfn.XLOOKUP(G222,SM[Employee ID],SM[Region])</f>
        <v>North</v>
      </c>
      <c r="J222" t="str">
        <f>_xlfn.XLOOKUP(G222,SM[Employee ID],SM[State/City])</f>
        <v>Lucknow</v>
      </c>
      <c r="K222" s="2">
        <f>_xlfn.XLOOKUP(Sales7[[#This Row],[Order ID]],ST[Order ID],ST[Units Sold])</f>
        <v>1</v>
      </c>
      <c r="L222">
        <f t="shared" si="3"/>
        <v>1110</v>
      </c>
    </row>
    <row r="223" spans="1:12" x14ac:dyDescent="0.35">
      <c r="A223" s="7">
        <v>1231</v>
      </c>
      <c r="B223" s="1">
        <v>45182</v>
      </c>
      <c r="C223" s="2" t="s">
        <v>20</v>
      </c>
      <c r="D223" t="str">
        <f>_xlfn.XLOOKUP(Merged_Sales_Data!C223,PM[Product ID],PM[Product Name])</f>
        <v>Standing Desk</v>
      </c>
      <c r="E223" t="str">
        <f>VLOOKUP(C223,PM[],3,FALSE)</f>
        <v>Office Supplies</v>
      </c>
      <c r="F223">
        <f>_xlfn.XLOOKUP(C223,PM[Product ID],PM[Unit Price (₹)])</f>
        <v>11010</v>
      </c>
      <c r="G223" t="str">
        <f>_xlfn.XLOOKUP(Sales7[[#This Row],[Order ID]],ST[Order ID],ST[Employee ID])</f>
        <v>E08</v>
      </c>
      <c r="H223" t="str">
        <f>_xlfn.XLOOKUP(G223,SM[Employee ID],SM[Salesperson])</f>
        <v>Neha Joshi</v>
      </c>
      <c r="I223" t="str">
        <f>_xlfn.XLOOKUP(G223,SM[Employee ID],SM[Region])</f>
        <v>West</v>
      </c>
      <c r="J223" t="str">
        <f>_xlfn.XLOOKUP(G223,SM[Employee ID],SM[State/City])</f>
        <v>Ahmedabad</v>
      </c>
      <c r="K223" s="2">
        <f>_xlfn.XLOOKUP(Sales7[[#This Row],[Order ID]],ST[Order ID],ST[Units Sold])</f>
        <v>10</v>
      </c>
      <c r="L223">
        <f t="shared" si="3"/>
        <v>110100</v>
      </c>
    </row>
    <row r="224" spans="1:12" x14ac:dyDescent="0.35">
      <c r="A224" s="7">
        <v>1230</v>
      </c>
      <c r="B224" s="1">
        <v>45183</v>
      </c>
      <c r="C224" s="2" t="s">
        <v>18</v>
      </c>
      <c r="D224" t="str">
        <f>_xlfn.XLOOKUP(Merged_Sales_Data!C224,PM[Product ID],PM[Product Name])</f>
        <v>LED Monitor 24"</v>
      </c>
      <c r="E224" t="str">
        <f>VLOOKUP(C224,PM[],3,FALSE)</f>
        <v>Electronics</v>
      </c>
      <c r="F224">
        <f>_xlfn.XLOOKUP(C224,PM[Product ID],PM[Unit Price (₹)])</f>
        <v>7700</v>
      </c>
      <c r="G224" t="str">
        <f>_xlfn.XLOOKUP(Sales7[[#This Row],[Order ID]],ST[Order ID],ST[Employee ID])</f>
        <v>E02</v>
      </c>
      <c r="H224" t="str">
        <f>_xlfn.XLOOKUP(G224,SM[Employee ID],SM[Salesperson])</f>
        <v>Ishita Verma</v>
      </c>
      <c r="I224" t="str">
        <f>_xlfn.XLOOKUP(G224,SM[Employee ID],SM[Region])</f>
        <v>North</v>
      </c>
      <c r="J224" t="str">
        <f>_xlfn.XLOOKUP(G224,SM[Employee ID],SM[State/City])</f>
        <v>Chandigarh</v>
      </c>
      <c r="K224" s="2">
        <f>_xlfn.XLOOKUP(Sales7[[#This Row],[Order ID]],ST[Order ID],ST[Units Sold])</f>
        <v>3</v>
      </c>
      <c r="L224">
        <f t="shared" si="3"/>
        <v>23100</v>
      </c>
    </row>
    <row r="225" spans="1:12" x14ac:dyDescent="0.35">
      <c r="A225" s="7">
        <v>1228</v>
      </c>
      <c r="B225" s="1">
        <v>45185</v>
      </c>
      <c r="C225" s="2" t="s">
        <v>14</v>
      </c>
      <c r="D225" t="str">
        <f>_xlfn.XLOOKUP(Merged_Sales_Data!C225,PM[Product ID],PM[Product Name])</f>
        <v>Laptop Backpack</v>
      </c>
      <c r="E225" t="str">
        <f>VLOOKUP(C225,PM[],3,FALSE)</f>
        <v>Accessories</v>
      </c>
      <c r="F225">
        <f>_xlfn.XLOOKUP(C225,PM[Product ID],PM[Unit Price (₹)])</f>
        <v>1110</v>
      </c>
      <c r="G225" t="str">
        <f>_xlfn.XLOOKUP(Sales7[[#This Row],[Order ID]],ST[Order ID],ST[Employee ID])</f>
        <v>E07</v>
      </c>
      <c r="H225" t="str">
        <f>_xlfn.XLOOKUP(G225,SM[Employee ID],SM[Salesperson])</f>
        <v>Aditya Kapoor</v>
      </c>
      <c r="I225" t="str">
        <f>_xlfn.XLOOKUP(G225,SM[Employee ID],SM[Region])</f>
        <v>West</v>
      </c>
      <c r="J225" t="str">
        <f>_xlfn.XLOOKUP(G225,SM[Employee ID],SM[State/City])</f>
        <v>Mumbai</v>
      </c>
      <c r="K225" s="2">
        <f>_xlfn.XLOOKUP(Sales7[[#This Row],[Order ID]],ST[Order ID],ST[Units Sold])</f>
        <v>1</v>
      </c>
      <c r="L225">
        <f t="shared" si="3"/>
        <v>1110</v>
      </c>
    </row>
    <row r="226" spans="1:12" x14ac:dyDescent="0.35">
      <c r="A226" s="7">
        <v>1217</v>
      </c>
      <c r="B226" s="1">
        <v>45187</v>
      </c>
      <c r="C226" s="2" t="s">
        <v>10</v>
      </c>
      <c r="D226" t="str">
        <f>_xlfn.XLOOKUP(Merged_Sales_Data!C226,PM[Product ID],PM[Product Name])</f>
        <v>Filing Cabinet</v>
      </c>
      <c r="E226" t="str">
        <f>VLOOKUP(C226,PM[],3,FALSE)</f>
        <v>Furniture</v>
      </c>
      <c r="F226">
        <f>_xlfn.XLOOKUP(C226,PM[Product ID],PM[Unit Price (₹)])</f>
        <v>4070</v>
      </c>
      <c r="G226" t="str">
        <f>_xlfn.XLOOKUP(Sales7[[#This Row],[Order ID]],ST[Order ID],ST[Employee ID])</f>
        <v>E04</v>
      </c>
      <c r="H226" t="str">
        <f>_xlfn.XLOOKUP(G226,SM[Employee ID],SM[Salesperson])</f>
        <v>Priya Nair</v>
      </c>
      <c r="I226" t="str">
        <f>_xlfn.XLOOKUP(G226,SM[Employee ID],SM[Region])</f>
        <v>South</v>
      </c>
      <c r="J226" t="str">
        <f>_xlfn.XLOOKUP(G226,SM[Employee ID],SM[State/City])</f>
        <v>Bengaluru</v>
      </c>
      <c r="K226" s="2">
        <f>_xlfn.XLOOKUP(Sales7[[#This Row],[Order ID]],ST[Order ID],ST[Units Sold])</f>
        <v>1</v>
      </c>
      <c r="L226">
        <f t="shared" si="3"/>
        <v>4070</v>
      </c>
    </row>
    <row r="227" spans="1:12" x14ac:dyDescent="0.35">
      <c r="A227" s="7">
        <v>1216</v>
      </c>
      <c r="B227" s="1">
        <v>45188</v>
      </c>
      <c r="C227" s="2" t="s">
        <v>20</v>
      </c>
      <c r="D227" t="str">
        <f>_xlfn.XLOOKUP(Merged_Sales_Data!C227,PM[Product ID],PM[Product Name])</f>
        <v>Standing Desk</v>
      </c>
      <c r="E227" t="str">
        <f>VLOOKUP(C227,PM[],3,FALSE)</f>
        <v>Office Supplies</v>
      </c>
      <c r="F227">
        <f>_xlfn.XLOOKUP(C227,PM[Product ID],PM[Unit Price (₹)])</f>
        <v>11010</v>
      </c>
      <c r="G227" t="str">
        <f>_xlfn.XLOOKUP(Sales7[[#This Row],[Order ID]],ST[Order ID],ST[Employee ID])</f>
        <v>E04</v>
      </c>
      <c r="H227" t="str">
        <f>_xlfn.XLOOKUP(G227,SM[Employee ID],SM[Salesperson])</f>
        <v>Priya Nair</v>
      </c>
      <c r="I227" t="str">
        <f>_xlfn.XLOOKUP(G227,SM[Employee ID],SM[Region])</f>
        <v>South</v>
      </c>
      <c r="J227" t="str">
        <f>_xlfn.XLOOKUP(G227,SM[Employee ID],SM[State/City])</f>
        <v>Bengaluru</v>
      </c>
      <c r="K227" s="2">
        <f>_xlfn.XLOOKUP(Sales7[[#This Row],[Order ID]],ST[Order ID],ST[Units Sold])</f>
        <v>10</v>
      </c>
      <c r="L227">
        <f t="shared" si="3"/>
        <v>110100</v>
      </c>
    </row>
    <row r="228" spans="1:12" x14ac:dyDescent="0.35">
      <c r="A228" s="7">
        <v>1227</v>
      </c>
      <c r="B228" s="1">
        <v>45188</v>
      </c>
      <c r="C228" s="2" t="s">
        <v>20</v>
      </c>
      <c r="D228" t="str">
        <f>_xlfn.XLOOKUP(Merged_Sales_Data!C228,PM[Product ID],PM[Product Name])</f>
        <v>Standing Desk</v>
      </c>
      <c r="E228" t="str">
        <f>VLOOKUP(C228,PM[],3,FALSE)</f>
        <v>Office Supplies</v>
      </c>
      <c r="F228">
        <f>_xlfn.XLOOKUP(C228,PM[Product ID],PM[Unit Price (₹)])</f>
        <v>11010</v>
      </c>
      <c r="G228" t="str">
        <f>_xlfn.XLOOKUP(Sales7[[#This Row],[Order ID]],ST[Order ID],ST[Employee ID])</f>
        <v>E08</v>
      </c>
      <c r="H228" t="str">
        <f>_xlfn.XLOOKUP(G228,SM[Employee ID],SM[Salesperson])</f>
        <v>Neha Joshi</v>
      </c>
      <c r="I228" t="str">
        <f>_xlfn.XLOOKUP(G228,SM[Employee ID],SM[Region])</f>
        <v>West</v>
      </c>
      <c r="J228" t="str">
        <f>_xlfn.XLOOKUP(G228,SM[Employee ID],SM[State/City])</f>
        <v>Ahmedabad</v>
      </c>
      <c r="K228" s="2">
        <f>_xlfn.XLOOKUP(Sales7[[#This Row],[Order ID]],ST[Order ID],ST[Units Sold])</f>
        <v>1</v>
      </c>
      <c r="L228">
        <f t="shared" si="3"/>
        <v>11010</v>
      </c>
    </row>
    <row r="229" spans="1:12" x14ac:dyDescent="0.35">
      <c r="A229" s="7">
        <v>1222</v>
      </c>
      <c r="B229" s="1">
        <v>45189</v>
      </c>
      <c r="C229" s="2" t="s">
        <v>14</v>
      </c>
      <c r="D229" t="str">
        <f>_xlfn.XLOOKUP(Merged_Sales_Data!C229,PM[Product ID],PM[Product Name])</f>
        <v>Laptop Backpack</v>
      </c>
      <c r="E229" t="str">
        <f>VLOOKUP(C229,PM[],3,FALSE)</f>
        <v>Accessories</v>
      </c>
      <c r="F229">
        <f>_xlfn.XLOOKUP(C229,PM[Product ID],PM[Unit Price (₹)])</f>
        <v>1110</v>
      </c>
      <c r="G229" t="str">
        <f>_xlfn.XLOOKUP(Sales7[[#This Row],[Order ID]],ST[Order ID],ST[Employee ID])</f>
        <v>E08</v>
      </c>
      <c r="H229" t="str">
        <f>_xlfn.XLOOKUP(G229,SM[Employee ID],SM[Salesperson])</f>
        <v>Neha Joshi</v>
      </c>
      <c r="I229" t="str">
        <f>_xlfn.XLOOKUP(G229,SM[Employee ID],SM[Region])</f>
        <v>West</v>
      </c>
      <c r="J229" t="str">
        <f>_xlfn.XLOOKUP(G229,SM[Employee ID],SM[State/City])</f>
        <v>Ahmedabad</v>
      </c>
      <c r="K229" s="2">
        <f>_xlfn.XLOOKUP(Sales7[[#This Row],[Order ID]],ST[Order ID],ST[Units Sold])</f>
        <v>1</v>
      </c>
      <c r="L229">
        <f t="shared" si="3"/>
        <v>1110</v>
      </c>
    </row>
    <row r="230" spans="1:12" x14ac:dyDescent="0.35">
      <c r="A230" s="7">
        <v>1223</v>
      </c>
      <c r="B230" s="1">
        <v>45189</v>
      </c>
      <c r="C230" s="2" t="s">
        <v>10</v>
      </c>
      <c r="D230" t="str">
        <f>_xlfn.XLOOKUP(Merged_Sales_Data!C230,PM[Product ID],PM[Product Name])</f>
        <v>Filing Cabinet</v>
      </c>
      <c r="E230" t="str">
        <f>VLOOKUP(C230,PM[],3,FALSE)</f>
        <v>Furniture</v>
      </c>
      <c r="F230">
        <f>_xlfn.XLOOKUP(C230,PM[Product ID],PM[Unit Price (₹)])</f>
        <v>4070</v>
      </c>
      <c r="G230" t="str">
        <f>_xlfn.XLOOKUP(Sales7[[#This Row],[Order ID]],ST[Order ID],ST[Employee ID])</f>
        <v>E01</v>
      </c>
      <c r="H230" t="str">
        <f>_xlfn.XLOOKUP(G230,SM[Employee ID],SM[Salesperson])</f>
        <v>Aarav Sharma</v>
      </c>
      <c r="I230" t="str">
        <f>_xlfn.XLOOKUP(G230,SM[Employee ID],SM[Region])</f>
        <v>North</v>
      </c>
      <c r="J230" t="str">
        <f>_xlfn.XLOOKUP(G230,SM[Employee ID],SM[State/City])</f>
        <v>Lucknow</v>
      </c>
      <c r="K230" s="2">
        <f>_xlfn.XLOOKUP(Sales7[[#This Row],[Order ID]],ST[Order ID],ST[Units Sold])</f>
        <v>3</v>
      </c>
      <c r="L230">
        <f t="shared" si="3"/>
        <v>12210</v>
      </c>
    </row>
    <row r="231" spans="1:12" x14ac:dyDescent="0.35">
      <c r="A231" s="7">
        <v>1226</v>
      </c>
      <c r="B231" s="1">
        <v>45190</v>
      </c>
      <c r="C231" s="2" t="s">
        <v>14</v>
      </c>
      <c r="D231" t="str">
        <f>_xlfn.XLOOKUP(Merged_Sales_Data!C231,PM[Product ID],PM[Product Name])</f>
        <v>Laptop Backpack</v>
      </c>
      <c r="E231" t="str">
        <f>VLOOKUP(C231,PM[],3,FALSE)</f>
        <v>Accessories</v>
      </c>
      <c r="F231">
        <f>_xlfn.XLOOKUP(C231,PM[Product ID],PM[Unit Price (₹)])</f>
        <v>1110</v>
      </c>
      <c r="G231" t="str">
        <f>_xlfn.XLOOKUP(Sales7[[#This Row],[Order ID]],ST[Order ID],ST[Employee ID])</f>
        <v>E03</v>
      </c>
      <c r="H231" t="str">
        <f>_xlfn.XLOOKUP(G231,SM[Employee ID],SM[Salesperson])</f>
        <v>Rohan Mehta</v>
      </c>
      <c r="I231" t="str">
        <f>_xlfn.XLOOKUP(G231,SM[Employee ID],SM[Region])</f>
        <v>South</v>
      </c>
      <c r="J231" t="str">
        <f>_xlfn.XLOOKUP(G231,SM[Employee ID],SM[State/City])</f>
        <v>Bengaluru</v>
      </c>
      <c r="K231" s="2">
        <f>_xlfn.XLOOKUP(Sales7[[#This Row],[Order ID]],ST[Order ID],ST[Units Sold])</f>
        <v>6</v>
      </c>
      <c r="L231">
        <f t="shared" si="3"/>
        <v>6660</v>
      </c>
    </row>
    <row r="232" spans="1:12" x14ac:dyDescent="0.35">
      <c r="A232" s="7">
        <v>1213</v>
      </c>
      <c r="B232" s="1">
        <v>45192</v>
      </c>
      <c r="C232" s="2" t="s">
        <v>10</v>
      </c>
      <c r="D232" t="str">
        <f>_xlfn.XLOOKUP(Merged_Sales_Data!C232,PM[Product ID],PM[Product Name])</f>
        <v>Filing Cabinet</v>
      </c>
      <c r="E232" t="str">
        <f>VLOOKUP(C232,PM[],3,FALSE)</f>
        <v>Furniture</v>
      </c>
      <c r="F232">
        <f>_xlfn.XLOOKUP(C232,PM[Product ID],PM[Unit Price (₹)])</f>
        <v>4070</v>
      </c>
      <c r="G232" t="str">
        <f>_xlfn.XLOOKUP(Sales7[[#This Row],[Order ID]],ST[Order ID],ST[Employee ID])</f>
        <v>E01</v>
      </c>
      <c r="H232" t="str">
        <f>_xlfn.XLOOKUP(G232,SM[Employee ID],SM[Salesperson])</f>
        <v>Aarav Sharma</v>
      </c>
      <c r="I232" t="str">
        <f>_xlfn.XLOOKUP(G232,SM[Employee ID],SM[Region])</f>
        <v>North</v>
      </c>
      <c r="J232" t="str">
        <f>_xlfn.XLOOKUP(G232,SM[Employee ID],SM[State/City])</f>
        <v>Lucknow</v>
      </c>
      <c r="K232" s="2">
        <f>_xlfn.XLOOKUP(Sales7[[#This Row],[Order ID]],ST[Order ID],ST[Units Sold])</f>
        <v>5</v>
      </c>
      <c r="L232">
        <f t="shared" si="3"/>
        <v>20350</v>
      </c>
    </row>
    <row r="233" spans="1:12" x14ac:dyDescent="0.35">
      <c r="A233" s="7">
        <v>1233</v>
      </c>
      <c r="B233" s="1">
        <v>45194</v>
      </c>
      <c r="C233" s="2" t="s">
        <v>12</v>
      </c>
      <c r="D233" t="str">
        <f>_xlfn.XLOOKUP(Merged_Sales_Data!C233,PM[Product ID],PM[Product Name])</f>
        <v>Bookshelf Unit</v>
      </c>
      <c r="E233" t="str">
        <f>VLOOKUP(C233,PM[],3,FALSE)</f>
        <v>Furniture</v>
      </c>
      <c r="F233">
        <f>_xlfn.XLOOKUP(C233,PM[Product ID],PM[Unit Price (₹)])</f>
        <v>3910</v>
      </c>
      <c r="G233" t="str">
        <f>_xlfn.XLOOKUP(Sales7[[#This Row],[Order ID]],ST[Order ID],ST[Employee ID])</f>
        <v>E05</v>
      </c>
      <c r="H233" t="str">
        <f>_xlfn.XLOOKUP(G233,SM[Employee ID],SM[Salesperson])</f>
        <v>Karan Malhotra</v>
      </c>
      <c r="I233" t="str">
        <f>_xlfn.XLOOKUP(G233,SM[Employee ID],SM[Region])</f>
        <v>East</v>
      </c>
      <c r="J233" t="str">
        <f>_xlfn.XLOOKUP(G233,SM[Employee ID],SM[State/City])</f>
        <v>Kolkata</v>
      </c>
      <c r="K233" s="2">
        <f>_xlfn.XLOOKUP(Sales7[[#This Row],[Order ID]],ST[Order ID],ST[Units Sold])</f>
        <v>1</v>
      </c>
      <c r="L233">
        <f t="shared" si="3"/>
        <v>3910</v>
      </c>
    </row>
    <row r="234" spans="1:12" x14ac:dyDescent="0.35">
      <c r="A234" s="7">
        <v>1218</v>
      </c>
      <c r="B234" s="1">
        <v>45196</v>
      </c>
      <c r="C234" s="2" t="s">
        <v>18</v>
      </c>
      <c r="D234" t="str">
        <f>_xlfn.XLOOKUP(Merged_Sales_Data!C234,PM[Product ID],PM[Product Name])</f>
        <v>LED Monitor 24"</v>
      </c>
      <c r="E234" t="str">
        <f>VLOOKUP(C234,PM[],3,FALSE)</f>
        <v>Electronics</v>
      </c>
      <c r="F234">
        <f>_xlfn.XLOOKUP(C234,PM[Product ID],PM[Unit Price (₹)])</f>
        <v>7700</v>
      </c>
      <c r="G234" t="str">
        <f>_xlfn.XLOOKUP(Sales7[[#This Row],[Order ID]],ST[Order ID],ST[Employee ID])</f>
        <v>E04</v>
      </c>
      <c r="H234" t="str">
        <f>_xlfn.XLOOKUP(G234,SM[Employee ID],SM[Salesperson])</f>
        <v>Priya Nair</v>
      </c>
      <c r="I234" t="str">
        <f>_xlfn.XLOOKUP(G234,SM[Employee ID],SM[Region])</f>
        <v>South</v>
      </c>
      <c r="J234" t="str">
        <f>_xlfn.XLOOKUP(G234,SM[Employee ID],SM[State/City])</f>
        <v>Bengaluru</v>
      </c>
      <c r="K234" s="2">
        <f>_xlfn.XLOOKUP(Sales7[[#This Row],[Order ID]],ST[Order ID],ST[Units Sold])</f>
        <v>2</v>
      </c>
      <c r="L234">
        <f t="shared" si="3"/>
        <v>15400</v>
      </c>
    </row>
    <row r="235" spans="1:12" x14ac:dyDescent="0.35">
      <c r="A235" s="7">
        <v>1273</v>
      </c>
      <c r="B235" s="1">
        <v>45200</v>
      </c>
      <c r="C235" s="2" t="s">
        <v>20</v>
      </c>
      <c r="D235" t="str">
        <f>_xlfn.XLOOKUP(Merged_Sales_Data!C235,PM[Product ID],PM[Product Name])</f>
        <v>Standing Desk</v>
      </c>
      <c r="E235" t="str">
        <f>VLOOKUP(C235,PM[],3,FALSE)</f>
        <v>Office Supplies</v>
      </c>
      <c r="F235">
        <f>_xlfn.XLOOKUP(C235,PM[Product ID],PM[Unit Price (₹)])</f>
        <v>11010</v>
      </c>
      <c r="G235" t="str">
        <f>_xlfn.XLOOKUP(Sales7[[#This Row],[Order ID]],ST[Order ID],ST[Employee ID])</f>
        <v>E08</v>
      </c>
      <c r="H235" t="str">
        <f>_xlfn.XLOOKUP(G235,SM[Employee ID],SM[Salesperson])</f>
        <v>Neha Joshi</v>
      </c>
      <c r="I235" t="str">
        <f>_xlfn.XLOOKUP(G235,SM[Employee ID],SM[Region])</f>
        <v>West</v>
      </c>
      <c r="J235" t="str">
        <f>_xlfn.XLOOKUP(G235,SM[Employee ID],SM[State/City])</f>
        <v>Ahmedabad</v>
      </c>
      <c r="K235" s="2">
        <f>_xlfn.XLOOKUP(Sales7[[#This Row],[Order ID]],ST[Order ID],ST[Units Sold])</f>
        <v>10</v>
      </c>
      <c r="L235">
        <f t="shared" si="3"/>
        <v>110100</v>
      </c>
    </row>
    <row r="236" spans="1:12" x14ac:dyDescent="0.35">
      <c r="A236" s="7">
        <v>1240</v>
      </c>
      <c r="B236" s="1">
        <v>45202</v>
      </c>
      <c r="C236" s="2" t="s">
        <v>8</v>
      </c>
      <c r="D236" t="str">
        <f>_xlfn.XLOOKUP(Merged_Sales_Data!C236,PM[Product ID],PM[Product Name])</f>
        <v>USB-C Hub</v>
      </c>
      <c r="E236" t="str">
        <f>VLOOKUP(C236,PM[],3,FALSE)</f>
        <v>Accessories</v>
      </c>
      <c r="F236">
        <f>_xlfn.XLOOKUP(C236,PM[Product ID],PM[Unit Price (₹)])</f>
        <v>880</v>
      </c>
      <c r="G236" t="str">
        <f>_xlfn.XLOOKUP(Sales7[[#This Row],[Order ID]],ST[Order ID],ST[Employee ID])</f>
        <v>E01</v>
      </c>
      <c r="H236" t="str">
        <f>_xlfn.XLOOKUP(G236,SM[Employee ID],SM[Salesperson])</f>
        <v>Aarav Sharma</v>
      </c>
      <c r="I236" t="str">
        <f>_xlfn.XLOOKUP(G236,SM[Employee ID],SM[Region])</f>
        <v>North</v>
      </c>
      <c r="J236" t="str">
        <f>_xlfn.XLOOKUP(G236,SM[Employee ID],SM[State/City])</f>
        <v>Lucknow</v>
      </c>
      <c r="K236" s="2">
        <f>_xlfn.XLOOKUP(Sales7[[#This Row],[Order ID]],ST[Order ID],ST[Units Sold])</f>
        <v>4</v>
      </c>
      <c r="L236">
        <f t="shared" si="3"/>
        <v>3520</v>
      </c>
    </row>
    <row r="237" spans="1:12" x14ac:dyDescent="0.35">
      <c r="A237" s="7">
        <v>1238</v>
      </c>
      <c r="B237" s="1">
        <v>45203</v>
      </c>
      <c r="C237" s="2" t="s">
        <v>14</v>
      </c>
      <c r="D237" t="str">
        <f>_xlfn.XLOOKUP(Merged_Sales_Data!C237,PM[Product ID],PM[Product Name])</f>
        <v>Laptop Backpack</v>
      </c>
      <c r="E237" t="str">
        <f>VLOOKUP(C237,PM[],3,FALSE)</f>
        <v>Accessories</v>
      </c>
      <c r="F237">
        <f>_xlfn.XLOOKUP(C237,PM[Product ID],PM[Unit Price (₹)])</f>
        <v>1110</v>
      </c>
      <c r="G237" t="str">
        <f>_xlfn.XLOOKUP(Sales7[[#This Row],[Order ID]],ST[Order ID],ST[Employee ID])</f>
        <v>E05</v>
      </c>
      <c r="H237" t="str">
        <f>_xlfn.XLOOKUP(G237,SM[Employee ID],SM[Salesperson])</f>
        <v>Karan Malhotra</v>
      </c>
      <c r="I237" t="str">
        <f>_xlfn.XLOOKUP(G237,SM[Employee ID],SM[Region])</f>
        <v>East</v>
      </c>
      <c r="J237" t="str">
        <f>_xlfn.XLOOKUP(G237,SM[Employee ID],SM[State/City])</f>
        <v>Kolkata</v>
      </c>
      <c r="K237" s="2">
        <f>_xlfn.XLOOKUP(Sales7[[#This Row],[Order ID]],ST[Order ID],ST[Units Sold])</f>
        <v>5</v>
      </c>
      <c r="L237">
        <f t="shared" si="3"/>
        <v>5550</v>
      </c>
    </row>
    <row r="238" spans="1:12" x14ac:dyDescent="0.35">
      <c r="A238" s="7">
        <v>1256</v>
      </c>
      <c r="B238" s="1">
        <v>45203</v>
      </c>
      <c r="C238" s="2" t="s">
        <v>11</v>
      </c>
      <c r="D238" t="str">
        <f>_xlfn.XLOOKUP(Merged_Sales_Data!C238,PM[Product ID],PM[Product Name])</f>
        <v>Bluetooth Speaker</v>
      </c>
      <c r="E238" t="str">
        <f>VLOOKUP(C238,PM[],3,FALSE)</f>
        <v>Electronics</v>
      </c>
      <c r="F238">
        <f>_xlfn.XLOOKUP(C238,PM[Product ID],PM[Unit Price (₹)])</f>
        <v>1430</v>
      </c>
      <c r="G238" t="str">
        <f>_xlfn.XLOOKUP(Sales7[[#This Row],[Order ID]],ST[Order ID],ST[Employee ID])</f>
        <v>E06</v>
      </c>
      <c r="H238" t="str">
        <f>_xlfn.XLOOKUP(G238,SM[Employee ID],SM[Salesperson])</f>
        <v>Sneha Roy</v>
      </c>
      <c r="I238" t="str">
        <f>_xlfn.XLOOKUP(G238,SM[Employee ID],SM[Region])</f>
        <v>East</v>
      </c>
      <c r="J238" t="str">
        <f>_xlfn.XLOOKUP(G238,SM[Employee ID],SM[State/City])</f>
        <v>Kolkata</v>
      </c>
      <c r="K238" s="2">
        <f>_xlfn.XLOOKUP(Sales7[[#This Row],[Order ID]],ST[Order ID],ST[Units Sold])</f>
        <v>5</v>
      </c>
      <c r="L238">
        <f t="shared" si="3"/>
        <v>7150</v>
      </c>
    </row>
    <row r="239" spans="1:12" x14ac:dyDescent="0.35">
      <c r="A239" s="7">
        <v>1255</v>
      </c>
      <c r="B239" s="1">
        <v>45204</v>
      </c>
      <c r="C239" s="2" t="s">
        <v>14</v>
      </c>
      <c r="D239" t="str">
        <f>_xlfn.XLOOKUP(Merged_Sales_Data!C239,PM[Product ID],PM[Product Name])</f>
        <v>Laptop Backpack</v>
      </c>
      <c r="E239" t="str">
        <f>VLOOKUP(C239,PM[],3,FALSE)</f>
        <v>Accessories</v>
      </c>
      <c r="F239">
        <f>_xlfn.XLOOKUP(C239,PM[Product ID],PM[Unit Price (₹)])</f>
        <v>1110</v>
      </c>
      <c r="G239" t="str">
        <f>_xlfn.XLOOKUP(Sales7[[#This Row],[Order ID]],ST[Order ID],ST[Employee ID])</f>
        <v>E03</v>
      </c>
      <c r="H239" t="str">
        <f>_xlfn.XLOOKUP(G239,SM[Employee ID],SM[Salesperson])</f>
        <v>Rohan Mehta</v>
      </c>
      <c r="I239" t="str">
        <f>_xlfn.XLOOKUP(G239,SM[Employee ID],SM[Region])</f>
        <v>South</v>
      </c>
      <c r="J239" t="str">
        <f>_xlfn.XLOOKUP(G239,SM[Employee ID],SM[State/City])</f>
        <v>Bengaluru</v>
      </c>
      <c r="K239" s="2">
        <f>_xlfn.XLOOKUP(Sales7[[#This Row],[Order ID]],ST[Order ID],ST[Units Sold])</f>
        <v>1</v>
      </c>
      <c r="L239">
        <f t="shared" si="3"/>
        <v>1110</v>
      </c>
    </row>
    <row r="240" spans="1:12" x14ac:dyDescent="0.35">
      <c r="A240" s="7">
        <v>1271</v>
      </c>
      <c r="B240" s="1">
        <v>45204</v>
      </c>
      <c r="C240" s="2" t="s">
        <v>14</v>
      </c>
      <c r="D240" t="str">
        <f>_xlfn.XLOOKUP(Merged_Sales_Data!C240,PM[Product ID],PM[Product Name])</f>
        <v>Laptop Backpack</v>
      </c>
      <c r="E240" t="str">
        <f>VLOOKUP(C240,PM[],3,FALSE)</f>
        <v>Accessories</v>
      </c>
      <c r="F240">
        <f>_xlfn.XLOOKUP(C240,PM[Product ID],PM[Unit Price (₹)])</f>
        <v>1110</v>
      </c>
      <c r="G240" t="str">
        <f>_xlfn.XLOOKUP(Sales7[[#This Row],[Order ID]],ST[Order ID],ST[Employee ID])</f>
        <v>E04</v>
      </c>
      <c r="H240" t="str">
        <f>_xlfn.XLOOKUP(G240,SM[Employee ID],SM[Salesperson])</f>
        <v>Priya Nair</v>
      </c>
      <c r="I240" t="str">
        <f>_xlfn.XLOOKUP(G240,SM[Employee ID],SM[Region])</f>
        <v>South</v>
      </c>
      <c r="J240" t="str">
        <f>_xlfn.XLOOKUP(G240,SM[Employee ID],SM[State/City])</f>
        <v>Bengaluru</v>
      </c>
      <c r="K240" s="2">
        <f>_xlfn.XLOOKUP(Sales7[[#This Row],[Order ID]],ST[Order ID],ST[Units Sold])</f>
        <v>8</v>
      </c>
      <c r="L240">
        <f t="shared" si="3"/>
        <v>8880</v>
      </c>
    </row>
    <row r="241" spans="1:12" x14ac:dyDescent="0.35">
      <c r="A241" s="7">
        <v>1265</v>
      </c>
      <c r="B241" s="1">
        <v>45205</v>
      </c>
      <c r="C241" s="2" t="s">
        <v>11</v>
      </c>
      <c r="D241" t="str">
        <f>_xlfn.XLOOKUP(Merged_Sales_Data!C241,PM[Product ID],PM[Product Name])</f>
        <v>Bluetooth Speaker</v>
      </c>
      <c r="E241" t="str">
        <f>VLOOKUP(C241,PM[],3,FALSE)</f>
        <v>Electronics</v>
      </c>
      <c r="F241">
        <f>_xlfn.XLOOKUP(C241,PM[Product ID],PM[Unit Price (₹)])</f>
        <v>1430</v>
      </c>
      <c r="G241" t="str">
        <f>_xlfn.XLOOKUP(Sales7[[#This Row],[Order ID]],ST[Order ID],ST[Employee ID])</f>
        <v>E02</v>
      </c>
      <c r="H241" t="str">
        <f>_xlfn.XLOOKUP(G241,SM[Employee ID],SM[Salesperson])</f>
        <v>Ishita Verma</v>
      </c>
      <c r="I241" t="str">
        <f>_xlfn.XLOOKUP(G241,SM[Employee ID],SM[Region])</f>
        <v>North</v>
      </c>
      <c r="J241" t="str">
        <f>_xlfn.XLOOKUP(G241,SM[Employee ID],SM[State/City])</f>
        <v>Chandigarh</v>
      </c>
      <c r="K241" s="2">
        <f>_xlfn.XLOOKUP(Sales7[[#This Row],[Order ID]],ST[Order ID],ST[Units Sold])</f>
        <v>5</v>
      </c>
      <c r="L241">
        <f t="shared" si="3"/>
        <v>7150</v>
      </c>
    </row>
    <row r="242" spans="1:12" x14ac:dyDescent="0.35">
      <c r="A242" s="7">
        <v>1269</v>
      </c>
      <c r="B242" s="1">
        <v>45205</v>
      </c>
      <c r="C242" s="2" t="s">
        <v>18</v>
      </c>
      <c r="D242" t="str">
        <f>_xlfn.XLOOKUP(Merged_Sales_Data!C242,PM[Product ID],PM[Product Name])</f>
        <v>LED Monitor 24"</v>
      </c>
      <c r="E242" t="str">
        <f>VLOOKUP(C242,PM[],3,FALSE)</f>
        <v>Electronics</v>
      </c>
      <c r="F242">
        <f>_xlfn.XLOOKUP(C242,PM[Product ID],PM[Unit Price (₹)])</f>
        <v>7700</v>
      </c>
      <c r="G242" t="str">
        <f>_xlfn.XLOOKUP(Sales7[[#This Row],[Order ID]],ST[Order ID],ST[Employee ID])</f>
        <v>E07</v>
      </c>
      <c r="H242" t="str">
        <f>_xlfn.XLOOKUP(G242,SM[Employee ID],SM[Salesperson])</f>
        <v>Aditya Kapoor</v>
      </c>
      <c r="I242" t="str">
        <f>_xlfn.XLOOKUP(G242,SM[Employee ID],SM[Region])</f>
        <v>West</v>
      </c>
      <c r="J242" t="str">
        <f>_xlfn.XLOOKUP(G242,SM[Employee ID],SM[State/City])</f>
        <v>Mumbai</v>
      </c>
      <c r="K242" s="2">
        <f>_xlfn.XLOOKUP(Sales7[[#This Row],[Order ID]],ST[Order ID],ST[Units Sold])</f>
        <v>1</v>
      </c>
      <c r="L242">
        <f t="shared" si="3"/>
        <v>7700</v>
      </c>
    </row>
    <row r="243" spans="1:12" x14ac:dyDescent="0.35">
      <c r="A243" s="7">
        <v>1236</v>
      </c>
      <c r="B243" s="1">
        <v>45206</v>
      </c>
      <c r="C243" s="2" t="s">
        <v>14</v>
      </c>
      <c r="D243" t="str">
        <f>_xlfn.XLOOKUP(Merged_Sales_Data!C243,PM[Product ID],PM[Product Name])</f>
        <v>Laptop Backpack</v>
      </c>
      <c r="E243" t="str">
        <f>VLOOKUP(C243,PM[],3,FALSE)</f>
        <v>Accessories</v>
      </c>
      <c r="F243">
        <f>_xlfn.XLOOKUP(C243,PM[Product ID],PM[Unit Price (₹)])</f>
        <v>1110</v>
      </c>
      <c r="G243" t="str">
        <f>_xlfn.XLOOKUP(Sales7[[#This Row],[Order ID]],ST[Order ID],ST[Employee ID])</f>
        <v>E08</v>
      </c>
      <c r="H243" t="str">
        <f>_xlfn.XLOOKUP(G243,SM[Employee ID],SM[Salesperson])</f>
        <v>Neha Joshi</v>
      </c>
      <c r="I243" t="str">
        <f>_xlfn.XLOOKUP(G243,SM[Employee ID],SM[Region])</f>
        <v>West</v>
      </c>
      <c r="J243" t="str">
        <f>_xlfn.XLOOKUP(G243,SM[Employee ID],SM[State/City])</f>
        <v>Ahmedabad</v>
      </c>
      <c r="K243" s="2">
        <f>_xlfn.XLOOKUP(Sales7[[#This Row],[Order ID]],ST[Order ID],ST[Units Sold])</f>
        <v>1</v>
      </c>
      <c r="L243">
        <f t="shared" si="3"/>
        <v>1110</v>
      </c>
    </row>
    <row r="244" spans="1:12" x14ac:dyDescent="0.35">
      <c r="A244" s="7">
        <v>1247</v>
      </c>
      <c r="B244" s="1">
        <v>45208</v>
      </c>
      <c r="C244" s="2" t="s">
        <v>12</v>
      </c>
      <c r="D244" t="str">
        <f>_xlfn.XLOOKUP(Merged_Sales_Data!C244,PM[Product ID],PM[Product Name])</f>
        <v>Bookshelf Unit</v>
      </c>
      <c r="E244" t="str">
        <f>VLOOKUP(C244,PM[],3,FALSE)</f>
        <v>Furniture</v>
      </c>
      <c r="F244">
        <f>_xlfn.XLOOKUP(C244,PM[Product ID],PM[Unit Price (₹)])</f>
        <v>3910</v>
      </c>
      <c r="G244" t="str">
        <f>_xlfn.XLOOKUP(Sales7[[#This Row],[Order ID]],ST[Order ID],ST[Employee ID])</f>
        <v>E07</v>
      </c>
      <c r="H244" t="str">
        <f>_xlfn.XLOOKUP(G244,SM[Employee ID],SM[Salesperson])</f>
        <v>Aditya Kapoor</v>
      </c>
      <c r="I244" t="str">
        <f>_xlfn.XLOOKUP(G244,SM[Employee ID],SM[Region])</f>
        <v>West</v>
      </c>
      <c r="J244" t="str">
        <f>_xlfn.XLOOKUP(G244,SM[Employee ID],SM[State/City])</f>
        <v>Mumbai</v>
      </c>
      <c r="K244" s="2">
        <f>_xlfn.XLOOKUP(Sales7[[#This Row],[Order ID]],ST[Order ID],ST[Units Sold])</f>
        <v>6</v>
      </c>
      <c r="L244">
        <f t="shared" si="3"/>
        <v>23460</v>
      </c>
    </row>
    <row r="245" spans="1:12" x14ac:dyDescent="0.35">
      <c r="A245" s="7">
        <v>1272</v>
      </c>
      <c r="B245" s="1">
        <v>45208</v>
      </c>
      <c r="C245" s="2" t="s">
        <v>14</v>
      </c>
      <c r="D245" t="str">
        <f>_xlfn.XLOOKUP(Merged_Sales_Data!C245,PM[Product ID],PM[Product Name])</f>
        <v>Laptop Backpack</v>
      </c>
      <c r="E245" t="str">
        <f>VLOOKUP(C245,PM[],3,FALSE)</f>
        <v>Accessories</v>
      </c>
      <c r="F245">
        <f>_xlfn.XLOOKUP(C245,PM[Product ID],PM[Unit Price (₹)])</f>
        <v>1110</v>
      </c>
      <c r="G245" t="str">
        <f>_xlfn.XLOOKUP(Sales7[[#This Row],[Order ID]],ST[Order ID],ST[Employee ID])</f>
        <v>E04</v>
      </c>
      <c r="H245" t="str">
        <f>_xlfn.XLOOKUP(G245,SM[Employee ID],SM[Salesperson])</f>
        <v>Priya Nair</v>
      </c>
      <c r="I245" t="str">
        <f>_xlfn.XLOOKUP(G245,SM[Employee ID],SM[Region])</f>
        <v>South</v>
      </c>
      <c r="J245" t="str">
        <f>_xlfn.XLOOKUP(G245,SM[Employee ID],SM[State/City])</f>
        <v>Bengaluru</v>
      </c>
      <c r="K245" s="2">
        <f>_xlfn.XLOOKUP(Sales7[[#This Row],[Order ID]],ST[Order ID],ST[Units Sold])</f>
        <v>10</v>
      </c>
      <c r="L245">
        <f t="shared" si="3"/>
        <v>11100</v>
      </c>
    </row>
    <row r="246" spans="1:12" x14ac:dyDescent="0.35">
      <c r="A246" s="7">
        <v>1239</v>
      </c>
      <c r="B246" s="1">
        <v>45209</v>
      </c>
      <c r="C246" s="2" t="s">
        <v>5</v>
      </c>
      <c r="D246" t="str">
        <f>_xlfn.XLOOKUP(Merged_Sales_Data!C246,PM[Product ID],PM[Product Name])</f>
        <v>Ergo Office Chair</v>
      </c>
      <c r="E246" t="str">
        <f>VLOOKUP(C246,PM[],3,FALSE)</f>
        <v>Office Supplies</v>
      </c>
      <c r="F246">
        <f>_xlfn.XLOOKUP(C246,PM[Product ID],PM[Unit Price (₹)])</f>
        <v>6750</v>
      </c>
      <c r="G246" t="str">
        <f>_xlfn.XLOOKUP(Sales7[[#This Row],[Order ID]],ST[Order ID],ST[Employee ID])</f>
        <v>E01</v>
      </c>
      <c r="H246" t="str">
        <f>_xlfn.XLOOKUP(G246,SM[Employee ID],SM[Salesperson])</f>
        <v>Aarav Sharma</v>
      </c>
      <c r="I246" t="str">
        <f>_xlfn.XLOOKUP(G246,SM[Employee ID],SM[Region])</f>
        <v>North</v>
      </c>
      <c r="J246" t="str">
        <f>_xlfn.XLOOKUP(G246,SM[Employee ID],SM[State/City])</f>
        <v>Lucknow</v>
      </c>
      <c r="K246" s="2">
        <f>_xlfn.XLOOKUP(Sales7[[#This Row],[Order ID]],ST[Order ID],ST[Units Sold])</f>
        <v>1</v>
      </c>
      <c r="L246">
        <f t="shared" si="3"/>
        <v>6750</v>
      </c>
    </row>
    <row r="247" spans="1:12" x14ac:dyDescent="0.35">
      <c r="A247" s="7">
        <v>1253</v>
      </c>
      <c r="B247" s="1">
        <v>45210</v>
      </c>
      <c r="C247" s="2" t="s">
        <v>10</v>
      </c>
      <c r="D247" t="str">
        <f>_xlfn.XLOOKUP(Merged_Sales_Data!C247,PM[Product ID],PM[Product Name])</f>
        <v>Filing Cabinet</v>
      </c>
      <c r="E247" t="str">
        <f>VLOOKUP(C247,PM[],3,FALSE)</f>
        <v>Furniture</v>
      </c>
      <c r="F247">
        <f>_xlfn.XLOOKUP(C247,PM[Product ID],PM[Unit Price (₹)])</f>
        <v>4070</v>
      </c>
      <c r="G247" t="str">
        <f>_xlfn.XLOOKUP(Sales7[[#This Row],[Order ID]],ST[Order ID],ST[Employee ID])</f>
        <v>E04</v>
      </c>
      <c r="H247" t="str">
        <f>_xlfn.XLOOKUP(G247,SM[Employee ID],SM[Salesperson])</f>
        <v>Priya Nair</v>
      </c>
      <c r="I247" t="str">
        <f>_xlfn.XLOOKUP(G247,SM[Employee ID],SM[Region])</f>
        <v>South</v>
      </c>
      <c r="J247" t="str">
        <f>_xlfn.XLOOKUP(G247,SM[Employee ID],SM[State/City])</f>
        <v>Bengaluru</v>
      </c>
      <c r="K247" s="2">
        <f>_xlfn.XLOOKUP(Sales7[[#This Row],[Order ID]],ST[Order ID],ST[Units Sold])</f>
        <v>1</v>
      </c>
      <c r="L247">
        <f t="shared" si="3"/>
        <v>4070</v>
      </c>
    </row>
    <row r="248" spans="1:12" x14ac:dyDescent="0.35">
      <c r="A248" s="7">
        <v>1266</v>
      </c>
      <c r="B248" s="1">
        <v>45210</v>
      </c>
      <c r="C248" s="2" t="s">
        <v>21</v>
      </c>
      <c r="D248" t="str">
        <f>_xlfn.XLOOKUP(Merged_Sales_Data!C248,PM[Product ID],PM[Product Name])</f>
        <v>Wireless Mouse</v>
      </c>
      <c r="E248" t="str">
        <f>VLOOKUP(C248,PM[],3,FALSE)</f>
        <v>Electronics</v>
      </c>
      <c r="F248">
        <f>_xlfn.XLOOKUP(C248,PM[Product ID],PM[Unit Price (₹)])</f>
        <v>780</v>
      </c>
      <c r="G248" t="str">
        <f>_xlfn.XLOOKUP(Sales7[[#This Row],[Order ID]],ST[Order ID],ST[Employee ID])</f>
        <v>E05</v>
      </c>
      <c r="H248" t="str">
        <f>_xlfn.XLOOKUP(G248,SM[Employee ID],SM[Salesperson])</f>
        <v>Karan Malhotra</v>
      </c>
      <c r="I248" t="str">
        <f>_xlfn.XLOOKUP(G248,SM[Employee ID],SM[Region])</f>
        <v>East</v>
      </c>
      <c r="J248" t="str">
        <f>_xlfn.XLOOKUP(G248,SM[Employee ID],SM[State/City])</f>
        <v>Kolkata</v>
      </c>
      <c r="K248" s="2">
        <f>_xlfn.XLOOKUP(Sales7[[#This Row],[Order ID]],ST[Order ID],ST[Units Sold])</f>
        <v>1</v>
      </c>
      <c r="L248">
        <f t="shared" si="3"/>
        <v>780</v>
      </c>
    </row>
    <row r="249" spans="1:12" x14ac:dyDescent="0.35">
      <c r="A249" s="7">
        <v>1235</v>
      </c>
      <c r="B249" s="1">
        <v>45211</v>
      </c>
      <c r="C249" s="2" t="s">
        <v>5</v>
      </c>
      <c r="D249" t="str">
        <f>_xlfn.XLOOKUP(Merged_Sales_Data!C249,PM[Product ID],PM[Product Name])</f>
        <v>Ergo Office Chair</v>
      </c>
      <c r="E249" t="str">
        <f>VLOOKUP(C249,PM[],3,FALSE)</f>
        <v>Office Supplies</v>
      </c>
      <c r="F249">
        <f>_xlfn.XLOOKUP(C249,PM[Product ID],PM[Unit Price (₹)])</f>
        <v>6750</v>
      </c>
      <c r="G249" t="str">
        <f>_xlfn.XLOOKUP(Sales7[[#This Row],[Order ID]],ST[Order ID],ST[Employee ID])</f>
        <v>E01</v>
      </c>
      <c r="H249" t="str">
        <f>_xlfn.XLOOKUP(G249,SM[Employee ID],SM[Salesperson])</f>
        <v>Aarav Sharma</v>
      </c>
      <c r="I249" t="str">
        <f>_xlfn.XLOOKUP(G249,SM[Employee ID],SM[Region])</f>
        <v>North</v>
      </c>
      <c r="J249" t="str">
        <f>_xlfn.XLOOKUP(G249,SM[Employee ID],SM[State/City])</f>
        <v>Lucknow</v>
      </c>
      <c r="K249" s="2">
        <f>_xlfn.XLOOKUP(Sales7[[#This Row],[Order ID]],ST[Order ID],ST[Units Sold])</f>
        <v>6</v>
      </c>
      <c r="L249">
        <f t="shared" si="3"/>
        <v>40500</v>
      </c>
    </row>
    <row r="250" spans="1:12" x14ac:dyDescent="0.35">
      <c r="A250" s="7">
        <v>1267</v>
      </c>
      <c r="B250" s="1">
        <v>45211</v>
      </c>
      <c r="C250" s="2" t="s">
        <v>20</v>
      </c>
      <c r="D250" t="str">
        <f>_xlfn.XLOOKUP(Merged_Sales_Data!C250,PM[Product ID],PM[Product Name])</f>
        <v>Standing Desk</v>
      </c>
      <c r="E250" t="str">
        <f>VLOOKUP(C250,PM[],3,FALSE)</f>
        <v>Office Supplies</v>
      </c>
      <c r="F250">
        <f>_xlfn.XLOOKUP(C250,PM[Product ID],PM[Unit Price (₹)])</f>
        <v>11010</v>
      </c>
      <c r="G250" t="str">
        <f>_xlfn.XLOOKUP(Sales7[[#This Row],[Order ID]],ST[Order ID],ST[Employee ID])</f>
        <v>E01</v>
      </c>
      <c r="H250" t="str">
        <f>_xlfn.XLOOKUP(G250,SM[Employee ID],SM[Salesperson])</f>
        <v>Aarav Sharma</v>
      </c>
      <c r="I250" t="str">
        <f>_xlfn.XLOOKUP(G250,SM[Employee ID],SM[Region])</f>
        <v>North</v>
      </c>
      <c r="J250" t="str">
        <f>_xlfn.XLOOKUP(G250,SM[Employee ID],SM[State/City])</f>
        <v>Lucknow</v>
      </c>
      <c r="K250" s="2">
        <f>_xlfn.XLOOKUP(Sales7[[#This Row],[Order ID]],ST[Order ID],ST[Units Sold])</f>
        <v>3</v>
      </c>
      <c r="L250">
        <f t="shared" si="3"/>
        <v>33030</v>
      </c>
    </row>
    <row r="251" spans="1:12" x14ac:dyDescent="0.35">
      <c r="A251" s="7">
        <v>1252</v>
      </c>
      <c r="B251" s="1">
        <v>45212</v>
      </c>
      <c r="C251" s="2" t="s">
        <v>5</v>
      </c>
      <c r="D251" t="str">
        <f>_xlfn.XLOOKUP(Merged_Sales_Data!C251,PM[Product ID],PM[Product Name])</f>
        <v>Ergo Office Chair</v>
      </c>
      <c r="E251" t="str">
        <f>VLOOKUP(C251,PM[],3,FALSE)</f>
        <v>Office Supplies</v>
      </c>
      <c r="F251">
        <f>_xlfn.XLOOKUP(C251,PM[Product ID],PM[Unit Price (₹)])</f>
        <v>6750</v>
      </c>
      <c r="G251" t="str">
        <f>_xlfn.XLOOKUP(Sales7[[#This Row],[Order ID]],ST[Order ID],ST[Employee ID])</f>
        <v>E04</v>
      </c>
      <c r="H251" t="str">
        <f>_xlfn.XLOOKUP(G251,SM[Employee ID],SM[Salesperson])</f>
        <v>Priya Nair</v>
      </c>
      <c r="I251" t="str">
        <f>_xlfn.XLOOKUP(G251,SM[Employee ID],SM[Region])</f>
        <v>South</v>
      </c>
      <c r="J251" t="str">
        <f>_xlfn.XLOOKUP(G251,SM[Employee ID],SM[State/City])</f>
        <v>Bengaluru</v>
      </c>
      <c r="K251" s="2">
        <f>_xlfn.XLOOKUP(Sales7[[#This Row],[Order ID]],ST[Order ID],ST[Units Sold])</f>
        <v>8</v>
      </c>
      <c r="L251">
        <f t="shared" si="3"/>
        <v>54000</v>
      </c>
    </row>
    <row r="252" spans="1:12" x14ac:dyDescent="0.35">
      <c r="A252" s="7">
        <v>1234</v>
      </c>
      <c r="B252" s="1">
        <v>45213</v>
      </c>
      <c r="C252" s="2" t="s">
        <v>8</v>
      </c>
      <c r="D252" t="str">
        <f>_xlfn.XLOOKUP(Merged_Sales_Data!C252,PM[Product ID],PM[Product Name])</f>
        <v>USB-C Hub</v>
      </c>
      <c r="E252" t="str">
        <f>VLOOKUP(C252,PM[],3,FALSE)</f>
        <v>Accessories</v>
      </c>
      <c r="F252">
        <f>_xlfn.XLOOKUP(C252,PM[Product ID],PM[Unit Price (₹)])</f>
        <v>880</v>
      </c>
      <c r="G252" t="str">
        <f>_xlfn.XLOOKUP(Sales7[[#This Row],[Order ID]],ST[Order ID],ST[Employee ID])</f>
        <v>E01</v>
      </c>
      <c r="H252" t="str">
        <f>_xlfn.XLOOKUP(G252,SM[Employee ID],SM[Salesperson])</f>
        <v>Aarav Sharma</v>
      </c>
      <c r="I252" t="str">
        <f>_xlfn.XLOOKUP(G252,SM[Employee ID],SM[Region])</f>
        <v>North</v>
      </c>
      <c r="J252" t="str">
        <f>_xlfn.XLOOKUP(G252,SM[Employee ID],SM[State/City])</f>
        <v>Lucknow</v>
      </c>
      <c r="K252" s="2">
        <f>_xlfn.XLOOKUP(Sales7[[#This Row],[Order ID]],ST[Order ID],ST[Units Sold])</f>
        <v>5</v>
      </c>
      <c r="L252">
        <f t="shared" si="3"/>
        <v>4400</v>
      </c>
    </row>
    <row r="253" spans="1:12" x14ac:dyDescent="0.35">
      <c r="A253" s="7">
        <v>1243</v>
      </c>
      <c r="B253" s="1">
        <v>45213</v>
      </c>
      <c r="C253" s="2" t="s">
        <v>8</v>
      </c>
      <c r="D253" t="str">
        <f>_xlfn.XLOOKUP(Merged_Sales_Data!C253,PM[Product ID],PM[Product Name])</f>
        <v>USB-C Hub</v>
      </c>
      <c r="E253" t="str">
        <f>VLOOKUP(C253,PM[],3,FALSE)</f>
        <v>Accessories</v>
      </c>
      <c r="F253">
        <f>_xlfn.XLOOKUP(C253,PM[Product ID],PM[Unit Price (₹)])</f>
        <v>880</v>
      </c>
      <c r="G253" t="str">
        <f>_xlfn.XLOOKUP(Sales7[[#This Row],[Order ID]],ST[Order ID],ST[Employee ID])</f>
        <v>E05</v>
      </c>
      <c r="H253" t="str">
        <f>_xlfn.XLOOKUP(G253,SM[Employee ID],SM[Salesperson])</f>
        <v>Karan Malhotra</v>
      </c>
      <c r="I253" t="str">
        <f>_xlfn.XLOOKUP(G253,SM[Employee ID],SM[Region])</f>
        <v>East</v>
      </c>
      <c r="J253" t="str">
        <f>_xlfn.XLOOKUP(G253,SM[Employee ID],SM[State/City])</f>
        <v>Kolkata</v>
      </c>
      <c r="K253" s="2">
        <f>_xlfn.XLOOKUP(Sales7[[#This Row],[Order ID]],ST[Order ID],ST[Units Sold])</f>
        <v>2</v>
      </c>
      <c r="L253">
        <f t="shared" si="3"/>
        <v>1760</v>
      </c>
    </row>
    <row r="254" spans="1:12" x14ac:dyDescent="0.35">
      <c r="A254" s="7">
        <v>1257</v>
      </c>
      <c r="B254" s="1">
        <v>45213</v>
      </c>
      <c r="C254" s="2" t="s">
        <v>21</v>
      </c>
      <c r="D254" t="str">
        <f>_xlfn.XLOOKUP(Merged_Sales_Data!C254,PM[Product ID],PM[Product Name])</f>
        <v>Wireless Mouse</v>
      </c>
      <c r="E254" t="str">
        <f>VLOOKUP(C254,PM[],3,FALSE)</f>
        <v>Electronics</v>
      </c>
      <c r="F254">
        <f>_xlfn.XLOOKUP(C254,PM[Product ID],PM[Unit Price (₹)])</f>
        <v>780</v>
      </c>
      <c r="G254" t="str">
        <f>_xlfn.XLOOKUP(Sales7[[#This Row],[Order ID]],ST[Order ID],ST[Employee ID])</f>
        <v>E08</v>
      </c>
      <c r="H254" t="str">
        <f>_xlfn.XLOOKUP(G254,SM[Employee ID],SM[Salesperson])</f>
        <v>Neha Joshi</v>
      </c>
      <c r="I254" t="str">
        <f>_xlfn.XLOOKUP(G254,SM[Employee ID],SM[Region])</f>
        <v>West</v>
      </c>
      <c r="J254" t="str">
        <f>_xlfn.XLOOKUP(G254,SM[Employee ID],SM[State/City])</f>
        <v>Ahmedabad</v>
      </c>
      <c r="K254" s="2">
        <f>_xlfn.XLOOKUP(Sales7[[#This Row],[Order ID]],ST[Order ID],ST[Units Sold])</f>
        <v>1</v>
      </c>
      <c r="L254">
        <f t="shared" si="3"/>
        <v>780</v>
      </c>
    </row>
    <row r="255" spans="1:12" x14ac:dyDescent="0.35">
      <c r="A255" s="7">
        <v>1264</v>
      </c>
      <c r="B255" s="1">
        <v>45213</v>
      </c>
      <c r="C255" s="2" t="s">
        <v>5</v>
      </c>
      <c r="D255" t="str">
        <f>_xlfn.XLOOKUP(Merged_Sales_Data!C255,PM[Product ID],PM[Product Name])</f>
        <v>Ergo Office Chair</v>
      </c>
      <c r="E255" t="str">
        <f>VLOOKUP(C255,PM[],3,FALSE)</f>
        <v>Office Supplies</v>
      </c>
      <c r="F255">
        <f>_xlfn.XLOOKUP(C255,PM[Product ID],PM[Unit Price (₹)])</f>
        <v>6750</v>
      </c>
      <c r="G255" t="str">
        <f>_xlfn.XLOOKUP(Sales7[[#This Row],[Order ID]],ST[Order ID],ST[Employee ID])</f>
        <v>E05</v>
      </c>
      <c r="H255" t="str">
        <f>_xlfn.XLOOKUP(G255,SM[Employee ID],SM[Salesperson])</f>
        <v>Karan Malhotra</v>
      </c>
      <c r="I255" t="str">
        <f>_xlfn.XLOOKUP(G255,SM[Employee ID],SM[Region])</f>
        <v>East</v>
      </c>
      <c r="J255" t="str">
        <f>_xlfn.XLOOKUP(G255,SM[Employee ID],SM[State/City])</f>
        <v>Kolkata</v>
      </c>
      <c r="K255" s="2">
        <f>_xlfn.XLOOKUP(Sales7[[#This Row],[Order ID]],ST[Order ID],ST[Units Sold])</f>
        <v>1</v>
      </c>
      <c r="L255">
        <f t="shared" si="3"/>
        <v>6750</v>
      </c>
    </row>
    <row r="256" spans="1:12" x14ac:dyDescent="0.35">
      <c r="A256" s="7">
        <v>1244</v>
      </c>
      <c r="B256" s="1">
        <v>45214</v>
      </c>
      <c r="C256" s="2" t="s">
        <v>14</v>
      </c>
      <c r="D256" t="str">
        <f>_xlfn.XLOOKUP(Merged_Sales_Data!C256,PM[Product ID],PM[Product Name])</f>
        <v>Laptop Backpack</v>
      </c>
      <c r="E256" t="str">
        <f>VLOOKUP(C256,PM[],3,FALSE)</f>
        <v>Accessories</v>
      </c>
      <c r="F256">
        <f>_xlfn.XLOOKUP(C256,PM[Product ID],PM[Unit Price (₹)])</f>
        <v>1110</v>
      </c>
      <c r="G256" t="str">
        <f>_xlfn.XLOOKUP(Sales7[[#This Row],[Order ID]],ST[Order ID],ST[Employee ID])</f>
        <v>E08</v>
      </c>
      <c r="H256" t="str">
        <f>_xlfn.XLOOKUP(G256,SM[Employee ID],SM[Salesperson])</f>
        <v>Neha Joshi</v>
      </c>
      <c r="I256" t="str">
        <f>_xlfn.XLOOKUP(G256,SM[Employee ID],SM[Region])</f>
        <v>West</v>
      </c>
      <c r="J256" t="str">
        <f>_xlfn.XLOOKUP(G256,SM[Employee ID],SM[State/City])</f>
        <v>Ahmedabad</v>
      </c>
      <c r="K256" s="2">
        <f>_xlfn.XLOOKUP(Sales7[[#This Row],[Order ID]],ST[Order ID],ST[Units Sold])</f>
        <v>2</v>
      </c>
      <c r="L256">
        <f t="shared" si="3"/>
        <v>2220</v>
      </c>
    </row>
    <row r="257" spans="1:12" x14ac:dyDescent="0.35">
      <c r="A257" s="7">
        <v>1268</v>
      </c>
      <c r="B257" s="1">
        <v>45216</v>
      </c>
      <c r="C257" s="2" t="s">
        <v>18</v>
      </c>
      <c r="D257" t="str">
        <f>_xlfn.XLOOKUP(Merged_Sales_Data!C257,PM[Product ID],PM[Product Name])</f>
        <v>LED Monitor 24"</v>
      </c>
      <c r="E257" t="str">
        <f>VLOOKUP(C257,PM[],3,FALSE)</f>
        <v>Electronics</v>
      </c>
      <c r="F257">
        <f>_xlfn.XLOOKUP(C257,PM[Product ID],PM[Unit Price (₹)])</f>
        <v>7700</v>
      </c>
      <c r="G257" t="str">
        <f>_xlfn.XLOOKUP(Sales7[[#This Row],[Order ID]],ST[Order ID],ST[Employee ID])</f>
        <v>E07</v>
      </c>
      <c r="H257" t="str">
        <f>_xlfn.XLOOKUP(G257,SM[Employee ID],SM[Salesperson])</f>
        <v>Aditya Kapoor</v>
      </c>
      <c r="I257" t="str">
        <f>_xlfn.XLOOKUP(G257,SM[Employee ID],SM[Region])</f>
        <v>West</v>
      </c>
      <c r="J257" t="str">
        <f>_xlfn.XLOOKUP(G257,SM[Employee ID],SM[State/City])</f>
        <v>Mumbai</v>
      </c>
      <c r="K257" s="2">
        <f>_xlfn.XLOOKUP(Sales7[[#This Row],[Order ID]],ST[Order ID],ST[Units Sold])</f>
        <v>2</v>
      </c>
      <c r="L257">
        <f t="shared" si="3"/>
        <v>15400</v>
      </c>
    </row>
    <row r="258" spans="1:12" x14ac:dyDescent="0.35">
      <c r="A258" s="7">
        <v>1249</v>
      </c>
      <c r="B258" s="1">
        <v>45217</v>
      </c>
      <c r="C258" s="2" t="s">
        <v>18</v>
      </c>
      <c r="D258" t="str">
        <f>_xlfn.XLOOKUP(Merged_Sales_Data!C258,PM[Product ID],PM[Product Name])</f>
        <v>LED Monitor 24"</v>
      </c>
      <c r="E258" t="str">
        <f>VLOOKUP(C258,PM[],3,FALSE)</f>
        <v>Electronics</v>
      </c>
      <c r="F258">
        <f>_xlfn.XLOOKUP(C258,PM[Product ID],PM[Unit Price (₹)])</f>
        <v>7700</v>
      </c>
      <c r="G258" t="str">
        <f>_xlfn.XLOOKUP(Sales7[[#This Row],[Order ID]],ST[Order ID],ST[Employee ID])</f>
        <v>E08</v>
      </c>
      <c r="H258" t="str">
        <f>_xlfn.XLOOKUP(G258,SM[Employee ID],SM[Salesperson])</f>
        <v>Neha Joshi</v>
      </c>
      <c r="I258" t="str">
        <f>_xlfn.XLOOKUP(G258,SM[Employee ID],SM[Region])</f>
        <v>West</v>
      </c>
      <c r="J258" t="str">
        <f>_xlfn.XLOOKUP(G258,SM[Employee ID],SM[State/City])</f>
        <v>Ahmedabad</v>
      </c>
      <c r="K258" s="2">
        <f>_xlfn.XLOOKUP(Sales7[[#This Row],[Order ID]],ST[Order ID],ST[Units Sold])</f>
        <v>5</v>
      </c>
      <c r="L258">
        <f t="shared" si="3"/>
        <v>38500</v>
      </c>
    </row>
    <row r="259" spans="1:12" x14ac:dyDescent="0.35">
      <c r="A259" s="7">
        <v>1250</v>
      </c>
      <c r="B259" s="1">
        <v>45217</v>
      </c>
      <c r="C259" s="2" t="s">
        <v>12</v>
      </c>
      <c r="D259" t="str">
        <f>_xlfn.XLOOKUP(Merged_Sales_Data!C259,PM[Product ID],PM[Product Name])</f>
        <v>Bookshelf Unit</v>
      </c>
      <c r="E259" t="str">
        <f>VLOOKUP(C259,PM[],3,FALSE)</f>
        <v>Furniture</v>
      </c>
      <c r="F259">
        <f>_xlfn.XLOOKUP(C259,PM[Product ID],PM[Unit Price (₹)])</f>
        <v>3910</v>
      </c>
      <c r="G259" t="str">
        <f>_xlfn.XLOOKUP(Sales7[[#This Row],[Order ID]],ST[Order ID],ST[Employee ID])</f>
        <v>E08</v>
      </c>
      <c r="H259" t="str">
        <f>_xlfn.XLOOKUP(G259,SM[Employee ID],SM[Salesperson])</f>
        <v>Neha Joshi</v>
      </c>
      <c r="I259" t="str">
        <f>_xlfn.XLOOKUP(G259,SM[Employee ID],SM[Region])</f>
        <v>West</v>
      </c>
      <c r="J259" t="str">
        <f>_xlfn.XLOOKUP(G259,SM[Employee ID],SM[State/City])</f>
        <v>Ahmedabad</v>
      </c>
      <c r="K259" s="2">
        <f>_xlfn.XLOOKUP(Sales7[[#This Row],[Order ID]],ST[Order ID],ST[Units Sold])</f>
        <v>3</v>
      </c>
      <c r="L259">
        <f t="shared" ref="L259:L322" si="4">F259*K259</f>
        <v>11730</v>
      </c>
    </row>
    <row r="260" spans="1:12" x14ac:dyDescent="0.35">
      <c r="A260" s="7">
        <v>1274</v>
      </c>
      <c r="B260" s="1">
        <v>45217</v>
      </c>
      <c r="C260" s="2" t="s">
        <v>20</v>
      </c>
      <c r="D260" t="str">
        <f>_xlfn.XLOOKUP(Merged_Sales_Data!C260,PM[Product ID],PM[Product Name])</f>
        <v>Standing Desk</v>
      </c>
      <c r="E260" t="str">
        <f>VLOOKUP(C260,PM[],3,FALSE)</f>
        <v>Office Supplies</v>
      </c>
      <c r="F260">
        <f>_xlfn.XLOOKUP(C260,PM[Product ID],PM[Unit Price (₹)])</f>
        <v>11010</v>
      </c>
      <c r="G260" t="str">
        <f>_xlfn.XLOOKUP(Sales7[[#This Row],[Order ID]],ST[Order ID],ST[Employee ID])</f>
        <v>E08</v>
      </c>
      <c r="H260" t="str">
        <f>_xlfn.XLOOKUP(G260,SM[Employee ID],SM[Salesperson])</f>
        <v>Neha Joshi</v>
      </c>
      <c r="I260" t="str">
        <f>_xlfn.XLOOKUP(G260,SM[Employee ID],SM[Region])</f>
        <v>West</v>
      </c>
      <c r="J260" t="str">
        <f>_xlfn.XLOOKUP(G260,SM[Employee ID],SM[State/City])</f>
        <v>Ahmedabad</v>
      </c>
      <c r="K260" s="2">
        <f>_xlfn.XLOOKUP(Sales7[[#This Row],[Order ID]],ST[Order ID],ST[Units Sold])</f>
        <v>10</v>
      </c>
      <c r="L260">
        <f t="shared" si="4"/>
        <v>110100</v>
      </c>
    </row>
    <row r="261" spans="1:12" x14ac:dyDescent="0.35">
      <c r="A261" s="7">
        <v>1262</v>
      </c>
      <c r="B261" s="1">
        <v>45219</v>
      </c>
      <c r="C261" s="2" t="s">
        <v>8</v>
      </c>
      <c r="D261" t="str">
        <f>_xlfn.XLOOKUP(Merged_Sales_Data!C261,PM[Product ID],PM[Product Name])</f>
        <v>USB-C Hub</v>
      </c>
      <c r="E261" t="str">
        <f>VLOOKUP(C261,PM[],3,FALSE)</f>
        <v>Accessories</v>
      </c>
      <c r="F261">
        <f>_xlfn.XLOOKUP(C261,PM[Product ID],PM[Unit Price (₹)])</f>
        <v>880</v>
      </c>
      <c r="G261" t="str">
        <f>_xlfn.XLOOKUP(Sales7[[#This Row],[Order ID]],ST[Order ID],ST[Employee ID])</f>
        <v>E08</v>
      </c>
      <c r="H261" t="str">
        <f>_xlfn.XLOOKUP(G261,SM[Employee ID],SM[Salesperson])</f>
        <v>Neha Joshi</v>
      </c>
      <c r="I261" t="str">
        <f>_xlfn.XLOOKUP(G261,SM[Employee ID],SM[Region])</f>
        <v>West</v>
      </c>
      <c r="J261" t="str">
        <f>_xlfn.XLOOKUP(G261,SM[Employee ID],SM[State/City])</f>
        <v>Ahmedabad</v>
      </c>
      <c r="K261" s="2">
        <f>_xlfn.XLOOKUP(Sales7[[#This Row],[Order ID]],ST[Order ID],ST[Units Sold])</f>
        <v>1</v>
      </c>
      <c r="L261">
        <f t="shared" si="4"/>
        <v>880</v>
      </c>
    </row>
    <row r="262" spans="1:12" x14ac:dyDescent="0.35">
      <c r="A262" s="7">
        <v>1254</v>
      </c>
      <c r="B262" s="1">
        <v>45221</v>
      </c>
      <c r="C262" s="2" t="s">
        <v>10</v>
      </c>
      <c r="D262" t="str">
        <f>_xlfn.XLOOKUP(Merged_Sales_Data!C262,PM[Product ID],PM[Product Name])</f>
        <v>Filing Cabinet</v>
      </c>
      <c r="E262" t="str">
        <f>VLOOKUP(C262,PM[],3,FALSE)</f>
        <v>Furniture</v>
      </c>
      <c r="F262">
        <f>_xlfn.XLOOKUP(C262,PM[Product ID],PM[Unit Price (₹)])</f>
        <v>4070</v>
      </c>
      <c r="G262" t="str">
        <f>_xlfn.XLOOKUP(Sales7[[#This Row],[Order ID]],ST[Order ID],ST[Employee ID])</f>
        <v>E08</v>
      </c>
      <c r="H262" t="str">
        <f>_xlfn.XLOOKUP(G262,SM[Employee ID],SM[Salesperson])</f>
        <v>Neha Joshi</v>
      </c>
      <c r="I262" t="str">
        <f>_xlfn.XLOOKUP(G262,SM[Employee ID],SM[Region])</f>
        <v>West</v>
      </c>
      <c r="J262" t="str">
        <f>_xlfn.XLOOKUP(G262,SM[Employee ID],SM[State/City])</f>
        <v>Ahmedabad</v>
      </c>
      <c r="K262" s="2">
        <f>_xlfn.XLOOKUP(Sales7[[#This Row],[Order ID]],ST[Order ID],ST[Units Sold])</f>
        <v>4</v>
      </c>
      <c r="L262">
        <f t="shared" si="4"/>
        <v>16280</v>
      </c>
    </row>
    <row r="263" spans="1:12" x14ac:dyDescent="0.35">
      <c r="A263" s="7">
        <v>1263</v>
      </c>
      <c r="B263" s="1">
        <v>45221</v>
      </c>
      <c r="C263" s="2" t="s">
        <v>5</v>
      </c>
      <c r="D263" t="str">
        <f>_xlfn.XLOOKUP(Merged_Sales_Data!C263,PM[Product ID],PM[Product Name])</f>
        <v>Ergo Office Chair</v>
      </c>
      <c r="E263" t="str">
        <f>VLOOKUP(C263,PM[],3,FALSE)</f>
        <v>Office Supplies</v>
      </c>
      <c r="F263">
        <f>_xlfn.XLOOKUP(C263,PM[Product ID],PM[Unit Price (₹)])</f>
        <v>6750</v>
      </c>
      <c r="G263" t="str">
        <f>_xlfn.XLOOKUP(Sales7[[#This Row],[Order ID]],ST[Order ID],ST[Employee ID])</f>
        <v>E02</v>
      </c>
      <c r="H263" t="str">
        <f>_xlfn.XLOOKUP(G263,SM[Employee ID],SM[Salesperson])</f>
        <v>Ishita Verma</v>
      </c>
      <c r="I263" t="str">
        <f>_xlfn.XLOOKUP(G263,SM[Employee ID],SM[Region])</f>
        <v>North</v>
      </c>
      <c r="J263" t="str">
        <f>_xlfn.XLOOKUP(G263,SM[Employee ID],SM[State/City])</f>
        <v>Chandigarh</v>
      </c>
      <c r="K263" s="2">
        <f>_xlfn.XLOOKUP(Sales7[[#This Row],[Order ID]],ST[Order ID],ST[Units Sold])</f>
        <v>10</v>
      </c>
      <c r="L263">
        <f t="shared" si="4"/>
        <v>67500</v>
      </c>
    </row>
    <row r="264" spans="1:12" x14ac:dyDescent="0.35">
      <c r="A264" s="7">
        <v>1270</v>
      </c>
      <c r="B264" s="1">
        <v>45221</v>
      </c>
      <c r="C264" s="2" t="s">
        <v>10</v>
      </c>
      <c r="D264" t="str">
        <f>_xlfn.XLOOKUP(Merged_Sales_Data!C264,PM[Product ID],PM[Product Name])</f>
        <v>Filing Cabinet</v>
      </c>
      <c r="E264" t="str">
        <f>VLOOKUP(C264,PM[],3,FALSE)</f>
        <v>Furniture</v>
      </c>
      <c r="F264">
        <f>_xlfn.XLOOKUP(C264,PM[Product ID],PM[Unit Price (₹)])</f>
        <v>4070</v>
      </c>
      <c r="G264" t="str">
        <f>_xlfn.XLOOKUP(Sales7[[#This Row],[Order ID]],ST[Order ID],ST[Employee ID])</f>
        <v>E02</v>
      </c>
      <c r="H264" t="str">
        <f>_xlfn.XLOOKUP(G264,SM[Employee ID],SM[Salesperson])</f>
        <v>Ishita Verma</v>
      </c>
      <c r="I264" t="str">
        <f>_xlfn.XLOOKUP(G264,SM[Employee ID],SM[Region])</f>
        <v>North</v>
      </c>
      <c r="J264" t="str">
        <f>_xlfn.XLOOKUP(G264,SM[Employee ID],SM[State/City])</f>
        <v>Chandigarh</v>
      </c>
      <c r="K264" s="2">
        <f>_xlfn.XLOOKUP(Sales7[[#This Row],[Order ID]],ST[Order ID],ST[Units Sold])</f>
        <v>8</v>
      </c>
      <c r="L264">
        <f t="shared" si="4"/>
        <v>32560</v>
      </c>
    </row>
    <row r="265" spans="1:12" x14ac:dyDescent="0.35">
      <c r="A265" s="7">
        <v>1259</v>
      </c>
      <c r="B265" s="1">
        <v>45222</v>
      </c>
      <c r="C265" s="2" t="s">
        <v>12</v>
      </c>
      <c r="D265" t="str">
        <f>_xlfn.XLOOKUP(Merged_Sales_Data!C265,PM[Product ID],PM[Product Name])</f>
        <v>Bookshelf Unit</v>
      </c>
      <c r="E265" t="str">
        <f>VLOOKUP(C265,PM[],3,FALSE)</f>
        <v>Furniture</v>
      </c>
      <c r="F265">
        <f>_xlfn.XLOOKUP(C265,PM[Product ID],PM[Unit Price (₹)])</f>
        <v>3910</v>
      </c>
      <c r="G265" t="str">
        <f>_xlfn.XLOOKUP(Sales7[[#This Row],[Order ID]],ST[Order ID],ST[Employee ID])</f>
        <v>E05</v>
      </c>
      <c r="H265" t="str">
        <f>_xlfn.XLOOKUP(G265,SM[Employee ID],SM[Salesperson])</f>
        <v>Karan Malhotra</v>
      </c>
      <c r="I265" t="str">
        <f>_xlfn.XLOOKUP(G265,SM[Employee ID],SM[Region])</f>
        <v>East</v>
      </c>
      <c r="J265" t="str">
        <f>_xlfn.XLOOKUP(G265,SM[Employee ID],SM[State/City])</f>
        <v>Kolkata</v>
      </c>
      <c r="K265" s="2">
        <f>_xlfn.XLOOKUP(Sales7[[#This Row],[Order ID]],ST[Order ID],ST[Units Sold])</f>
        <v>8</v>
      </c>
      <c r="L265">
        <f t="shared" si="4"/>
        <v>31280</v>
      </c>
    </row>
    <row r="266" spans="1:12" x14ac:dyDescent="0.35">
      <c r="A266" s="7">
        <v>1261</v>
      </c>
      <c r="B266" s="1">
        <v>45222</v>
      </c>
      <c r="C266" s="2" t="s">
        <v>12</v>
      </c>
      <c r="D266" t="str">
        <f>_xlfn.XLOOKUP(Merged_Sales_Data!C266,PM[Product ID],PM[Product Name])</f>
        <v>Bookshelf Unit</v>
      </c>
      <c r="E266" t="str">
        <f>VLOOKUP(C266,PM[],3,FALSE)</f>
        <v>Furniture</v>
      </c>
      <c r="F266">
        <f>_xlfn.XLOOKUP(C266,PM[Product ID],PM[Unit Price (₹)])</f>
        <v>3910</v>
      </c>
      <c r="G266" t="str">
        <f>_xlfn.XLOOKUP(Sales7[[#This Row],[Order ID]],ST[Order ID],ST[Employee ID])</f>
        <v>E07</v>
      </c>
      <c r="H266" t="str">
        <f>_xlfn.XLOOKUP(G266,SM[Employee ID],SM[Salesperson])</f>
        <v>Aditya Kapoor</v>
      </c>
      <c r="I266" t="str">
        <f>_xlfn.XLOOKUP(G266,SM[Employee ID],SM[Region])</f>
        <v>West</v>
      </c>
      <c r="J266" t="str">
        <f>_xlfn.XLOOKUP(G266,SM[Employee ID],SM[State/City])</f>
        <v>Mumbai</v>
      </c>
      <c r="K266" s="2">
        <f>_xlfn.XLOOKUP(Sales7[[#This Row],[Order ID]],ST[Order ID],ST[Units Sold])</f>
        <v>10</v>
      </c>
      <c r="L266">
        <f t="shared" si="4"/>
        <v>39100</v>
      </c>
    </row>
    <row r="267" spans="1:12" x14ac:dyDescent="0.35">
      <c r="A267" s="7">
        <v>1246</v>
      </c>
      <c r="B267" s="1">
        <v>45224</v>
      </c>
      <c r="C267" s="2" t="s">
        <v>11</v>
      </c>
      <c r="D267" t="str">
        <f>_xlfn.XLOOKUP(Merged_Sales_Data!C267,PM[Product ID],PM[Product Name])</f>
        <v>Bluetooth Speaker</v>
      </c>
      <c r="E267" t="str">
        <f>VLOOKUP(C267,PM[],3,FALSE)</f>
        <v>Electronics</v>
      </c>
      <c r="F267">
        <f>_xlfn.XLOOKUP(C267,PM[Product ID],PM[Unit Price (₹)])</f>
        <v>1430</v>
      </c>
      <c r="G267" t="str">
        <f>_xlfn.XLOOKUP(Sales7[[#This Row],[Order ID]],ST[Order ID],ST[Employee ID])</f>
        <v>E03</v>
      </c>
      <c r="H267" t="str">
        <f>_xlfn.XLOOKUP(G267,SM[Employee ID],SM[Salesperson])</f>
        <v>Rohan Mehta</v>
      </c>
      <c r="I267" t="str">
        <f>_xlfn.XLOOKUP(G267,SM[Employee ID],SM[Region])</f>
        <v>South</v>
      </c>
      <c r="J267" t="str">
        <f>_xlfn.XLOOKUP(G267,SM[Employee ID],SM[State/City])</f>
        <v>Bengaluru</v>
      </c>
      <c r="K267" s="2">
        <f>_xlfn.XLOOKUP(Sales7[[#This Row],[Order ID]],ST[Order ID],ST[Units Sold])</f>
        <v>2</v>
      </c>
      <c r="L267">
        <f t="shared" si="4"/>
        <v>2860</v>
      </c>
    </row>
    <row r="268" spans="1:12" x14ac:dyDescent="0.35">
      <c r="A268" s="7">
        <v>1258</v>
      </c>
      <c r="B268" s="1">
        <v>45225</v>
      </c>
      <c r="C268" s="2" t="s">
        <v>11</v>
      </c>
      <c r="D268" t="str">
        <f>_xlfn.XLOOKUP(Merged_Sales_Data!C268,PM[Product ID],PM[Product Name])</f>
        <v>Bluetooth Speaker</v>
      </c>
      <c r="E268" t="str">
        <f>VLOOKUP(C268,PM[],3,FALSE)</f>
        <v>Electronics</v>
      </c>
      <c r="F268">
        <f>_xlfn.XLOOKUP(C268,PM[Product ID],PM[Unit Price (₹)])</f>
        <v>1430</v>
      </c>
      <c r="G268" t="str">
        <f>_xlfn.XLOOKUP(Sales7[[#This Row],[Order ID]],ST[Order ID],ST[Employee ID])</f>
        <v>E03</v>
      </c>
      <c r="H268" t="str">
        <f>_xlfn.XLOOKUP(G268,SM[Employee ID],SM[Salesperson])</f>
        <v>Rohan Mehta</v>
      </c>
      <c r="I268" t="str">
        <f>_xlfn.XLOOKUP(G268,SM[Employee ID],SM[Region])</f>
        <v>South</v>
      </c>
      <c r="J268" t="str">
        <f>_xlfn.XLOOKUP(G268,SM[Employee ID],SM[State/City])</f>
        <v>Bengaluru</v>
      </c>
      <c r="K268" s="2">
        <f>_xlfn.XLOOKUP(Sales7[[#This Row],[Order ID]],ST[Order ID],ST[Units Sold])</f>
        <v>5</v>
      </c>
      <c r="L268">
        <f t="shared" si="4"/>
        <v>7150</v>
      </c>
    </row>
    <row r="269" spans="1:12" x14ac:dyDescent="0.35">
      <c r="A269" s="7">
        <v>1248</v>
      </c>
      <c r="B269" s="1">
        <v>45226</v>
      </c>
      <c r="C269" s="2" t="s">
        <v>20</v>
      </c>
      <c r="D269" t="str">
        <f>_xlfn.XLOOKUP(Merged_Sales_Data!C269,PM[Product ID],PM[Product Name])</f>
        <v>Standing Desk</v>
      </c>
      <c r="E269" t="str">
        <f>VLOOKUP(C269,PM[],3,FALSE)</f>
        <v>Office Supplies</v>
      </c>
      <c r="F269">
        <f>_xlfn.XLOOKUP(C269,PM[Product ID],PM[Unit Price (₹)])</f>
        <v>11010</v>
      </c>
      <c r="G269" t="str">
        <f>_xlfn.XLOOKUP(Sales7[[#This Row],[Order ID]],ST[Order ID],ST[Employee ID])</f>
        <v>E01</v>
      </c>
      <c r="H269" t="str">
        <f>_xlfn.XLOOKUP(G269,SM[Employee ID],SM[Salesperson])</f>
        <v>Aarav Sharma</v>
      </c>
      <c r="I269" t="str">
        <f>_xlfn.XLOOKUP(G269,SM[Employee ID],SM[Region])</f>
        <v>North</v>
      </c>
      <c r="J269" t="str">
        <f>_xlfn.XLOOKUP(G269,SM[Employee ID],SM[State/City])</f>
        <v>Lucknow</v>
      </c>
      <c r="K269" s="2">
        <f>_xlfn.XLOOKUP(Sales7[[#This Row],[Order ID]],ST[Order ID],ST[Units Sold])</f>
        <v>2</v>
      </c>
      <c r="L269">
        <f t="shared" si="4"/>
        <v>22020</v>
      </c>
    </row>
    <row r="270" spans="1:12" x14ac:dyDescent="0.35">
      <c r="A270" s="7">
        <v>1251</v>
      </c>
      <c r="B270" s="1">
        <v>45227</v>
      </c>
      <c r="C270" s="2" t="s">
        <v>14</v>
      </c>
      <c r="D270" t="str">
        <f>_xlfn.XLOOKUP(Merged_Sales_Data!C270,PM[Product ID],PM[Product Name])</f>
        <v>Laptop Backpack</v>
      </c>
      <c r="E270" t="str">
        <f>VLOOKUP(C270,PM[],3,FALSE)</f>
        <v>Accessories</v>
      </c>
      <c r="F270">
        <f>_xlfn.XLOOKUP(C270,PM[Product ID],PM[Unit Price (₹)])</f>
        <v>1110</v>
      </c>
      <c r="G270" t="str">
        <f>_xlfn.XLOOKUP(Sales7[[#This Row],[Order ID]],ST[Order ID],ST[Employee ID])</f>
        <v>E07</v>
      </c>
      <c r="H270" t="str">
        <f>_xlfn.XLOOKUP(G270,SM[Employee ID],SM[Salesperson])</f>
        <v>Aditya Kapoor</v>
      </c>
      <c r="I270" t="str">
        <f>_xlfn.XLOOKUP(G270,SM[Employee ID],SM[Region])</f>
        <v>West</v>
      </c>
      <c r="J270" t="str">
        <f>_xlfn.XLOOKUP(G270,SM[Employee ID],SM[State/City])</f>
        <v>Mumbai</v>
      </c>
      <c r="K270" s="2">
        <f>_xlfn.XLOOKUP(Sales7[[#This Row],[Order ID]],ST[Order ID],ST[Units Sold])</f>
        <v>3</v>
      </c>
      <c r="L270">
        <f t="shared" si="4"/>
        <v>3330</v>
      </c>
    </row>
    <row r="271" spans="1:12" x14ac:dyDescent="0.35">
      <c r="A271" s="7">
        <v>1260</v>
      </c>
      <c r="B271" s="1">
        <v>45227</v>
      </c>
      <c r="C271" s="2" t="s">
        <v>11</v>
      </c>
      <c r="D271" t="str">
        <f>_xlfn.XLOOKUP(Merged_Sales_Data!C271,PM[Product ID],PM[Product Name])</f>
        <v>Bluetooth Speaker</v>
      </c>
      <c r="E271" t="str">
        <f>VLOOKUP(C271,PM[],3,FALSE)</f>
        <v>Electronics</v>
      </c>
      <c r="F271">
        <f>_xlfn.XLOOKUP(C271,PM[Product ID],PM[Unit Price (₹)])</f>
        <v>1430</v>
      </c>
      <c r="G271" t="str">
        <f>_xlfn.XLOOKUP(Sales7[[#This Row],[Order ID]],ST[Order ID],ST[Employee ID])</f>
        <v>E07</v>
      </c>
      <c r="H271" t="str">
        <f>_xlfn.XLOOKUP(G271,SM[Employee ID],SM[Salesperson])</f>
        <v>Aditya Kapoor</v>
      </c>
      <c r="I271" t="str">
        <f>_xlfn.XLOOKUP(G271,SM[Employee ID],SM[Region])</f>
        <v>West</v>
      </c>
      <c r="J271" t="str">
        <f>_xlfn.XLOOKUP(G271,SM[Employee ID],SM[State/City])</f>
        <v>Mumbai</v>
      </c>
      <c r="K271" s="2">
        <f>_xlfn.XLOOKUP(Sales7[[#This Row],[Order ID]],ST[Order ID],ST[Units Sold])</f>
        <v>3</v>
      </c>
      <c r="L271">
        <f t="shared" si="4"/>
        <v>4290</v>
      </c>
    </row>
    <row r="272" spans="1:12" x14ac:dyDescent="0.35">
      <c r="A272" s="7">
        <v>1237</v>
      </c>
      <c r="B272" s="1">
        <v>45229</v>
      </c>
      <c r="C272" s="2" t="s">
        <v>8</v>
      </c>
      <c r="D272" t="str">
        <f>_xlfn.XLOOKUP(Merged_Sales_Data!C272,PM[Product ID],PM[Product Name])</f>
        <v>USB-C Hub</v>
      </c>
      <c r="E272" t="str">
        <f>VLOOKUP(C272,PM[],3,FALSE)</f>
        <v>Accessories</v>
      </c>
      <c r="F272">
        <f>_xlfn.XLOOKUP(C272,PM[Product ID],PM[Unit Price (₹)])</f>
        <v>880</v>
      </c>
      <c r="G272" t="str">
        <f>_xlfn.XLOOKUP(Sales7[[#This Row],[Order ID]],ST[Order ID],ST[Employee ID])</f>
        <v>E05</v>
      </c>
      <c r="H272" t="str">
        <f>_xlfn.XLOOKUP(G272,SM[Employee ID],SM[Salesperson])</f>
        <v>Karan Malhotra</v>
      </c>
      <c r="I272" t="str">
        <f>_xlfn.XLOOKUP(G272,SM[Employee ID],SM[Region])</f>
        <v>East</v>
      </c>
      <c r="J272" t="str">
        <f>_xlfn.XLOOKUP(G272,SM[Employee ID],SM[State/City])</f>
        <v>Kolkata</v>
      </c>
      <c r="K272" s="2">
        <f>_xlfn.XLOOKUP(Sales7[[#This Row],[Order ID]],ST[Order ID],ST[Units Sold])</f>
        <v>1</v>
      </c>
      <c r="L272">
        <f t="shared" si="4"/>
        <v>880</v>
      </c>
    </row>
    <row r="273" spans="1:12" x14ac:dyDescent="0.35">
      <c r="A273" s="7">
        <v>1242</v>
      </c>
      <c r="B273" s="1">
        <v>45229</v>
      </c>
      <c r="C273" s="2" t="s">
        <v>18</v>
      </c>
      <c r="D273" t="str">
        <f>_xlfn.XLOOKUP(Merged_Sales_Data!C273,PM[Product ID],PM[Product Name])</f>
        <v>LED Monitor 24"</v>
      </c>
      <c r="E273" t="str">
        <f>VLOOKUP(C273,PM[],3,FALSE)</f>
        <v>Electronics</v>
      </c>
      <c r="F273">
        <f>_xlfn.XLOOKUP(C273,PM[Product ID],PM[Unit Price (₹)])</f>
        <v>7700</v>
      </c>
      <c r="G273" t="str">
        <f>_xlfn.XLOOKUP(Sales7[[#This Row],[Order ID]],ST[Order ID],ST[Employee ID])</f>
        <v>E02</v>
      </c>
      <c r="H273" t="str">
        <f>_xlfn.XLOOKUP(G273,SM[Employee ID],SM[Salesperson])</f>
        <v>Ishita Verma</v>
      </c>
      <c r="I273" t="str">
        <f>_xlfn.XLOOKUP(G273,SM[Employee ID],SM[Region])</f>
        <v>North</v>
      </c>
      <c r="J273" t="str">
        <f>_xlfn.XLOOKUP(G273,SM[Employee ID],SM[State/City])</f>
        <v>Chandigarh</v>
      </c>
      <c r="K273" s="2">
        <f>_xlfn.XLOOKUP(Sales7[[#This Row],[Order ID]],ST[Order ID],ST[Units Sold])</f>
        <v>5</v>
      </c>
      <c r="L273">
        <f t="shared" si="4"/>
        <v>38500</v>
      </c>
    </row>
    <row r="274" spans="1:12" x14ac:dyDescent="0.35">
      <c r="A274" s="7">
        <v>1245</v>
      </c>
      <c r="B274" s="1">
        <v>45229</v>
      </c>
      <c r="C274" s="2" t="s">
        <v>10</v>
      </c>
      <c r="D274" t="str">
        <f>_xlfn.XLOOKUP(Merged_Sales_Data!C274,PM[Product ID],PM[Product Name])</f>
        <v>Filing Cabinet</v>
      </c>
      <c r="E274" t="str">
        <f>VLOOKUP(C274,PM[],3,FALSE)</f>
        <v>Furniture</v>
      </c>
      <c r="F274">
        <f>_xlfn.XLOOKUP(C274,PM[Product ID],PM[Unit Price (₹)])</f>
        <v>4070</v>
      </c>
      <c r="G274" t="str">
        <f>_xlfn.XLOOKUP(Sales7[[#This Row],[Order ID]],ST[Order ID],ST[Employee ID])</f>
        <v>E03</v>
      </c>
      <c r="H274" t="str">
        <f>_xlfn.XLOOKUP(G274,SM[Employee ID],SM[Salesperson])</f>
        <v>Rohan Mehta</v>
      </c>
      <c r="I274" t="str">
        <f>_xlfn.XLOOKUP(G274,SM[Employee ID],SM[Region])</f>
        <v>South</v>
      </c>
      <c r="J274" t="str">
        <f>_xlfn.XLOOKUP(G274,SM[Employee ID],SM[State/City])</f>
        <v>Bengaluru</v>
      </c>
      <c r="K274" s="2">
        <f>_xlfn.XLOOKUP(Sales7[[#This Row],[Order ID]],ST[Order ID],ST[Units Sold])</f>
        <v>2</v>
      </c>
      <c r="L274">
        <f t="shared" si="4"/>
        <v>8140</v>
      </c>
    </row>
    <row r="275" spans="1:12" x14ac:dyDescent="0.35">
      <c r="A275" s="7">
        <v>1241</v>
      </c>
      <c r="B275" s="1">
        <v>45230</v>
      </c>
      <c r="C275" s="2" t="s">
        <v>11</v>
      </c>
      <c r="D275" t="str">
        <f>_xlfn.XLOOKUP(Merged_Sales_Data!C275,PM[Product ID],PM[Product Name])</f>
        <v>Bluetooth Speaker</v>
      </c>
      <c r="E275" t="str">
        <f>VLOOKUP(C275,PM[],3,FALSE)</f>
        <v>Electronics</v>
      </c>
      <c r="F275">
        <f>_xlfn.XLOOKUP(C275,PM[Product ID],PM[Unit Price (₹)])</f>
        <v>1430</v>
      </c>
      <c r="G275" t="str">
        <f>_xlfn.XLOOKUP(Sales7[[#This Row],[Order ID]],ST[Order ID],ST[Employee ID])</f>
        <v>E04</v>
      </c>
      <c r="H275" t="str">
        <f>_xlfn.XLOOKUP(G275,SM[Employee ID],SM[Salesperson])</f>
        <v>Priya Nair</v>
      </c>
      <c r="I275" t="str">
        <f>_xlfn.XLOOKUP(G275,SM[Employee ID],SM[Region])</f>
        <v>South</v>
      </c>
      <c r="J275" t="str">
        <f>_xlfn.XLOOKUP(G275,SM[Employee ID],SM[State/City])</f>
        <v>Bengaluru</v>
      </c>
      <c r="K275" s="2">
        <f>_xlfn.XLOOKUP(Sales7[[#This Row],[Order ID]],ST[Order ID],ST[Units Sold])</f>
        <v>5</v>
      </c>
      <c r="L275">
        <f t="shared" si="4"/>
        <v>7150</v>
      </c>
    </row>
    <row r="276" spans="1:12" x14ac:dyDescent="0.35">
      <c r="A276" s="7">
        <v>1279</v>
      </c>
      <c r="B276" s="1">
        <v>45231</v>
      </c>
      <c r="C276" s="2" t="s">
        <v>20</v>
      </c>
      <c r="D276" t="str">
        <f>_xlfn.XLOOKUP(Merged_Sales_Data!C276,PM[Product ID],PM[Product Name])</f>
        <v>Standing Desk</v>
      </c>
      <c r="E276" t="str">
        <f>VLOOKUP(C276,PM[],3,FALSE)</f>
        <v>Office Supplies</v>
      </c>
      <c r="F276">
        <f>_xlfn.XLOOKUP(C276,PM[Product ID],PM[Unit Price (₹)])</f>
        <v>11010</v>
      </c>
      <c r="G276" t="str">
        <f>_xlfn.XLOOKUP(Sales7[[#This Row],[Order ID]],ST[Order ID],ST[Employee ID])</f>
        <v>E06</v>
      </c>
      <c r="H276" t="str">
        <f>_xlfn.XLOOKUP(G276,SM[Employee ID],SM[Salesperson])</f>
        <v>Sneha Roy</v>
      </c>
      <c r="I276" t="str">
        <f>_xlfn.XLOOKUP(G276,SM[Employee ID],SM[Region])</f>
        <v>East</v>
      </c>
      <c r="J276" t="str">
        <f>_xlfn.XLOOKUP(G276,SM[Employee ID],SM[State/City])</f>
        <v>Kolkata</v>
      </c>
      <c r="K276" s="2">
        <f>_xlfn.XLOOKUP(Sales7[[#This Row],[Order ID]],ST[Order ID],ST[Units Sold])</f>
        <v>2</v>
      </c>
      <c r="L276">
        <f t="shared" si="4"/>
        <v>22020</v>
      </c>
    </row>
    <row r="277" spans="1:12" x14ac:dyDescent="0.35">
      <c r="A277" s="7">
        <v>1297</v>
      </c>
      <c r="B277" s="1">
        <v>45231</v>
      </c>
      <c r="C277" s="2" t="s">
        <v>5</v>
      </c>
      <c r="D277" t="str">
        <f>_xlfn.XLOOKUP(Merged_Sales_Data!C277,PM[Product ID],PM[Product Name])</f>
        <v>Ergo Office Chair</v>
      </c>
      <c r="E277" t="str">
        <f>VLOOKUP(C277,PM[],3,FALSE)</f>
        <v>Office Supplies</v>
      </c>
      <c r="F277">
        <f>_xlfn.XLOOKUP(C277,PM[Product ID],PM[Unit Price (₹)])</f>
        <v>6750</v>
      </c>
      <c r="G277" t="str">
        <f>_xlfn.XLOOKUP(Sales7[[#This Row],[Order ID]],ST[Order ID],ST[Employee ID])</f>
        <v>E02</v>
      </c>
      <c r="H277" t="str">
        <f>_xlfn.XLOOKUP(G277,SM[Employee ID],SM[Salesperson])</f>
        <v>Ishita Verma</v>
      </c>
      <c r="I277" t="str">
        <f>_xlfn.XLOOKUP(G277,SM[Employee ID],SM[Region])</f>
        <v>North</v>
      </c>
      <c r="J277" t="str">
        <f>_xlfn.XLOOKUP(G277,SM[Employee ID],SM[State/City])</f>
        <v>Chandigarh</v>
      </c>
      <c r="K277" s="2">
        <f>_xlfn.XLOOKUP(Sales7[[#This Row],[Order ID]],ST[Order ID],ST[Units Sold])</f>
        <v>5</v>
      </c>
      <c r="L277">
        <f t="shared" si="4"/>
        <v>33750</v>
      </c>
    </row>
    <row r="278" spans="1:12" x14ac:dyDescent="0.35">
      <c r="A278" s="7">
        <v>1285</v>
      </c>
      <c r="B278" s="1">
        <v>45232</v>
      </c>
      <c r="C278" s="2" t="s">
        <v>20</v>
      </c>
      <c r="D278" t="str">
        <f>_xlfn.XLOOKUP(Merged_Sales_Data!C278,PM[Product ID],PM[Product Name])</f>
        <v>Standing Desk</v>
      </c>
      <c r="E278" t="str">
        <f>VLOOKUP(C278,PM[],3,FALSE)</f>
        <v>Office Supplies</v>
      </c>
      <c r="F278">
        <f>_xlfn.XLOOKUP(C278,PM[Product ID],PM[Unit Price (₹)])</f>
        <v>11010</v>
      </c>
      <c r="G278" t="str">
        <f>_xlfn.XLOOKUP(Sales7[[#This Row],[Order ID]],ST[Order ID],ST[Employee ID])</f>
        <v>E01</v>
      </c>
      <c r="H278" t="str">
        <f>_xlfn.XLOOKUP(G278,SM[Employee ID],SM[Salesperson])</f>
        <v>Aarav Sharma</v>
      </c>
      <c r="I278" t="str">
        <f>_xlfn.XLOOKUP(G278,SM[Employee ID],SM[Region])</f>
        <v>North</v>
      </c>
      <c r="J278" t="str">
        <f>_xlfn.XLOOKUP(G278,SM[Employee ID],SM[State/City])</f>
        <v>Lucknow</v>
      </c>
      <c r="K278" s="2">
        <f>_xlfn.XLOOKUP(Sales7[[#This Row],[Order ID]],ST[Order ID],ST[Units Sold])</f>
        <v>5</v>
      </c>
      <c r="L278">
        <f t="shared" si="4"/>
        <v>55050</v>
      </c>
    </row>
    <row r="279" spans="1:12" x14ac:dyDescent="0.35">
      <c r="A279" s="7">
        <v>1300</v>
      </c>
      <c r="B279" s="1">
        <v>45232</v>
      </c>
      <c r="C279" s="2" t="s">
        <v>18</v>
      </c>
      <c r="D279" t="str">
        <f>_xlfn.XLOOKUP(Merged_Sales_Data!C279,PM[Product ID],PM[Product Name])</f>
        <v>LED Monitor 24"</v>
      </c>
      <c r="E279" t="str">
        <f>VLOOKUP(C279,PM[],3,FALSE)</f>
        <v>Electronics</v>
      </c>
      <c r="F279">
        <f>_xlfn.XLOOKUP(C279,PM[Product ID],PM[Unit Price (₹)])</f>
        <v>7700</v>
      </c>
      <c r="G279" t="str">
        <f>_xlfn.XLOOKUP(Sales7[[#This Row],[Order ID]],ST[Order ID],ST[Employee ID])</f>
        <v>E02</v>
      </c>
      <c r="H279" t="str">
        <f>_xlfn.XLOOKUP(G279,SM[Employee ID],SM[Salesperson])</f>
        <v>Ishita Verma</v>
      </c>
      <c r="I279" t="str">
        <f>_xlfn.XLOOKUP(G279,SM[Employee ID],SM[Region])</f>
        <v>North</v>
      </c>
      <c r="J279" t="str">
        <f>_xlfn.XLOOKUP(G279,SM[Employee ID],SM[State/City])</f>
        <v>Chandigarh</v>
      </c>
      <c r="K279" s="2">
        <f>_xlfn.XLOOKUP(Sales7[[#This Row],[Order ID]],ST[Order ID],ST[Units Sold])</f>
        <v>1</v>
      </c>
      <c r="L279">
        <f t="shared" si="4"/>
        <v>7700</v>
      </c>
    </row>
    <row r="280" spans="1:12" x14ac:dyDescent="0.35">
      <c r="A280" s="7">
        <v>1298</v>
      </c>
      <c r="B280" s="1">
        <v>45233</v>
      </c>
      <c r="C280" s="2" t="s">
        <v>5</v>
      </c>
      <c r="D280" t="str">
        <f>_xlfn.XLOOKUP(Merged_Sales_Data!C280,PM[Product ID],PM[Product Name])</f>
        <v>Ergo Office Chair</v>
      </c>
      <c r="E280" t="str">
        <f>VLOOKUP(C280,PM[],3,FALSE)</f>
        <v>Office Supplies</v>
      </c>
      <c r="F280">
        <f>_xlfn.XLOOKUP(C280,PM[Product ID],PM[Unit Price (₹)])</f>
        <v>6750</v>
      </c>
      <c r="G280" t="str">
        <f>_xlfn.XLOOKUP(Sales7[[#This Row],[Order ID]],ST[Order ID],ST[Employee ID])</f>
        <v>E06</v>
      </c>
      <c r="H280" t="str">
        <f>_xlfn.XLOOKUP(G280,SM[Employee ID],SM[Salesperson])</f>
        <v>Sneha Roy</v>
      </c>
      <c r="I280" t="str">
        <f>_xlfn.XLOOKUP(G280,SM[Employee ID],SM[Region])</f>
        <v>East</v>
      </c>
      <c r="J280" t="str">
        <f>_xlfn.XLOOKUP(G280,SM[Employee ID],SM[State/City])</f>
        <v>Kolkata</v>
      </c>
      <c r="K280" s="2">
        <f>_xlfn.XLOOKUP(Sales7[[#This Row],[Order ID]],ST[Order ID],ST[Units Sold])</f>
        <v>10</v>
      </c>
      <c r="L280">
        <f t="shared" si="4"/>
        <v>67500</v>
      </c>
    </row>
    <row r="281" spans="1:12" x14ac:dyDescent="0.35">
      <c r="A281" s="7">
        <v>1310</v>
      </c>
      <c r="B281" s="1">
        <v>45233</v>
      </c>
      <c r="C281" s="2" t="s">
        <v>11</v>
      </c>
      <c r="D281" t="str">
        <f>_xlfn.XLOOKUP(Merged_Sales_Data!C281,PM[Product ID],PM[Product Name])</f>
        <v>Bluetooth Speaker</v>
      </c>
      <c r="E281" t="str">
        <f>VLOOKUP(C281,PM[],3,FALSE)</f>
        <v>Electronics</v>
      </c>
      <c r="F281">
        <f>_xlfn.XLOOKUP(C281,PM[Product ID],PM[Unit Price (₹)])</f>
        <v>1430</v>
      </c>
      <c r="G281" t="str">
        <f>_xlfn.XLOOKUP(Sales7[[#This Row],[Order ID]],ST[Order ID],ST[Employee ID])</f>
        <v>E04</v>
      </c>
      <c r="H281" t="str">
        <f>_xlfn.XLOOKUP(G281,SM[Employee ID],SM[Salesperson])</f>
        <v>Priya Nair</v>
      </c>
      <c r="I281" t="str">
        <f>_xlfn.XLOOKUP(G281,SM[Employee ID],SM[Region])</f>
        <v>South</v>
      </c>
      <c r="J281" t="str">
        <f>_xlfn.XLOOKUP(G281,SM[Employee ID],SM[State/City])</f>
        <v>Bengaluru</v>
      </c>
      <c r="K281" s="2">
        <f>_xlfn.XLOOKUP(Sales7[[#This Row],[Order ID]],ST[Order ID],ST[Units Sold])</f>
        <v>5</v>
      </c>
      <c r="L281">
        <f t="shared" si="4"/>
        <v>7150</v>
      </c>
    </row>
    <row r="282" spans="1:12" x14ac:dyDescent="0.35">
      <c r="A282" s="7">
        <v>1301</v>
      </c>
      <c r="B282" s="1">
        <v>45234</v>
      </c>
      <c r="C282" s="2" t="s">
        <v>14</v>
      </c>
      <c r="D282" t="str">
        <f>_xlfn.XLOOKUP(Merged_Sales_Data!C282,PM[Product ID],PM[Product Name])</f>
        <v>Laptop Backpack</v>
      </c>
      <c r="E282" t="str">
        <f>VLOOKUP(C282,PM[],3,FALSE)</f>
        <v>Accessories</v>
      </c>
      <c r="F282">
        <f>_xlfn.XLOOKUP(C282,PM[Product ID],PM[Unit Price (₹)])</f>
        <v>1110</v>
      </c>
      <c r="G282" t="str">
        <f>_xlfn.XLOOKUP(Sales7[[#This Row],[Order ID]],ST[Order ID],ST[Employee ID])</f>
        <v>E05</v>
      </c>
      <c r="H282" t="str">
        <f>_xlfn.XLOOKUP(G282,SM[Employee ID],SM[Salesperson])</f>
        <v>Karan Malhotra</v>
      </c>
      <c r="I282" t="str">
        <f>_xlfn.XLOOKUP(G282,SM[Employee ID],SM[Region])</f>
        <v>East</v>
      </c>
      <c r="J282" t="str">
        <f>_xlfn.XLOOKUP(G282,SM[Employee ID],SM[State/City])</f>
        <v>Kolkata</v>
      </c>
      <c r="K282" s="2">
        <f>_xlfn.XLOOKUP(Sales7[[#This Row],[Order ID]],ST[Order ID],ST[Units Sold])</f>
        <v>1</v>
      </c>
      <c r="L282">
        <f t="shared" si="4"/>
        <v>1110</v>
      </c>
    </row>
    <row r="283" spans="1:12" x14ac:dyDescent="0.35">
      <c r="A283" s="7">
        <v>1292</v>
      </c>
      <c r="B283" s="1">
        <v>45235</v>
      </c>
      <c r="C283" s="2" t="s">
        <v>14</v>
      </c>
      <c r="D283" t="str">
        <f>_xlfn.XLOOKUP(Merged_Sales_Data!C283,PM[Product ID],PM[Product Name])</f>
        <v>Laptop Backpack</v>
      </c>
      <c r="E283" t="str">
        <f>VLOOKUP(C283,PM[],3,FALSE)</f>
        <v>Accessories</v>
      </c>
      <c r="F283">
        <f>_xlfn.XLOOKUP(C283,PM[Product ID],PM[Unit Price (₹)])</f>
        <v>1110</v>
      </c>
      <c r="G283" t="str">
        <f>_xlfn.XLOOKUP(Sales7[[#This Row],[Order ID]],ST[Order ID],ST[Employee ID])</f>
        <v>E02</v>
      </c>
      <c r="H283" t="str">
        <f>_xlfn.XLOOKUP(G283,SM[Employee ID],SM[Salesperson])</f>
        <v>Ishita Verma</v>
      </c>
      <c r="I283" t="str">
        <f>_xlfn.XLOOKUP(G283,SM[Employee ID],SM[Region])</f>
        <v>North</v>
      </c>
      <c r="J283" t="str">
        <f>_xlfn.XLOOKUP(G283,SM[Employee ID],SM[State/City])</f>
        <v>Chandigarh</v>
      </c>
      <c r="K283" s="2">
        <f>_xlfn.XLOOKUP(Sales7[[#This Row],[Order ID]],ST[Order ID],ST[Units Sold])</f>
        <v>1</v>
      </c>
      <c r="L283">
        <f t="shared" si="4"/>
        <v>1110</v>
      </c>
    </row>
    <row r="284" spans="1:12" x14ac:dyDescent="0.35">
      <c r="A284" s="7">
        <v>1287</v>
      </c>
      <c r="B284" s="1">
        <v>45236</v>
      </c>
      <c r="C284" s="2" t="s">
        <v>12</v>
      </c>
      <c r="D284" t="str">
        <f>_xlfn.XLOOKUP(Merged_Sales_Data!C284,PM[Product ID],PM[Product Name])</f>
        <v>Bookshelf Unit</v>
      </c>
      <c r="E284" t="str">
        <f>VLOOKUP(C284,PM[],3,FALSE)</f>
        <v>Furniture</v>
      </c>
      <c r="F284">
        <f>_xlfn.XLOOKUP(C284,PM[Product ID],PM[Unit Price (₹)])</f>
        <v>3910</v>
      </c>
      <c r="G284" t="str">
        <f>_xlfn.XLOOKUP(Sales7[[#This Row],[Order ID]],ST[Order ID],ST[Employee ID])</f>
        <v>E05</v>
      </c>
      <c r="H284" t="str">
        <f>_xlfn.XLOOKUP(G284,SM[Employee ID],SM[Salesperson])</f>
        <v>Karan Malhotra</v>
      </c>
      <c r="I284" t="str">
        <f>_xlfn.XLOOKUP(G284,SM[Employee ID],SM[Region])</f>
        <v>East</v>
      </c>
      <c r="J284" t="str">
        <f>_xlfn.XLOOKUP(G284,SM[Employee ID],SM[State/City])</f>
        <v>Kolkata</v>
      </c>
      <c r="K284" s="2">
        <f>_xlfn.XLOOKUP(Sales7[[#This Row],[Order ID]],ST[Order ID],ST[Units Sold])</f>
        <v>4</v>
      </c>
      <c r="L284">
        <f t="shared" si="4"/>
        <v>15640</v>
      </c>
    </row>
    <row r="285" spans="1:12" x14ac:dyDescent="0.35">
      <c r="A285" s="7">
        <v>1306</v>
      </c>
      <c r="B285" s="1">
        <v>45237</v>
      </c>
      <c r="C285" s="2" t="s">
        <v>21</v>
      </c>
      <c r="D285" t="str">
        <f>_xlfn.XLOOKUP(Merged_Sales_Data!C285,PM[Product ID],PM[Product Name])</f>
        <v>Wireless Mouse</v>
      </c>
      <c r="E285" t="str">
        <f>VLOOKUP(C285,PM[],3,FALSE)</f>
        <v>Electronics</v>
      </c>
      <c r="F285">
        <f>_xlfn.XLOOKUP(C285,PM[Product ID],PM[Unit Price (₹)])</f>
        <v>780</v>
      </c>
      <c r="G285" t="str">
        <f>_xlfn.XLOOKUP(Sales7[[#This Row],[Order ID]],ST[Order ID],ST[Employee ID])</f>
        <v>E05</v>
      </c>
      <c r="H285" t="str">
        <f>_xlfn.XLOOKUP(G285,SM[Employee ID],SM[Salesperson])</f>
        <v>Karan Malhotra</v>
      </c>
      <c r="I285" t="str">
        <f>_xlfn.XLOOKUP(G285,SM[Employee ID],SM[Region])</f>
        <v>East</v>
      </c>
      <c r="J285" t="str">
        <f>_xlfn.XLOOKUP(G285,SM[Employee ID],SM[State/City])</f>
        <v>Kolkata</v>
      </c>
      <c r="K285" s="2">
        <f>_xlfn.XLOOKUP(Sales7[[#This Row],[Order ID]],ST[Order ID],ST[Units Sold])</f>
        <v>3</v>
      </c>
      <c r="L285">
        <f t="shared" si="4"/>
        <v>2340</v>
      </c>
    </row>
    <row r="286" spans="1:12" x14ac:dyDescent="0.35">
      <c r="A286" s="7">
        <v>1294</v>
      </c>
      <c r="B286" s="1">
        <v>45239</v>
      </c>
      <c r="C286" s="2" t="s">
        <v>10</v>
      </c>
      <c r="D286" t="str">
        <f>_xlfn.XLOOKUP(Merged_Sales_Data!C286,PM[Product ID],PM[Product Name])</f>
        <v>Filing Cabinet</v>
      </c>
      <c r="E286" t="str">
        <f>VLOOKUP(C286,PM[],3,FALSE)</f>
        <v>Furniture</v>
      </c>
      <c r="F286">
        <f>_xlfn.XLOOKUP(C286,PM[Product ID],PM[Unit Price (₹)])</f>
        <v>4070</v>
      </c>
      <c r="G286" t="str">
        <f>_xlfn.XLOOKUP(Sales7[[#This Row],[Order ID]],ST[Order ID],ST[Employee ID])</f>
        <v>E02</v>
      </c>
      <c r="H286" t="str">
        <f>_xlfn.XLOOKUP(G286,SM[Employee ID],SM[Salesperson])</f>
        <v>Ishita Verma</v>
      </c>
      <c r="I286" t="str">
        <f>_xlfn.XLOOKUP(G286,SM[Employee ID],SM[Region])</f>
        <v>North</v>
      </c>
      <c r="J286" t="str">
        <f>_xlfn.XLOOKUP(G286,SM[Employee ID],SM[State/City])</f>
        <v>Chandigarh</v>
      </c>
      <c r="K286" s="2">
        <f>_xlfn.XLOOKUP(Sales7[[#This Row],[Order ID]],ST[Order ID],ST[Units Sold])</f>
        <v>1</v>
      </c>
      <c r="L286">
        <f t="shared" si="4"/>
        <v>4070</v>
      </c>
    </row>
    <row r="287" spans="1:12" x14ac:dyDescent="0.35">
      <c r="A287" s="7">
        <v>1309</v>
      </c>
      <c r="B287" s="1">
        <v>45239</v>
      </c>
      <c r="C287" s="2" t="s">
        <v>21</v>
      </c>
      <c r="D287" t="str">
        <f>_xlfn.XLOOKUP(Merged_Sales_Data!C287,PM[Product ID],PM[Product Name])</f>
        <v>Wireless Mouse</v>
      </c>
      <c r="E287" t="str">
        <f>VLOOKUP(C287,PM[],3,FALSE)</f>
        <v>Electronics</v>
      </c>
      <c r="F287">
        <f>_xlfn.XLOOKUP(C287,PM[Product ID],PM[Unit Price (₹)])</f>
        <v>780</v>
      </c>
      <c r="G287" t="str">
        <f>_xlfn.XLOOKUP(Sales7[[#This Row],[Order ID]],ST[Order ID],ST[Employee ID])</f>
        <v>E06</v>
      </c>
      <c r="H287" t="str">
        <f>_xlfn.XLOOKUP(G287,SM[Employee ID],SM[Salesperson])</f>
        <v>Sneha Roy</v>
      </c>
      <c r="I287" t="str">
        <f>_xlfn.XLOOKUP(G287,SM[Employee ID],SM[Region])</f>
        <v>East</v>
      </c>
      <c r="J287" t="str">
        <f>_xlfn.XLOOKUP(G287,SM[Employee ID],SM[State/City])</f>
        <v>Kolkata</v>
      </c>
      <c r="K287" s="2">
        <f>_xlfn.XLOOKUP(Sales7[[#This Row],[Order ID]],ST[Order ID],ST[Units Sold])</f>
        <v>4</v>
      </c>
      <c r="L287">
        <f t="shared" si="4"/>
        <v>3120</v>
      </c>
    </row>
    <row r="288" spans="1:12" x14ac:dyDescent="0.35">
      <c r="A288" s="7">
        <v>1293</v>
      </c>
      <c r="B288" s="1">
        <v>45242</v>
      </c>
      <c r="C288" s="2" t="s">
        <v>10</v>
      </c>
      <c r="D288" t="str">
        <f>_xlfn.XLOOKUP(Merged_Sales_Data!C288,PM[Product ID],PM[Product Name])</f>
        <v>Filing Cabinet</v>
      </c>
      <c r="E288" t="str">
        <f>VLOOKUP(C288,PM[],3,FALSE)</f>
        <v>Furniture</v>
      </c>
      <c r="F288">
        <f>_xlfn.XLOOKUP(C288,PM[Product ID],PM[Unit Price (₹)])</f>
        <v>4070</v>
      </c>
      <c r="G288" t="str">
        <f>_xlfn.XLOOKUP(Sales7[[#This Row],[Order ID]],ST[Order ID],ST[Employee ID])</f>
        <v>E04</v>
      </c>
      <c r="H288" t="str">
        <f>_xlfn.XLOOKUP(G288,SM[Employee ID],SM[Salesperson])</f>
        <v>Priya Nair</v>
      </c>
      <c r="I288" t="str">
        <f>_xlfn.XLOOKUP(G288,SM[Employee ID],SM[Region])</f>
        <v>South</v>
      </c>
      <c r="J288" t="str">
        <f>_xlfn.XLOOKUP(G288,SM[Employee ID],SM[State/City])</f>
        <v>Bengaluru</v>
      </c>
      <c r="K288" s="2">
        <f>_xlfn.XLOOKUP(Sales7[[#This Row],[Order ID]],ST[Order ID],ST[Units Sold])</f>
        <v>6</v>
      </c>
      <c r="L288">
        <f t="shared" si="4"/>
        <v>24420</v>
      </c>
    </row>
    <row r="289" spans="1:12" x14ac:dyDescent="0.35">
      <c r="A289" s="7">
        <v>1296</v>
      </c>
      <c r="B289" s="1">
        <v>45242</v>
      </c>
      <c r="C289" s="2" t="s">
        <v>10</v>
      </c>
      <c r="D289" t="str">
        <f>_xlfn.XLOOKUP(Merged_Sales_Data!C289,PM[Product ID],PM[Product Name])</f>
        <v>Filing Cabinet</v>
      </c>
      <c r="E289" t="str">
        <f>VLOOKUP(C289,PM[],3,FALSE)</f>
        <v>Furniture</v>
      </c>
      <c r="F289">
        <f>_xlfn.XLOOKUP(C289,PM[Product ID],PM[Unit Price (₹)])</f>
        <v>4070</v>
      </c>
      <c r="G289" t="str">
        <f>_xlfn.XLOOKUP(Sales7[[#This Row],[Order ID]],ST[Order ID],ST[Employee ID])</f>
        <v>E05</v>
      </c>
      <c r="H289" t="str">
        <f>_xlfn.XLOOKUP(G289,SM[Employee ID],SM[Salesperson])</f>
        <v>Karan Malhotra</v>
      </c>
      <c r="I289" t="str">
        <f>_xlfn.XLOOKUP(G289,SM[Employee ID],SM[Region])</f>
        <v>East</v>
      </c>
      <c r="J289" t="str">
        <f>_xlfn.XLOOKUP(G289,SM[Employee ID],SM[State/City])</f>
        <v>Kolkata</v>
      </c>
      <c r="K289" s="2">
        <f>_xlfn.XLOOKUP(Sales7[[#This Row],[Order ID]],ST[Order ID],ST[Units Sold])</f>
        <v>10</v>
      </c>
      <c r="L289">
        <f t="shared" si="4"/>
        <v>40700</v>
      </c>
    </row>
    <row r="290" spans="1:12" x14ac:dyDescent="0.35">
      <c r="A290" s="7">
        <v>1308</v>
      </c>
      <c r="B290" s="1">
        <v>45242</v>
      </c>
      <c r="C290" s="2" t="s">
        <v>11</v>
      </c>
      <c r="D290" t="str">
        <f>_xlfn.XLOOKUP(Merged_Sales_Data!C290,PM[Product ID],PM[Product Name])</f>
        <v>Bluetooth Speaker</v>
      </c>
      <c r="E290" t="str">
        <f>VLOOKUP(C290,PM[],3,FALSE)</f>
        <v>Electronics</v>
      </c>
      <c r="F290">
        <f>_xlfn.XLOOKUP(C290,PM[Product ID],PM[Unit Price (₹)])</f>
        <v>1430</v>
      </c>
      <c r="G290" t="str">
        <f>_xlfn.XLOOKUP(Sales7[[#This Row],[Order ID]],ST[Order ID],ST[Employee ID])</f>
        <v>E06</v>
      </c>
      <c r="H290" t="str">
        <f>_xlfn.XLOOKUP(G290,SM[Employee ID],SM[Salesperson])</f>
        <v>Sneha Roy</v>
      </c>
      <c r="I290" t="str">
        <f>_xlfn.XLOOKUP(G290,SM[Employee ID],SM[Region])</f>
        <v>East</v>
      </c>
      <c r="J290" t="str">
        <f>_xlfn.XLOOKUP(G290,SM[Employee ID],SM[State/City])</f>
        <v>Kolkata</v>
      </c>
      <c r="K290" s="2">
        <f>_xlfn.XLOOKUP(Sales7[[#This Row],[Order ID]],ST[Order ID],ST[Units Sold])</f>
        <v>10</v>
      </c>
      <c r="L290">
        <f t="shared" si="4"/>
        <v>14300</v>
      </c>
    </row>
    <row r="291" spans="1:12" x14ac:dyDescent="0.35">
      <c r="A291" s="7">
        <v>1278</v>
      </c>
      <c r="B291" s="1">
        <v>45243</v>
      </c>
      <c r="C291" s="2" t="s">
        <v>11</v>
      </c>
      <c r="D291" t="str">
        <f>_xlfn.XLOOKUP(Merged_Sales_Data!C291,PM[Product ID],PM[Product Name])</f>
        <v>Bluetooth Speaker</v>
      </c>
      <c r="E291" t="str">
        <f>VLOOKUP(C291,PM[],3,FALSE)</f>
        <v>Electronics</v>
      </c>
      <c r="F291">
        <f>_xlfn.XLOOKUP(C291,PM[Product ID],PM[Unit Price (₹)])</f>
        <v>1430</v>
      </c>
      <c r="G291" t="str">
        <f>_xlfn.XLOOKUP(Sales7[[#This Row],[Order ID]],ST[Order ID],ST[Employee ID])</f>
        <v>E08</v>
      </c>
      <c r="H291" t="str">
        <f>_xlfn.XLOOKUP(G291,SM[Employee ID],SM[Salesperson])</f>
        <v>Neha Joshi</v>
      </c>
      <c r="I291" t="str">
        <f>_xlfn.XLOOKUP(G291,SM[Employee ID],SM[Region])</f>
        <v>West</v>
      </c>
      <c r="J291" t="str">
        <f>_xlfn.XLOOKUP(G291,SM[Employee ID],SM[State/City])</f>
        <v>Ahmedabad</v>
      </c>
      <c r="K291" s="2">
        <f>_xlfn.XLOOKUP(Sales7[[#This Row],[Order ID]],ST[Order ID],ST[Units Sold])</f>
        <v>2</v>
      </c>
      <c r="L291">
        <f t="shared" si="4"/>
        <v>2860</v>
      </c>
    </row>
    <row r="292" spans="1:12" x14ac:dyDescent="0.35">
      <c r="A292" s="7">
        <v>1302</v>
      </c>
      <c r="B292" s="1">
        <v>45243</v>
      </c>
      <c r="C292" s="2" t="s">
        <v>8</v>
      </c>
      <c r="D292" t="str">
        <f>_xlfn.XLOOKUP(Merged_Sales_Data!C292,PM[Product ID],PM[Product Name])</f>
        <v>USB-C Hub</v>
      </c>
      <c r="E292" t="str">
        <f>VLOOKUP(C292,PM[],3,FALSE)</f>
        <v>Accessories</v>
      </c>
      <c r="F292">
        <f>_xlfn.XLOOKUP(C292,PM[Product ID],PM[Unit Price (₹)])</f>
        <v>880</v>
      </c>
      <c r="G292" t="str">
        <f>_xlfn.XLOOKUP(Sales7[[#This Row],[Order ID]],ST[Order ID],ST[Employee ID])</f>
        <v>E04</v>
      </c>
      <c r="H292" t="str">
        <f>_xlfn.XLOOKUP(G292,SM[Employee ID],SM[Salesperson])</f>
        <v>Priya Nair</v>
      </c>
      <c r="I292" t="str">
        <f>_xlfn.XLOOKUP(G292,SM[Employee ID],SM[Region])</f>
        <v>South</v>
      </c>
      <c r="J292" t="str">
        <f>_xlfn.XLOOKUP(G292,SM[Employee ID],SM[State/City])</f>
        <v>Bengaluru</v>
      </c>
      <c r="K292" s="2">
        <f>_xlfn.XLOOKUP(Sales7[[#This Row],[Order ID]],ST[Order ID],ST[Units Sold])</f>
        <v>1</v>
      </c>
      <c r="L292">
        <f t="shared" si="4"/>
        <v>880</v>
      </c>
    </row>
    <row r="293" spans="1:12" x14ac:dyDescent="0.35">
      <c r="A293" s="7">
        <v>1299</v>
      </c>
      <c r="B293" s="1">
        <v>45244</v>
      </c>
      <c r="C293" s="2" t="s">
        <v>20</v>
      </c>
      <c r="D293" t="str">
        <f>_xlfn.XLOOKUP(Merged_Sales_Data!C293,PM[Product ID],PM[Product Name])</f>
        <v>Standing Desk</v>
      </c>
      <c r="E293" t="str">
        <f>VLOOKUP(C293,PM[],3,FALSE)</f>
        <v>Office Supplies</v>
      </c>
      <c r="F293">
        <f>_xlfn.XLOOKUP(C293,PM[Product ID],PM[Unit Price (₹)])</f>
        <v>11010</v>
      </c>
      <c r="G293" t="str">
        <f>_xlfn.XLOOKUP(Sales7[[#This Row],[Order ID]],ST[Order ID],ST[Employee ID])</f>
        <v>E08</v>
      </c>
      <c r="H293" t="str">
        <f>_xlfn.XLOOKUP(G293,SM[Employee ID],SM[Salesperson])</f>
        <v>Neha Joshi</v>
      </c>
      <c r="I293" t="str">
        <f>_xlfn.XLOOKUP(G293,SM[Employee ID],SM[Region])</f>
        <v>West</v>
      </c>
      <c r="J293" t="str">
        <f>_xlfn.XLOOKUP(G293,SM[Employee ID],SM[State/City])</f>
        <v>Ahmedabad</v>
      </c>
      <c r="K293" s="2">
        <f>_xlfn.XLOOKUP(Sales7[[#This Row],[Order ID]],ST[Order ID],ST[Units Sold])</f>
        <v>10</v>
      </c>
      <c r="L293">
        <f t="shared" si="4"/>
        <v>110100</v>
      </c>
    </row>
    <row r="294" spans="1:12" x14ac:dyDescent="0.35">
      <c r="A294" s="7">
        <v>1305</v>
      </c>
      <c r="B294" s="1">
        <v>45244</v>
      </c>
      <c r="C294" s="2" t="s">
        <v>14</v>
      </c>
      <c r="D294" t="str">
        <f>_xlfn.XLOOKUP(Merged_Sales_Data!C294,PM[Product ID],PM[Product Name])</f>
        <v>Laptop Backpack</v>
      </c>
      <c r="E294" t="str">
        <f>VLOOKUP(C294,PM[],3,FALSE)</f>
        <v>Accessories</v>
      </c>
      <c r="F294">
        <f>_xlfn.XLOOKUP(C294,PM[Product ID],PM[Unit Price (₹)])</f>
        <v>1110</v>
      </c>
      <c r="G294" t="str">
        <f>_xlfn.XLOOKUP(Sales7[[#This Row],[Order ID]],ST[Order ID],ST[Employee ID])</f>
        <v>E02</v>
      </c>
      <c r="H294" t="str">
        <f>_xlfn.XLOOKUP(G294,SM[Employee ID],SM[Salesperson])</f>
        <v>Ishita Verma</v>
      </c>
      <c r="I294" t="str">
        <f>_xlfn.XLOOKUP(G294,SM[Employee ID],SM[Region])</f>
        <v>North</v>
      </c>
      <c r="J294" t="str">
        <f>_xlfn.XLOOKUP(G294,SM[Employee ID],SM[State/City])</f>
        <v>Chandigarh</v>
      </c>
      <c r="K294" s="2">
        <f>_xlfn.XLOOKUP(Sales7[[#This Row],[Order ID]],ST[Order ID],ST[Units Sold])</f>
        <v>8</v>
      </c>
      <c r="L294">
        <f t="shared" si="4"/>
        <v>8880</v>
      </c>
    </row>
    <row r="295" spans="1:12" x14ac:dyDescent="0.35">
      <c r="A295" s="7">
        <v>1276</v>
      </c>
      <c r="B295" s="1">
        <v>45245</v>
      </c>
      <c r="C295" s="2" t="s">
        <v>10</v>
      </c>
      <c r="D295" t="str">
        <f>_xlfn.XLOOKUP(Merged_Sales_Data!C295,PM[Product ID],PM[Product Name])</f>
        <v>Filing Cabinet</v>
      </c>
      <c r="E295" t="str">
        <f>VLOOKUP(C295,PM[],3,FALSE)</f>
        <v>Furniture</v>
      </c>
      <c r="F295">
        <f>_xlfn.XLOOKUP(C295,PM[Product ID],PM[Unit Price (₹)])</f>
        <v>4070</v>
      </c>
      <c r="G295" t="str">
        <f>_xlfn.XLOOKUP(Sales7[[#This Row],[Order ID]],ST[Order ID],ST[Employee ID])</f>
        <v>E05</v>
      </c>
      <c r="H295" t="str">
        <f>_xlfn.XLOOKUP(G295,SM[Employee ID],SM[Salesperson])</f>
        <v>Karan Malhotra</v>
      </c>
      <c r="I295" t="str">
        <f>_xlfn.XLOOKUP(G295,SM[Employee ID],SM[Region])</f>
        <v>East</v>
      </c>
      <c r="J295" t="str">
        <f>_xlfn.XLOOKUP(G295,SM[Employee ID],SM[State/City])</f>
        <v>Kolkata</v>
      </c>
      <c r="K295" s="2">
        <f>_xlfn.XLOOKUP(Sales7[[#This Row],[Order ID]],ST[Order ID],ST[Units Sold])</f>
        <v>2</v>
      </c>
      <c r="L295">
        <f t="shared" si="4"/>
        <v>8140</v>
      </c>
    </row>
    <row r="296" spans="1:12" x14ac:dyDescent="0.35">
      <c r="A296" s="7">
        <v>1275</v>
      </c>
      <c r="B296" s="1">
        <v>45249</v>
      </c>
      <c r="C296" s="2" t="s">
        <v>14</v>
      </c>
      <c r="D296" t="str">
        <f>_xlfn.XLOOKUP(Merged_Sales_Data!C296,PM[Product ID],PM[Product Name])</f>
        <v>Laptop Backpack</v>
      </c>
      <c r="E296" t="str">
        <f>VLOOKUP(C296,PM[],3,FALSE)</f>
        <v>Accessories</v>
      </c>
      <c r="F296">
        <f>_xlfn.XLOOKUP(C296,PM[Product ID],PM[Unit Price (₹)])</f>
        <v>1110</v>
      </c>
      <c r="G296" t="str">
        <f>_xlfn.XLOOKUP(Sales7[[#This Row],[Order ID]],ST[Order ID],ST[Employee ID])</f>
        <v>E02</v>
      </c>
      <c r="H296" t="str">
        <f>_xlfn.XLOOKUP(G296,SM[Employee ID],SM[Salesperson])</f>
        <v>Ishita Verma</v>
      </c>
      <c r="I296" t="str">
        <f>_xlfn.XLOOKUP(G296,SM[Employee ID],SM[Region])</f>
        <v>North</v>
      </c>
      <c r="J296" t="str">
        <f>_xlfn.XLOOKUP(G296,SM[Employee ID],SM[State/City])</f>
        <v>Chandigarh</v>
      </c>
      <c r="K296" s="2">
        <f>_xlfn.XLOOKUP(Sales7[[#This Row],[Order ID]],ST[Order ID],ST[Units Sold])</f>
        <v>3</v>
      </c>
      <c r="L296">
        <f t="shared" si="4"/>
        <v>3330</v>
      </c>
    </row>
    <row r="297" spans="1:12" x14ac:dyDescent="0.35">
      <c r="A297" s="7">
        <v>1280</v>
      </c>
      <c r="B297" s="1">
        <v>45249</v>
      </c>
      <c r="C297" s="2" t="s">
        <v>20</v>
      </c>
      <c r="D297" t="str">
        <f>_xlfn.XLOOKUP(Merged_Sales_Data!C297,PM[Product ID],PM[Product Name])</f>
        <v>Standing Desk</v>
      </c>
      <c r="E297" t="str">
        <f>VLOOKUP(C297,PM[],3,FALSE)</f>
        <v>Office Supplies</v>
      </c>
      <c r="F297">
        <f>_xlfn.XLOOKUP(C297,PM[Product ID],PM[Unit Price (₹)])</f>
        <v>11010</v>
      </c>
      <c r="G297" t="str">
        <f>_xlfn.XLOOKUP(Sales7[[#This Row],[Order ID]],ST[Order ID],ST[Employee ID])</f>
        <v>E07</v>
      </c>
      <c r="H297" t="str">
        <f>_xlfn.XLOOKUP(G297,SM[Employee ID],SM[Salesperson])</f>
        <v>Aditya Kapoor</v>
      </c>
      <c r="I297" t="str">
        <f>_xlfn.XLOOKUP(G297,SM[Employee ID],SM[Region])</f>
        <v>West</v>
      </c>
      <c r="J297" t="str">
        <f>_xlfn.XLOOKUP(G297,SM[Employee ID],SM[State/City])</f>
        <v>Mumbai</v>
      </c>
      <c r="K297" s="2">
        <f>_xlfn.XLOOKUP(Sales7[[#This Row],[Order ID]],ST[Order ID],ST[Units Sold])</f>
        <v>1</v>
      </c>
      <c r="L297">
        <f t="shared" si="4"/>
        <v>11010</v>
      </c>
    </row>
    <row r="298" spans="1:12" x14ac:dyDescent="0.35">
      <c r="A298" s="7">
        <v>1282</v>
      </c>
      <c r="B298" s="1">
        <v>45251</v>
      </c>
      <c r="C298" s="2" t="s">
        <v>12</v>
      </c>
      <c r="D298" t="str">
        <f>_xlfn.XLOOKUP(Merged_Sales_Data!C298,PM[Product ID],PM[Product Name])</f>
        <v>Bookshelf Unit</v>
      </c>
      <c r="E298" t="str">
        <f>VLOOKUP(C298,PM[],3,FALSE)</f>
        <v>Furniture</v>
      </c>
      <c r="F298">
        <f>_xlfn.XLOOKUP(C298,PM[Product ID],PM[Unit Price (₹)])</f>
        <v>3910</v>
      </c>
      <c r="G298" t="str">
        <f>_xlfn.XLOOKUP(Sales7[[#This Row],[Order ID]],ST[Order ID],ST[Employee ID])</f>
        <v>E04</v>
      </c>
      <c r="H298" t="str">
        <f>_xlfn.XLOOKUP(G298,SM[Employee ID],SM[Salesperson])</f>
        <v>Priya Nair</v>
      </c>
      <c r="I298" t="str">
        <f>_xlfn.XLOOKUP(G298,SM[Employee ID],SM[Region])</f>
        <v>South</v>
      </c>
      <c r="J298" t="str">
        <f>_xlfn.XLOOKUP(G298,SM[Employee ID],SM[State/City])</f>
        <v>Bengaluru</v>
      </c>
      <c r="K298" s="2">
        <f>_xlfn.XLOOKUP(Sales7[[#This Row],[Order ID]],ST[Order ID],ST[Units Sold])</f>
        <v>2</v>
      </c>
      <c r="L298">
        <f t="shared" si="4"/>
        <v>7820</v>
      </c>
    </row>
    <row r="299" spans="1:12" x14ac:dyDescent="0.35">
      <c r="A299" s="7">
        <v>1284</v>
      </c>
      <c r="B299" s="1">
        <v>45251</v>
      </c>
      <c r="C299" s="2" t="s">
        <v>11</v>
      </c>
      <c r="D299" t="str">
        <f>_xlfn.XLOOKUP(Merged_Sales_Data!C299,PM[Product ID],PM[Product Name])</f>
        <v>Bluetooth Speaker</v>
      </c>
      <c r="E299" t="str">
        <f>VLOOKUP(C299,PM[],3,FALSE)</f>
        <v>Electronics</v>
      </c>
      <c r="F299">
        <f>_xlfn.XLOOKUP(C299,PM[Product ID],PM[Unit Price (₹)])</f>
        <v>1430</v>
      </c>
      <c r="G299" t="str">
        <f>_xlfn.XLOOKUP(Sales7[[#This Row],[Order ID]],ST[Order ID],ST[Employee ID])</f>
        <v>E03</v>
      </c>
      <c r="H299" t="str">
        <f>_xlfn.XLOOKUP(G299,SM[Employee ID],SM[Salesperson])</f>
        <v>Rohan Mehta</v>
      </c>
      <c r="I299" t="str">
        <f>_xlfn.XLOOKUP(G299,SM[Employee ID],SM[Region])</f>
        <v>South</v>
      </c>
      <c r="J299" t="str">
        <f>_xlfn.XLOOKUP(G299,SM[Employee ID],SM[State/City])</f>
        <v>Bengaluru</v>
      </c>
      <c r="K299" s="2">
        <f>_xlfn.XLOOKUP(Sales7[[#This Row],[Order ID]],ST[Order ID],ST[Units Sold])</f>
        <v>10</v>
      </c>
      <c r="L299">
        <f t="shared" si="4"/>
        <v>14300</v>
      </c>
    </row>
    <row r="300" spans="1:12" x14ac:dyDescent="0.35">
      <c r="A300" s="7">
        <v>1304</v>
      </c>
      <c r="B300" s="1">
        <v>45251</v>
      </c>
      <c r="C300" s="2" t="s">
        <v>18</v>
      </c>
      <c r="D300" t="str">
        <f>_xlfn.XLOOKUP(Merged_Sales_Data!C300,PM[Product ID],PM[Product Name])</f>
        <v>LED Monitor 24"</v>
      </c>
      <c r="E300" t="str">
        <f>VLOOKUP(C300,PM[],3,FALSE)</f>
        <v>Electronics</v>
      </c>
      <c r="F300">
        <f>_xlfn.XLOOKUP(C300,PM[Product ID],PM[Unit Price (₹)])</f>
        <v>7700</v>
      </c>
      <c r="G300" t="str">
        <f>_xlfn.XLOOKUP(Sales7[[#This Row],[Order ID]],ST[Order ID],ST[Employee ID])</f>
        <v>E07</v>
      </c>
      <c r="H300" t="str">
        <f>_xlfn.XLOOKUP(G300,SM[Employee ID],SM[Salesperson])</f>
        <v>Aditya Kapoor</v>
      </c>
      <c r="I300" t="str">
        <f>_xlfn.XLOOKUP(G300,SM[Employee ID],SM[Region])</f>
        <v>West</v>
      </c>
      <c r="J300" t="str">
        <f>_xlfn.XLOOKUP(G300,SM[Employee ID],SM[State/City])</f>
        <v>Mumbai</v>
      </c>
      <c r="K300" s="2">
        <f>_xlfn.XLOOKUP(Sales7[[#This Row],[Order ID]],ST[Order ID],ST[Units Sold])</f>
        <v>4</v>
      </c>
      <c r="L300">
        <f t="shared" si="4"/>
        <v>30800</v>
      </c>
    </row>
    <row r="301" spans="1:12" x14ac:dyDescent="0.35">
      <c r="A301" s="7">
        <v>1295</v>
      </c>
      <c r="B301" s="1">
        <v>45252</v>
      </c>
      <c r="C301" s="2" t="s">
        <v>14</v>
      </c>
      <c r="D301" t="str">
        <f>_xlfn.XLOOKUP(Merged_Sales_Data!C301,PM[Product ID],PM[Product Name])</f>
        <v>Laptop Backpack</v>
      </c>
      <c r="E301" t="str">
        <f>VLOOKUP(C301,PM[],3,FALSE)</f>
        <v>Accessories</v>
      </c>
      <c r="F301">
        <f>_xlfn.XLOOKUP(C301,PM[Product ID],PM[Unit Price (₹)])</f>
        <v>1110</v>
      </c>
      <c r="G301" t="str">
        <f>_xlfn.XLOOKUP(Sales7[[#This Row],[Order ID]],ST[Order ID],ST[Employee ID])</f>
        <v>E02</v>
      </c>
      <c r="H301" t="str">
        <f>_xlfn.XLOOKUP(G301,SM[Employee ID],SM[Salesperson])</f>
        <v>Ishita Verma</v>
      </c>
      <c r="I301" t="str">
        <f>_xlfn.XLOOKUP(G301,SM[Employee ID],SM[Region])</f>
        <v>North</v>
      </c>
      <c r="J301" t="str">
        <f>_xlfn.XLOOKUP(G301,SM[Employee ID],SM[State/City])</f>
        <v>Chandigarh</v>
      </c>
      <c r="K301" s="2">
        <f>_xlfn.XLOOKUP(Sales7[[#This Row],[Order ID]],ST[Order ID],ST[Units Sold])</f>
        <v>3</v>
      </c>
      <c r="L301">
        <f t="shared" si="4"/>
        <v>3330</v>
      </c>
    </row>
    <row r="302" spans="1:12" x14ac:dyDescent="0.35">
      <c r="A302" s="7">
        <v>1303</v>
      </c>
      <c r="B302" s="1">
        <v>45254</v>
      </c>
      <c r="C302" s="2" t="s">
        <v>12</v>
      </c>
      <c r="D302" t="str">
        <f>_xlfn.XLOOKUP(Merged_Sales_Data!C302,PM[Product ID],PM[Product Name])</f>
        <v>Bookshelf Unit</v>
      </c>
      <c r="E302" t="str">
        <f>VLOOKUP(C302,PM[],3,FALSE)</f>
        <v>Furniture</v>
      </c>
      <c r="F302">
        <f>_xlfn.XLOOKUP(C302,PM[Product ID],PM[Unit Price (₹)])</f>
        <v>3910</v>
      </c>
      <c r="G302" t="str">
        <f>_xlfn.XLOOKUP(Sales7[[#This Row],[Order ID]],ST[Order ID],ST[Employee ID])</f>
        <v>E08</v>
      </c>
      <c r="H302" t="str">
        <f>_xlfn.XLOOKUP(G302,SM[Employee ID],SM[Salesperson])</f>
        <v>Neha Joshi</v>
      </c>
      <c r="I302" t="str">
        <f>_xlfn.XLOOKUP(G302,SM[Employee ID],SM[Region])</f>
        <v>West</v>
      </c>
      <c r="J302" t="str">
        <f>_xlfn.XLOOKUP(G302,SM[Employee ID],SM[State/City])</f>
        <v>Ahmedabad</v>
      </c>
      <c r="K302" s="2">
        <f>_xlfn.XLOOKUP(Sales7[[#This Row],[Order ID]],ST[Order ID],ST[Units Sold])</f>
        <v>10</v>
      </c>
      <c r="L302">
        <f t="shared" si="4"/>
        <v>39100</v>
      </c>
    </row>
    <row r="303" spans="1:12" x14ac:dyDescent="0.35">
      <c r="A303" s="7">
        <v>1281</v>
      </c>
      <c r="B303" s="1">
        <v>45255</v>
      </c>
      <c r="C303" s="2" t="s">
        <v>14</v>
      </c>
      <c r="D303" t="str">
        <f>_xlfn.XLOOKUP(Merged_Sales_Data!C303,PM[Product ID],PM[Product Name])</f>
        <v>Laptop Backpack</v>
      </c>
      <c r="E303" t="str">
        <f>VLOOKUP(C303,PM[],3,FALSE)</f>
        <v>Accessories</v>
      </c>
      <c r="F303">
        <f>_xlfn.XLOOKUP(C303,PM[Product ID],PM[Unit Price (₹)])</f>
        <v>1110</v>
      </c>
      <c r="G303" t="str">
        <f>_xlfn.XLOOKUP(Sales7[[#This Row],[Order ID]],ST[Order ID],ST[Employee ID])</f>
        <v>E01</v>
      </c>
      <c r="H303" t="str">
        <f>_xlfn.XLOOKUP(G303,SM[Employee ID],SM[Salesperson])</f>
        <v>Aarav Sharma</v>
      </c>
      <c r="I303" t="str">
        <f>_xlfn.XLOOKUP(G303,SM[Employee ID],SM[Region])</f>
        <v>North</v>
      </c>
      <c r="J303" t="str">
        <f>_xlfn.XLOOKUP(G303,SM[Employee ID],SM[State/City])</f>
        <v>Lucknow</v>
      </c>
      <c r="K303" s="2">
        <f>_xlfn.XLOOKUP(Sales7[[#This Row],[Order ID]],ST[Order ID],ST[Units Sold])</f>
        <v>2</v>
      </c>
      <c r="L303">
        <f t="shared" si="4"/>
        <v>2220</v>
      </c>
    </row>
    <row r="304" spans="1:12" x14ac:dyDescent="0.35">
      <c r="A304" s="7">
        <v>1283</v>
      </c>
      <c r="B304" s="1">
        <v>45255</v>
      </c>
      <c r="C304" s="2" t="s">
        <v>20</v>
      </c>
      <c r="D304" t="str">
        <f>_xlfn.XLOOKUP(Merged_Sales_Data!C304,PM[Product ID],PM[Product Name])</f>
        <v>Standing Desk</v>
      </c>
      <c r="E304" t="str">
        <f>VLOOKUP(C304,PM[],3,FALSE)</f>
        <v>Office Supplies</v>
      </c>
      <c r="F304">
        <f>_xlfn.XLOOKUP(C304,PM[Product ID],PM[Unit Price (₹)])</f>
        <v>11010</v>
      </c>
      <c r="G304" t="str">
        <f>_xlfn.XLOOKUP(Sales7[[#This Row],[Order ID]],ST[Order ID],ST[Employee ID])</f>
        <v>E04</v>
      </c>
      <c r="H304" t="str">
        <f>_xlfn.XLOOKUP(G304,SM[Employee ID],SM[Salesperson])</f>
        <v>Priya Nair</v>
      </c>
      <c r="I304" t="str">
        <f>_xlfn.XLOOKUP(G304,SM[Employee ID],SM[Region])</f>
        <v>South</v>
      </c>
      <c r="J304" t="str">
        <f>_xlfn.XLOOKUP(G304,SM[Employee ID],SM[State/City])</f>
        <v>Bengaluru</v>
      </c>
      <c r="K304" s="2">
        <f>_xlfn.XLOOKUP(Sales7[[#This Row],[Order ID]],ST[Order ID],ST[Units Sold])</f>
        <v>10</v>
      </c>
      <c r="L304">
        <f t="shared" si="4"/>
        <v>110100</v>
      </c>
    </row>
    <row r="305" spans="1:12" x14ac:dyDescent="0.35">
      <c r="A305" s="7">
        <v>1291</v>
      </c>
      <c r="B305" s="1">
        <v>45256</v>
      </c>
      <c r="C305" s="2" t="s">
        <v>20</v>
      </c>
      <c r="D305" t="str">
        <f>_xlfn.XLOOKUP(Merged_Sales_Data!C305,PM[Product ID],PM[Product Name])</f>
        <v>Standing Desk</v>
      </c>
      <c r="E305" t="str">
        <f>VLOOKUP(C305,PM[],3,FALSE)</f>
        <v>Office Supplies</v>
      </c>
      <c r="F305">
        <f>_xlfn.XLOOKUP(C305,PM[Product ID],PM[Unit Price (₹)])</f>
        <v>11010</v>
      </c>
      <c r="G305" t="str">
        <f>_xlfn.XLOOKUP(Sales7[[#This Row],[Order ID]],ST[Order ID],ST[Employee ID])</f>
        <v>E08</v>
      </c>
      <c r="H305" t="str">
        <f>_xlfn.XLOOKUP(G305,SM[Employee ID],SM[Salesperson])</f>
        <v>Neha Joshi</v>
      </c>
      <c r="I305" t="str">
        <f>_xlfn.XLOOKUP(G305,SM[Employee ID],SM[Region])</f>
        <v>West</v>
      </c>
      <c r="J305" t="str">
        <f>_xlfn.XLOOKUP(G305,SM[Employee ID],SM[State/City])</f>
        <v>Ahmedabad</v>
      </c>
      <c r="K305" s="2">
        <f>_xlfn.XLOOKUP(Sales7[[#This Row],[Order ID]],ST[Order ID],ST[Units Sold])</f>
        <v>3</v>
      </c>
      <c r="L305">
        <f t="shared" si="4"/>
        <v>33030</v>
      </c>
    </row>
    <row r="306" spans="1:12" x14ac:dyDescent="0.35">
      <c r="A306" s="7">
        <v>1277</v>
      </c>
      <c r="B306" s="1">
        <v>45258</v>
      </c>
      <c r="C306" s="2" t="s">
        <v>5</v>
      </c>
      <c r="D306" t="str">
        <f>_xlfn.XLOOKUP(Merged_Sales_Data!C306,PM[Product ID],PM[Product Name])</f>
        <v>Ergo Office Chair</v>
      </c>
      <c r="E306" t="str">
        <f>VLOOKUP(C306,PM[],3,FALSE)</f>
        <v>Office Supplies</v>
      </c>
      <c r="F306">
        <f>_xlfn.XLOOKUP(C306,PM[Product ID],PM[Unit Price (₹)])</f>
        <v>6750</v>
      </c>
      <c r="G306" t="str">
        <f>_xlfn.XLOOKUP(Sales7[[#This Row],[Order ID]],ST[Order ID],ST[Employee ID])</f>
        <v>E05</v>
      </c>
      <c r="H306" t="str">
        <f>_xlfn.XLOOKUP(G306,SM[Employee ID],SM[Salesperson])</f>
        <v>Karan Malhotra</v>
      </c>
      <c r="I306" t="str">
        <f>_xlfn.XLOOKUP(G306,SM[Employee ID],SM[Region])</f>
        <v>East</v>
      </c>
      <c r="J306" t="str">
        <f>_xlfn.XLOOKUP(G306,SM[Employee ID],SM[State/City])</f>
        <v>Kolkata</v>
      </c>
      <c r="K306" s="2">
        <f>_xlfn.XLOOKUP(Sales7[[#This Row],[Order ID]],ST[Order ID],ST[Units Sold])</f>
        <v>4</v>
      </c>
      <c r="L306">
        <f t="shared" si="4"/>
        <v>27000</v>
      </c>
    </row>
    <row r="307" spans="1:12" x14ac:dyDescent="0.35">
      <c r="A307" s="7">
        <v>1307</v>
      </c>
      <c r="B307" s="1">
        <v>45258</v>
      </c>
      <c r="C307" s="2" t="s">
        <v>14</v>
      </c>
      <c r="D307" t="str">
        <f>_xlfn.XLOOKUP(Merged_Sales_Data!C307,PM[Product ID],PM[Product Name])</f>
        <v>Laptop Backpack</v>
      </c>
      <c r="E307" t="str">
        <f>VLOOKUP(C307,PM[],3,FALSE)</f>
        <v>Accessories</v>
      </c>
      <c r="F307">
        <f>_xlfn.XLOOKUP(C307,PM[Product ID],PM[Unit Price (₹)])</f>
        <v>1110</v>
      </c>
      <c r="G307" t="str">
        <f>_xlfn.XLOOKUP(Sales7[[#This Row],[Order ID]],ST[Order ID],ST[Employee ID])</f>
        <v>E08</v>
      </c>
      <c r="H307" t="str">
        <f>_xlfn.XLOOKUP(G307,SM[Employee ID],SM[Salesperson])</f>
        <v>Neha Joshi</v>
      </c>
      <c r="I307" t="str">
        <f>_xlfn.XLOOKUP(G307,SM[Employee ID],SM[Region])</f>
        <v>West</v>
      </c>
      <c r="J307" t="str">
        <f>_xlfn.XLOOKUP(G307,SM[Employee ID],SM[State/City])</f>
        <v>Ahmedabad</v>
      </c>
      <c r="K307" s="2">
        <f>_xlfn.XLOOKUP(Sales7[[#This Row],[Order ID]],ST[Order ID],ST[Units Sold])</f>
        <v>2</v>
      </c>
      <c r="L307">
        <f t="shared" si="4"/>
        <v>2220</v>
      </c>
    </row>
    <row r="308" spans="1:12" x14ac:dyDescent="0.35">
      <c r="A308" s="7">
        <v>1288</v>
      </c>
      <c r="B308" s="1">
        <v>45259</v>
      </c>
      <c r="C308" s="2" t="s">
        <v>18</v>
      </c>
      <c r="D308" t="str">
        <f>_xlfn.XLOOKUP(Merged_Sales_Data!C308,PM[Product ID],PM[Product Name])</f>
        <v>LED Monitor 24"</v>
      </c>
      <c r="E308" t="str">
        <f>VLOOKUP(C308,PM[],3,FALSE)</f>
        <v>Electronics</v>
      </c>
      <c r="F308">
        <f>_xlfn.XLOOKUP(C308,PM[Product ID],PM[Unit Price (₹)])</f>
        <v>7700</v>
      </c>
      <c r="G308" t="str">
        <f>_xlfn.XLOOKUP(Sales7[[#This Row],[Order ID]],ST[Order ID],ST[Employee ID])</f>
        <v>E04</v>
      </c>
      <c r="H308" t="str">
        <f>_xlfn.XLOOKUP(G308,SM[Employee ID],SM[Salesperson])</f>
        <v>Priya Nair</v>
      </c>
      <c r="I308" t="str">
        <f>_xlfn.XLOOKUP(G308,SM[Employee ID],SM[Region])</f>
        <v>South</v>
      </c>
      <c r="J308" t="str">
        <f>_xlfn.XLOOKUP(G308,SM[Employee ID],SM[State/City])</f>
        <v>Bengaluru</v>
      </c>
      <c r="K308" s="2">
        <f>_xlfn.XLOOKUP(Sales7[[#This Row],[Order ID]],ST[Order ID],ST[Units Sold])</f>
        <v>6</v>
      </c>
      <c r="L308">
        <f t="shared" si="4"/>
        <v>46200</v>
      </c>
    </row>
    <row r="309" spans="1:12" x14ac:dyDescent="0.35">
      <c r="A309" s="7">
        <v>1286</v>
      </c>
      <c r="B309" s="1">
        <v>45260</v>
      </c>
      <c r="C309" s="2" t="s">
        <v>18</v>
      </c>
      <c r="D309" t="str">
        <f>_xlfn.XLOOKUP(Merged_Sales_Data!C309,PM[Product ID],PM[Product Name])</f>
        <v>LED Monitor 24"</v>
      </c>
      <c r="E309" t="str">
        <f>VLOOKUP(C309,PM[],3,FALSE)</f>
        <v>Electronics</v>
      </c>
      <c r="F309">
        <f>_xlfn.XLOOKUP(C309,PM[Product ID],PM[Unit Price (₹)])</f>
        <v>7700</v>
      </c>
      <c r="G309" t="str">
        <f>_xlfn.XLOOKUP(Sales7[[#This Row],[Order ID]],ST[Order ID],ST[Employee ID])</f>
        <v>E06</v>
      </c>
      <c r="H309" t="str">
        <f>_xlfn.XLOOKUP(G309,SM[Employee ID],SM[Salesperson])</f>
        <v>Sneha Roy</v>
      </c>
      <c r="I309" t="str">
        <f>_xlfn.XLOOKUP(G309,SM[Employee ID],SM[Region])</f>
        <v>East</v>
      </c>
      <c r="J309" t="str">
        <f>_xlfn.XLOOKUP(G309,SM[Employee ID],SM[State/City])</f>
        <v>Kolkata</v>
      </c>
      <c r="K309" s="2">
        <f>_xlfn.XLOOKUP(Sales7[[#This Row],[Order ID]],ST[Order ID],ST[Units Sold])</f>
        <v>1</v>
      </c>
      <c r="L309">
        <f t="shared" si="4"/>
        <v>7700</v>
      </c>
    </row>
    <row r="310" spans="1:12" x14ac:dyDescent="0.35">
      <c r="A310" s="7">
        <v>1289</v>
      </c>
      <c r="B310" s="1">
        <v>45260</v>
      </c>
      <c r="C310" s="2" t="s">
        <v>8</v>
      </c>
      <c r="D310" t="str">
        <f>_xlfn.XLOOKUP(Merged_Sales_Data!C310,PM[Product ID],PM[Product Name])</f>
        <v>USB-C Hub</v>
      </c>
      <c r="E310" t="str">
        <f>VLOOKUP(C310,PM[],3,FALSE)</f>
        <v>Accessories</v>
      </c>
      <c r="F310">
        <f>_xlfn.XLOOKUP(C310,PM[Product ID],PM[Unit Price (₹)])</f>
        <v>880</v>
      </c>
      <c r="G310" t="str">
        <f>_xlfn.XLOOKUP(Sales7[[#This Row],[Order ID]],ST[Order ID],ST[Employee ID])</f>
        <v>E06</v>
      </c>
      <c r="H310" t="str">
        <f>_xlfn.XLOOKUP(G310,SM[Employee ID],SM[Salesperson])</f>
        <v>Sneha Roy</v>
      </c>
      <c r="I310" t="str">
        <f>_xlfn.XLOOKUP(G310,SM[Employee ID],SM[Region])</f>
        <v>East</v>
      </c>
      <c r="J310" t="str">
        <f>_xlfn.XLOOKUP(G310,SM[Employee ID],SM[State/City])</f>
        <v>Kolkata</v>
      </c>
      <c r="K310" s="2">
        <f>_xlfn.XLOOKUP(Sales7[[#This Row],[Order ID]],ST[Order ID],ST[Units Sold])</f>
        <v>6</v>
      </c>
      <c r="L310">
        <f t="shared" si="4"/>
        <v>5280</v>
      </c>
    </row>
    <row r="311" spans="1:12" x14ac:dyDescent="0.35">
      <c r="A311" s="7">
        <v>1290</v>
      </c>
      <c r="B311" s="1">
        <v>45260</v>
      </c>
      <c r="C311" s="2" t="s">
        <v>18</v>
      </c>
      <c r="D311" t="str">
        <f>_xlfn.XLOOKUP(Merged_Sales_Data!C311,PM[Product ID],PM[Product Name])</f>
        <v>LED Monitor 24"</v>
      </c>
      <c r="E311" t="str">
        <f>VLOOKUP(C311,PM[],3,FALSE)</f>
        <v>Electronics</v>
      </c>
      <c r="F311">
        <f>_xlfn.XLOOKUP(C311,PM[Product ID],PM[Unit Price (₹)])</f>
        <v>7700</v>
      </c>
      <c r="G311" t="str">
        <f>_xlfn.XLOOKUP(Sales7[[#This Row],[Order ID]],ST[Order ID],ST[Employee ID])</f>
        <v>E05</v>
      </c>
      <c r="H311" t="str">
        <f>_xlfn.XLOOKUP(G311,SM[Employee ID],SM[Salesperson])</f>
        <v>Karan Malhotra</v>
      </c>
      <c r="I311" t="str">
        <f>_xlfn.XLOOKUP(G311,SM[Employee ID],SM[Region])</f>
        <v>East</v>
      </c>
      <c r="J311" t="str">
        <f>_xlfn.XLOOKUP(G311,SM[Employee ID],SM[State/City])</f>
        <v>Kolkata</v>
      </c>
      <c r="K311" s="2">
        <f>_xlfn.XLOOKUP(Sales7[[#This Row],[Order ID]],ST[Order ID],ST[Units Sold])</f>
        <v>2</v>
      </c>
      <c r="L311">
        <f t="shared" si="4"/>
        <v>15400</v>
      </c>
    </row>
    <row r="312" spans="1:12" x14ac:dyDescent="0.35">
      <c r="A312" s="7">
        <v>1322</v>
      </c>
      <c r="B312" s="1">
        <v>45264</v>
      </c>
      <c r="C312" s="2" t="s">
        <v>8</v>
      </c>
      <c r="D312" t="str">
        <f>_xlfn.XLOOKUP(Merged_Sales_Data!C312,PM[Product ID],PM[Product Name])</f>
        <v>USB-C Hub</v>
      </c>
      <c r="E312" t="str">
        <f>VLOOKUP(C312,PM[],3,FALSE)</f>
        <v>Accessories</v>
      </c>
      <c r="F312">
        <f>_xlfn.XLOOKUP(C312,PM[Product ID],PM[Unit Price (₹)])</f>
        <v>880</v>
      </c>
      <c r="G312" t="str">
        <f>_xlfn.XLOOKUP(Sales7[[#This Row],[Order ID]],ST[Order ID],ST[Employee ID])</f>
        <v>E06</v>
      </c>
      <c r="H312" t="str">
        <f>_xlfn.XLOOKUP(G312,SM[Employee ID],SM[Salesperson])</f>
        <v>Sneha Roy</v>
      </c>
      <c r="I312" t="str">
        <f>_xlfn.XLOOKUP(G312,SM[Employee ID],SM[Region])</f>
        <v>East</v>
      </c>
      <c r="J312" t="str">
        <f>_xlfn.XLOOKUP(G312,SM[Employee ID],SM[State/City])</f>
        <v>Kolkata</v>
      </c>
      <c r="K312" s="2">
        <f>_xlfn.XLOOKUP(Sales7[[#This Row],[Order ID]],ST[Order ID],ST[Units Sold])</f>
        <v>8</v>
      </c>
      <c r="L312">
        <f t="shared" si="4"/>
        <v>7040</v>
      </c>
    </row>
    <row r="313" spans="1:12" x14ac:dyDescent="0.35">
      <c r="A313" s="7">
        <v>1326</v>
      </c>
      <c r="B313" s="1">
        <v>45264</v>
      </c>
      <c r="C313" s="2" t="s">
        <v>10</v>
      </c>
      <c r="D313" t="str">
        <f>_xlfn.XLOOKUP(Merged_Sales_Data!C313,PM[Product ID],PM[Product Name])</f>
        <v>Filing Cabinet</v>
      </c>
      <c r="E313" t="str">
        <f>VLOOKUP(C313,PM[],3,FALSE)</f>
        <v>Furniture</v>
      </c>
      <c r="F313">
        <f>_xlfn.XLOOKUP(C313,PM[Product ID],PM[Unit Price (₹)])</f>
        <v>4070</v>
      </c>
      <c r="G313" t="str">
        <f>_xlfn.XLOOKUP(Sales7[[#This Row],[Order ID]],ST[Order ID],ST[Employee ID])</f>
        <v>E07</v>
      </c>
      <c r="H313" t="str">
        <f>_xlfn.XLOOKUP(G313,SM[Employee ID],SM[Salesperson])</f>
        <v>Aditya Kapoor</v>
      </c>
      <c r="I313" t="str">
        <f>_xlfn.XLOOKUP(G313,SM[Employee ID],SM[Region])</f>
        <v>West</v>
      </c>
      <c r="J313" t="str">
        <f>_xlfn.XLOOKUP(G313,SM[Employee ID],SM[State/City])</f>
        <v>Mumbai</v>
      </c>
      <c r="K313" s="2">
        <f>_xlfn.XLOOKUP(Sales7[[#This Row],[Order ID]],ST[Order ID],ST[Units Sold])</f>
        <v>10</v>
      </c>
      <c r="L313">
        <f t="shared" si="4"/>
        <v>40700</v>
      </c>
    </row>
    <row r="314" spans="1:12" x14ac:dyDescent="0.35">
      <c r="A314" s="7">
        <v>1328</v>
      </c>
      <c r="B314" s="1">
        <v>45265</v>
      </c>
      <c r="C314" s="2" t="s">
        <v>12</v>
      </c>
      <c r="D314" t="str">
        <f>_xlfn.XLOOKUP(Merged_Sales_Data!C314,PM[Product ID],PM[Product Name])</f>
        <v>Bookshelf Unit</v>
      </c>
      <c r="E314" t="str">
        <f>VLOOKUP(C314,PM[],3,FALSE)</f>
        <v>Furniture</v>
      </c>
      <c r="F314">
        <f>_xlfn.XLOOKUP(C314,PM[Product ID],PM[Unit Price (₹)])</f>
        <v>3910</v>
      </c>
      <c r="G314" t="str">
        <f>_xlfn.XLOOKUP(Sales7[[#This Row],[Order ID]],ST[Order ID],ST[Employee ID])</f>
        <v>E02</v>
      </c>
      <c r="H314" t="str">
        <f>_xlfn.XLOOKUP(G314,SM[Employee ID],SM[Salesperson])</f>
        <v>Ishita Verma</v>
      </c>
      <c r="I314" t="str">
        <f>_xlfn.XLOOKUP(G314,SM[Employee ID],SM[Region])</f>
        <v>North</v>
      </c>
      <c r="J314" t="str">
        <f>_xlfn.XLOOKUP(G314,SM[Employee ID],SM[State/City])</f>
        <v>Chandigarh</v>
      </c>
      <c r="K314" s="2">
        <f>_xlfn.XLOOKUP(Sales7[[#This Row],[Order ID]],ST[Order ID],ST[Units Sold])</f>
        <v>8</v>
      </c>
      <c r="L314">
        <f t="shared" si="4"/>
        <v>31280</v>
      </c>
    </row>
    <row r="315" spans="1:12" x14ac:dyDescent="0.35">
      <c r="A315" s="7">
        <v>1318</v>
      </c>
      <c r="B315" s="1">
        <v>45266</v>
      </c>
      <c r="C315" s="2" t="s">
        <v>12</v>
      </c>
      <c r="D315" t="str">
        <f>_xlfn.XLOOKUP(Merged_Sales_Data!C315,PM[Product ID],PM[Product Name])</f>
        <v>Bookshelf Unit</v>
      </c>
      <c r="E315" t="str">
        <f>VLOOKUP(C315,PM[],3,FALSE)</f>
        <v>Furniture</v>
      </c>
      <c r="F315">
        <f>_xlfn.XLOOKUP(C315,PM[Product ID],PM[Unit Price (₹)])</f>
        <v>3910</v>
      </c>
      <c r="G315" t="str">
        <f>_xlfn.XLOOKUP(Sales7[[#This Row],[Order ID]],ST[Order ID],ST[Employee ID])</f>
        <v>E04</v>
      </c>
      <c r="H315" t="str">
        <f>_xlfn.XLOOKUP(G315,SM[Employee ID],SM[Salesperson])</f>
        <v>Priya Nair</v>
      </c>
      <c r="I315" t="str">
        <f>_xlfn.XLOOKUP(G315,SM[Employee ID],SM[Region])</f>
        <v>South</v>
      </c>
      <c r="J315" t="str">
        <f>_xlfn.XLOOKUP(G315,SM[Employee ID],SM[State/City])</f>
        <v>Bengaluru</v>
      </c>
      <c r="K315" s="2">
        <f>_xlfn.XLOOKUP(Sales7[[#This Row],[Order ID]],ST[Order ID],ST[Units Sold])</f>
        <v>1</v>
      </c>
      <c r="L315">
        <f t="shared" si="4"/>
        <v>3910</v>
      </c>
    </row>
    <row r="316" spans="1:12" x14ac:dyDescent="0.35">
      <c r="A316" s="7">
        <v>1311</v>
      </c>
      <c r="B316" s="1">
        <v>45268</v>
      </c>
      <c r="C316" s="2" t="s">
        <v>21</v>
      </c>
      <c r="D316" t="str">
        <f>_xlfn.XLOOKUP(Merged_Sales_Data!C316,PM[Product ID],PM[Product Name])</f>
        <v>Wireless Mouse</v>
      </c>
      <c r="E316" t="str">
        <f>VLOOKUP(C316,PM[],3,FALSE)</f>
        <v>Electronics</v>
      </c>
      <c r="F316">
        <f>_xlfn.XLOOKUP(C316,PM[Product ID],PM[Unit Price (₹)])</f>
        <v>780</v>
      </c>
      <c r="G316" t="str">
        <f>_xlfn.XLOOKUP(Sales7[[#This Row],[Order ID]],ST[Order ID],ST[Employee ID])</f>
        <v>E01</v>
      </c>
      <c r="H316" t="str">
        <f>_xlfn.XLOOKUP(G316,SM[Employee ID],SM[Salesperson])</f>
        <v>Aarav Sharma</v>
      </c>
      <c r="I316" t="str">
        <f>_xlfn.XLOOKUP(G316,SM[Employee ID],SM[Region])</f>
        <v>North</v>
      </c>
      <c r="J316" t="str">
        <f>_xlfn.XLOOKUP(G316,SM[Employee ID],SM[State/City])</f>
        <v>Lucknow</v>
      </c>
      <c r="K316" s="2">
        <f>_xlfn.XLOOKUP(Sales7[[#This Row],[Order ID]],ST[Order ID],ST[Units Sold])</f>
        <v>3</v>
      </c>
      <c r="L316">
        <f t="shared" si="4"/>
        <v>2340</v>
      </c>
    </row>
    <row r="317" spans="1:12" x14ac:dyDescent="0.35">
      <c r="A317" s="7">
        <v>1315</v>
      </c>
      <c r="B317" s="1">
        <v>45269</v>
      </c>
      <c r="C317" s="2" t="s">
        <v>18</v>
      </c>
      <c r="D317" t="str">
        <f>_xlfn.XLOOKUP(Merged_Sales_Data!C317,PM[Product ID],PM[Product Name])</f>
        <v>LED Monitor 24"</v>
      </c>
      <c r="E317" t="str">
        <f>VLOOKUP(C317,PM[],3,FALSE)</f>
        <v>Electronics</v>
      </c>
      <c r="F317">
        <f>_xlfn.XLOOKUP(C317,PM[Product ID],PM[Unit Price (₹)])</f>
        <v>7700</v>
      </c>
      <c r="G317" t="str">
        <f>_xlfn.XLOOKUP(Sales7[[#This Row],[Order ID]],ST[Order ID],ST[Employee ID])</f>
        <v>E03</v>
      </c>
      <c r="H317" t="str">
        <f>_xlfn.XLOOKUP(G317,SM[Employee ID],SM[Salesperson])</f>
        <v>Rohan Mehta</v>
      </c>
      <c r="I317" t="str">
        <f>_xlfn.XLOOKUP(G317,SM[Employee ID],SM[Region])</f>
        <v>South</v>
      </c>
      <c r="J317" t="str">
        <f>_xlfn.XLOOKUP(G317,SM[Employee ID],SM[State/City])</f>
        <v>Bengaluru</v>
      </c>
      <c r="K317" s="2">
        <f>_xlfn.XLOOKUP(Sales7[[#This Row],[Order ID]],ST[Order ID],ST[Units Sold])</f>
        <v>6</v>
      </c>
      <c r="L317">
        <f t="shared" si="4"/>
        <v>46200</v>
      </c>
    </row>
    <row r="318" spans="1:12" x14ac:dyDescent="0.35">
      <c r="A318" s="7">
        <v>1313</v>
      </c>
      <c r="B318" s="1">
        <v>45271</v>
      </c>
      <c r="C318" s="2" t="s">
        <v>5</v>
      </c>
      <c r="D318" t="str">
        <f>_xlfn.XLOOKUP(Merged_Sales_Data!C318,PM[Product ID],PM[Product Name])</f>
        <v>Ergo Office Chair</v>
      </c>
      <c r="E318" t="str">
        <f>VLOOKUP(C318,PM[],3,FALSE)</f>
        <v>Office Supplies</v>
      </c>
      <c r="F318">
        <f>_xlfn.XLOOKUP(C318,PM[Product ID],PM[Unit Price (₹)])</f>
        <v>6750</v>
      </c>
      <c r="G318" t="str">
        <f>_xlfn.XLOOKUP(Sales7[[#This Row],[Order ID]],ST[Order ID],ST[Employee ID])</f>
        <v>E04</v>
      </c>
      <c r="H318" t="str">
        <f>_xlfn.XLOOKUP(G318,SM[Employee ID],SM[Salesperson])</f>
        <v>Priya Nair</v>
      </c>
      <c r="I318" t="str">
        <f>_xlfn.XLOOKUP(G318,SM[Employee ID],SM[Region])</f>
        <v>South</v>
      </c>
      <c r="J318" t="str">
        <f>_xlfn.XLOOKUP(G318,SM[Employee ID],SM[State/City])</f>
        <v>Bengaluru</v>
      </c>
      <c r="K318" s="2">
        <f>_xlfn.XLOOKUP(Sales7[[#This Row],[Order ID]],ST[Order ID],ST[Units Sold])</f>
        <v>2</v>
      </c>
      <c r="L318">
        <f t="shared" si="4"/>
        <v>13500</v>
      </c>
    </row>
    <row r="319" spans="1:12" x14ac:dyDescent="0.35">
      <c r="A319" s="7">
        <v>1336</v>
      </c>
      <c r="B319" s="1">
        <v>45271</v>
      </c>
      <c r="C319" s="2" t="s">
        <v>12</v>
      </c>
      <c r="D319" t="str">
        <f>_xlfn.XLOOKUP(Merged_Sales_Data!C319,PM[Product ID],PM[Product Name])</f>
        <v>Bookshelf Unit</v>
      </c>
      <c r="E319" t="str">
        <f>VLOOKUP(C319,PM[],3,FALSE)</f>
        <v>Furniture</v>
      </c>
      <c r="F319">
        <f>_xlfn.XLOOKUP(C319,PM[Product ID],PM[Unit Price (₹)])</f>
        <v>3910</v>
      </c>
      <c r="G319" t="str">
        <f>_xlfn.XLOOKUP(Sales7[[#This Row],[Order ID]],ST[Order ID],ST[Employee ID])</f>
        <v>E02</v>
      </c>
      <c r="H319" t="str">
        <f>_xlfn.XLOOKUP(G319,SM[Employee ID],SM[Salesperson])</f>
        <v>Ishita Verma</v>
      </c>
      <c r="I319" t="str">
        <f>_xlfn.XLOOKUP(G319,SM[Employee ID],SM[Region])</f>
        <v>North</v>
      </c>
      <c r="J319" t="str">
        <f>_xlfn.XLOOKUP(G319,SM[Employee ID],SM[State/City])</f>
        <v>Chandigarh</v>
      </c>
      <c r="K319" s="2">
        <f>_xlfn.XLOOKUP(Sales7[[#This Row],[Order ID]],ST[Order ID],ST[Units Sold])</f>
        <v>4</v>
      </c>
      <c r="L319">
        <f t="shared" si="4"/>
        <v>15640</v>
      </c>
    </row>
    <row r="320" spans="1:12" x14ac:dyDescent="0.35">
      <c r="A320" s="7">
        <v>1317</v>
      </c>
      <c r="B320" s="1">
        <v>45272</v>
      </c>
      <c r="C320" s="2" t="s">
        <v>18</v>
      </c>
      <c r="D320" t="str">
        <f>_xlfn.XLOOKUP(Merged_Sales_Data!C320,PM[Product ID],PM[Product Name])</f>
        <v>LED Monitor 24"</v>
      </c>
      <c r="E320" t="str">
        <f>VLOOKUP(C320,PM[],3,FALSE)</f>
        <v>Electronics</v>
      </c>
      <c r="F320">
        <f>_xlfn.XLOOKUP(C320,PM[Product ID],PM[Unit Price (₹)])</f>
        <v>7700</v>
      </c>
      <c r="G320" t="str">
        <f>_xlfn.XLOOKUP(Sales7[[#This Row],[Order ID]],ST[Order ID],ST[Employee ID])</f>
        <v>E01</v>
      </c>
      <c r="H320" t="str">
        <f>_xlfn.XLOOKUP(G320,SM[Employee ID],SM[Salesperson])</f>
        <v>Aarav Sharma</v>
      </c>
      <c r="I320" t="str">
        <f>_xlfn.XLOOKUP(G320,SM[Employee ID],SM[Region])</f>
        <v>North</v>
      </c>
      <c r="J320" t="str">
        <f>_xlfn.XLOOKUP(G320,SM[Employee ID],SM[State/City])</f>
        <v>Lucknow</v>
      </c>
      <c r="K320" s="2">
        <f>_xlfn.XLOOKUP(Sales7[[#This Row],[Order ID]],ST[Order ID],ST[Units Sold])</f>
        <v>1</v>
      </c>
      <c r="L320">
        <f t="shared" si="4"/>
        <v>7700</v>
      </c>
    </row>
    <row r="321" spans="1:12" x14ac:dyDescent="0.35">
      <c r="A321" s="7">
        <v>1324</v>
      </c>
      <c r="B321" s="1">
        <v>45275</v>
      </c>
      <c r="C321" s="2" t="s">
        <v>8</v>
      </c>
      <c r="D321" t="str">
        <f>_xlfn.XLOOKUP(Merged_Sales_Data!C321,PM[Product ID],PM[Product Name])</f>
        <v>USB-C Hub</v>
      </c>
      <c r="E321" t="str">
        <f>VLOOKUP(C321,PM[],3,FALSE)</f>
        <v>Accessories</v>
      </c>
      <c r="F321">
        <f>_xlfn.XLOOKUP(C321,PM[Product ID],PM[Unit Price (₹)])</f>
        <v>880</v>
      </c>
      <c r="G321" t="str">
        <f>_xlfn.XLOOKUP(Sales7[[#This Row],[Order ID]],ST[Order ID],ST[Employee ID])</f>
        <v>E01</v>
      </c>
      <c r="H321" t="str">
        <f>_xlfn.XLOOKUP(G321,SM[Employee ID],SM[Salesperson])</f>
        <v>Aarav Sharma</v>
      </c>
      <c r="I321" t="str">
        <f>_xlfn.XLOOKUP(G321,SM[Employee ID],SM[Region])</f>
        <v>North</v>
      </c>
      <c r="J321" t="str">
        <f>_xlfn.XLOOKUP(G321,SM[Employee ID],SM[State/City])</f>
        <v>Lucknow</v>
      </c>
      <c r="K321" s="2">
        <f>_xlfn.XLOOKUP(Sales7[[#This Row],[Order ID]],ST[Order ID],ST[Units Sold])</f>
        <v>2</v>
      </c>
      <c r="L321">
        <f t="shared" si="4"/>
        <v>1760</v>
      </c>
    </row>
    <row r="322" spans="1:12" x14ac:dyDescent="0.35">
      <c r="A322" s="7">
        <v>1330</v>
      </c>
      <c r="B322" s="1">
        <v>45277</v>
      </c>
      <c r="C322" s="2" t="s">
        <v>10</v>
      </c>
      <c r="D322" t="str">
        <f>_xlfn.XLOOKUP(Merged_Sales_Data!C322,PM[Product ID],PM[Product Name])</f>
        <v>Filing Cabinet</v>
      </c>
      <c r="E322" t="str">
        <f>VLOOKUP(C322,PM[],3,FALSE)</f>
        <v>Furniture</v>
      </c>
      <c r="F322">
        <f>_xlfn.XLOOKUP(C322,PM[Product ID],PM[Unit Price (₹)])</f>
        <v>4070</v>
      </c>
      <c r="G322" t="str">
        <f>_xlfn.XLOOKUP(Sales7[[#This Row],[Order ID]],ST[Order ID],ST[Employee ID])</f>
        <v>E06</v>
      </c>
      <c r="H322" t="str">
        <f>_xlfn.XLOOKUP(G322,SM[Employee ID],SM[Salesperson])</f>
        <v>Sneha Roy</v>
      </c>
      <c r="I322" t="str">
        <f>_xlfn.XLOOKUP(G322,SM[Employee ID],SM[Region])</f>
        <v>East</v>
      </c>
      <c r="J322" t="str">
        <f>_xlfn.XLOOKUP(G322,SM[Employee ID],SM[State/City])</f>
        <v>Kolkata</v>
      </c>
      <c r="K322" s="2">
        <f>_xlfn.XLOOKUP(Sales7[[#This Row],[Order ID]],ST[Order ID],ST[Units Sold])</f>
        <v>8</v>
      </c>
      <c r="L322">
        <f t="shared" si="4"/>
        <v>32560</v>
      </c>
    </row>
    <row r="323" spans="1:12" x14ac:dyDescent="0.35">
      <c r="A323" s="7">
        <v>1329</v>
      </c>
      <c r="B323" s="1">
        <v>45280</v>
      </c>
      <c r="C323" s="2" t="s">
        <v>18</v>
      </c>
      <c r="D323" t="str">
        <f>_xlfn.XLOOKUP(Merged_Sales_Data!C323,PM[Product ID],PM[Product Name])</f>
        <v>LED Monitor 24"</v>
      </c>
      <c r="E323" t="str">
        <f>VLOOKUP(C323,PM[],3,FALSE)</f>
        <v>Electronics</v>
      </c>
      <c r="F323">
        <f>_xlfn.XLOOKUP(C323,PM[Product ID],PM[Unit Price (₹)])</f>
        <v>7700</v>
      </c>
      <c r="G323" t="str">
        <f>_xlfn.XLOOKUP(Sales7[[#This Row],[Order ID]],ST[Order ID],ST[Employee ID])</f>
        <v>E02</v>
      </c>
      <c r="H323" t="str">
        <f>_xlfn.XLOOKUP(G323,SM[Employee ID],SM[Salesperson])</f>
        <v>Ishita Verma</v>
      </c>
      <c r="I323" t="str">
        <f>_xlfn.XLOOKUP(G323,SM[Employee ID],SM[Region])</f>
        <v>North</v>
      </c>
      <c r="J323" t="str">
        <f>_xlfn.XLOOKUP(G323,SM[Employee ID],SM[State/City])</f>
        <v>Chandigarh</v>
      </c>
      <c r="K323" s="2">
        <f>_xlfn.XLOOKUP(Sales7[[#This Row],[Order ID]],ST[Order ID],ST[Units Sold])</f>
        <v>2</v>
      </c>
      <c r="L323">
        <f t="shared" ref="L323:L386" si="5">F323*K323</f>
        <v>15400</v>
      </c>
    </row>
    <row r="324" spans="1:12" x14ac:dyDescent="0.35">
      <c r="A324" s="7">
        <v>1331</v>
      </c>
      <c r="B324" s="1">
        <v>45280</v>
      </c>
      <c r="C324" s="2" t="s">
        <v>14</v>
      </c>
      <c r="D324" t="str">
        <f>_xlfn.XLOOKUP(Merged_Sales_Data!C324,PM[Product ID],PM[Product Name])</f>
        <v>Laptop Backpack</v>
      </c>
      <c r="E324" t="str">
        <f>VLOOKUP(C324,PM[],3,FALSE)</f>
        <v>Accessories</v>
      </c>
      <c r="F324">
        <f>_xlfn.XLOOKUP(C324,PM[Product ID],PM[Unit Price (₹)])</f>
        <v>1110</v>
      </c>
      <c r="G324" t="str">
        <f>_xlfn.XLOOKUP(Sales7[[#This Row],[Order ID]],ST[Order ID],ST[Employee ID])</f>
        <v>E05</v>
      </c>
      <c r="H324" t="str">
        <f>_xlfn.XLOOKUP(G324,SM[Employee ID],SM[Salesperson])</f>
        <v>Karan Malhotra</v>
      </c>
      <c r="I324" t="str">
        <f>_xlfn.XLOOKUP(G324,SM[Employee ID],SM[Region])</f>
        <v>East</v>
      </c>
      <c r="J324" t="str">
        <f>_xlfn.XLOOKUP(G324,SM[Employee ID],SM[State/City])</f>
        <v>Kolkata</v>
      </c>
      <c r="K324" s="2">
        <f>_xlfn.XLOOKUP(Sales7[[#This Row],[Order ID]],ST[Order ID],ST[Units Sold])</f>
        <v>6</v>
      </c>
      <c r="L324">
        <f t="shared" si="5"/>
        <v>6660</v>
      </c>
    </row>
    <row r="325" spans="1:12" x14ac:dyDescent="0.35">
      <c r="A325" s="7">
        <v>1337</v>
      </c>
      <c r="B325" s="1">
        <v>45282</v>
      </c>
      <c r="C325" s="2" t="s">
        <v>12</v>
      </c>
      <c r="D325" t="str">
        <f>_xlfn.XLOOKUP(Merged_Sales_Data!C325,PM[Product ID],PM[Product Name])</f>
        <v>Bookshelf Unit</v>
      </c>
      <c r="E325" t="str">
        <f>VLOOKUP(C325,PM[],3,FALSE)</f>
        <v>Furniture</v>
      </c>
      <c r="F325">
        <f>_xlfn.XLOOKUP(C325,PM[Product ID],PM[Unit Price (₹)])</f>
        <v>3910</v>
      </c>
      <c r="G325" t="str">
        <f>_xlfn.XLOOKUP(Sales7[[#This Row],[Order ID]],ST[Order ID],ST[Employee ID])</f>
        <v>E05</v>
      </c>
      <c r="H325" t="str">
        <f>_xlfn.XLOOKUP(G325,SM[Employee ID],SM[Salesperson])</f>
        <v>Karan Malhotra</v>
      </c>
      <c r="I325" t="str">
        <f>_xlfn.XLOOKUP(G325,SM[Employee ID],SM[Region])</f>
        <v>East</v>
      </c>
      <c r="J325" t="str">
        <f>_xlfn.XLOOKUP(G325,SM[Employee ID],SM[State/City])</f>
        <v>Kolkata</v>
      </c>
      <c r="K325" s="2">
        <f>_xlfn.XLOOKUP(Sales7[[#This Row],[Order ID]],ST[Order ID],ST[Units Sold])</f>
        <v>1</v>
      </c>
      <c r="L325">
        <f t="shared" si="5"/>
        <v>3910</v>
      </c>
    </row>
    <row r="326" spans="1:12" x14ac:dyDescent="0.35">
      <c r="A326" s="7">
        <v>1319</v>
      </c>
      <c r="B326" s="1">
        <v>45284</v>
      </c>
      <c r="C326" s="2" t="s">
        <v>21</v>
      </c>
      <c r="D326" t="str">
        <f>_xlfn.XLOOKUP(Merged_Sales_Data!C326,PM[Product ID],PM[Product Name])</f>
        <v>Wireless Mouse</v>
      </c>
      <c r="E326" t="str">
        <f>VLOOKUP(C326,PM[],3,FALSE)</f>
        <v>Electronics</v>
      </c>
      <c r="F326">
        <f>_xlfn.XLOOKUP(C326,PM[Product ID],PM[Unit Price (₹)])</f>
        <v>780</v>
      </c>
      <c r="G326" t="str">
        <f>_xlfn.XLOOKUP(Sales7[[#This Row],[Order ID]],ST[Order ID],ST[Employee ID])</f>
        <v>E05</v>
      </c>
      <c r="H326" t="str">
        <f>_xlfn.XLOOKUP(G326,SM[Employee ID],SM[Salesperson])</f>
        <v>Karan Malhotra</v>
      </c>
      <c r="I326" t="str">
        <f>_xlfn.XLOOKUP(G326,SM[Employee ID],SM[Region])</f>
        <v>East</v>
      </c>
      <c r="J326" t="str">
        <f>_xlfn.XLOOKUP(G326,SM[Employee ID],SM[State/City])</f>
        <v>Kolkata</v>
      </c>
      <c r="K326" s="2">
        <f>_xlfn.XLOOKUP(Sales7[[#This Row],[Order ID]],ST[Order ID],ST[Units Sold])</f>
        <v>1</v>
      </c>
      <c r="L326">
        <f t="shared" si="5"/>
        <v>780</v>
      </c>
    </row>
    <row r="327" spans="1:12" x14ac:dyDescent="0.35">
      <c r="A327" s="7">
        <v>1320</v>
      </c>
      <c r="B327" s="1">
        <v>45284</v>
      </c>
      <c r="C327" s="2" t="s">
        <v>8</v>
      </c>
      <c r="D327" t="str">
        <f>_xlfn.XLOOKUP(Merged_Sales_Data!C327,PM[Product ID],PM[Product Name])</f>
        <v>USB-C Hub</v>
      </c>
      <c r="E327" t="str">
        <f>VLOOKUP(C327,PM[],3,FALSE)</f>
        <v>Accessories</v>
      </c>
      <c r="F327">
        <f>_xlfn.XLOOKUP(C327,PM[Product ID],PM[Unit Price (₹)])</f>
        <v>880</v>
      </c>
      <c r="G327" t="str">
        <f>_xlfn.XLOOKUP(Sales7[[#This Row],[Order ID]],ST[Order ID],ST[Employee ID])</f>
        <v>E07</v>
      </c>
      <c r="H327" t="str">
        <f>_xlfn.XLOOKUP(G327,SM[Employee ID],SM[Salesperson])</f>
        <v>Aditya Kapoor</v>
      </c>
      <c r="I327" t="str">
        <f>_xlfn.XLOOKUP(G327,SM[Employee ID],SM[Region])</f>
        <v>West</v>
      </c>
      <c r="J327" t="str">
        <f>_xlfn.XLOOKUP(G327,SM[Employee ID],SM[State/City])</f>
        <v>Mumbai</v>
      </c>
      <c r="K327" s="2">
        <f>_xlfn.XLOOKUP(Sales7[[#This Row],[Order ID]],ST[Order ID],ST[Units Sold])</f>
        <v>1</v>
      </c>
      <c r="L327">
        <f t="shared" si="5"/>
        <v>880</v>
      </c>
    </row>
    <row r="328" spans="1:12" x14ac:dyDescent="0.35">
      <c r="A328" s="7">
        <v>1335</v>
      </c>
      <c r="B328" s="1">
        <v>45284</v>
      </c>
      <c r="C328" s="2" t="s">
        <v>10</v>
      </c>
      <c r="D328" t="str">
        <f>_xlfn.XLOOKUP(Merged_Sales_Data!C328,PM[Product ID],PM[Product Name])</f>
        <v>Filing Cabinet</v>
      </c>
      <c r="E328" t="str">
        <f>VLOOKUP(C328,PM[],3,FALSE)</f>
        <v>Furniture</v>
      </c>
      <c r="F328">
        <f>_xlfn.XLOOKUP(C328,PM[Product ID],PM[Unit Price (₹)])</f>
        <v>4070</v>
      </c>
      <c r="G328" t="str">
        <f>_xlfn.XLOOKUP(Sales7[[#This Row],[Order ID]],ST[Order ID],ST[Employee ID])</f>
        <v>E08</v>
      </c>
      <c r="H328" t="str">
        <f>_xlfn.XLOOKUP(G328,SM[Employee ID],SM[Salesperson])</f>
        <v>Neha Joshi</v>
      </c>
      <c r="I328" t="str">
        <f>_xlfn.XLOOKUP(G328,SM[Employee ID],SM[Region])</f>
        <v>West</v>
      </c>
      <c r="J328" t="str">
        <f>_xlfn.XLOOKUP(G328,SM[Employee ID],SM[State/City])</f>
        <v>Ahmedabad</v>
      </c>
      <c r="K328" s="2">
        <f>_xlfn.XLOOKUP(Sales7[[#This Row],[Order ID]],ST[Order ID],ST[Units Sold])</f>
        <v>4</v>
      </c>
      <c r="L328">
        <f t="shared" si="5"/>
        <v>16280</v>
      </c>
    </row>
    <row r="329" spans="1:12" x14ac:dyDescent="0.35">
      <c r="A329" s="7">
        <v>1321</v>
      </c>
      <c r="B329" s="1">
        <v>45285</v>
      </c>
      <c r="C329" s="2" t="s">
        <v>14</v>
      </c>
      <c r="D329" t="str">
        <f>_xlfn.XLOOKUP(Merged_Sales_Data!C329,PM[Product ID],PM[Product Name])</f>
        <v>Laptop Backpack</v>
      </c>
      <c r="E329" t="str">
        <f>VLOOKUP(C329,PM[],3,FALSE)</f>
        <v>Accessories</v>
      </c>
      <c r="F329">
        <f>_xlfn.XLOOKUP(C329,PM[Product ID],PM[Unit Price (₹)])</f>
        <v>1110</v>
      </c>
      <c r="G329" t="str">
        <f>_xlfn.XLOOKUP(Sales7[[#This Row],[Order ID]],ST[Order ID],ST[Employee ID])</f>
        <v>E02</v>
      </c>
      <c r="H329" t="str">
        <f>_xlfn.XLOOKUP(G329,SM[Employee ID],SM[Salesperson])</f>
        <v>Ishita Verma</v>
      </c>
      <c r="I329" t="str">
        <f>_xlfn.XLOOKUP(G329,SM[Employee ID],SM[Region])</f>
        <v>North</v>
      </c>
      <c r="J329" t="str">
        <f>_xlfn.XLOOKUP(G329,SM[Employee ID],SM[State/City])</f>
        <v>Chandigarh</v>
      </c>
      <c r="K329" s="2">
        <f>_xlfn.XLOOKUP(Sales7[[#This Row],[Order ID]],ST[Order ID],ST[Units Sold])</f>
        <v>5</v>
      </c>
      <c r="L329">
        <f t="shared" si="5"/>
        <v>5550</v>
      </c>
    </row>
    <row r="330" spans="1:12" x14ac:dyDescent="0.35">
      <c r="A330" s="7">
        <v>1312</v>
      </c>
      <c r="B330" s="1">
        <v>45287</v>
      </c>
      <c r="C330" s="2" t="s">
        <v>5</v>
      </c>
      <c r="D330" t="str">
        <f>_xlfn.XLOOKUP(Merged_Sales_Data!C330,PM[Product ID],PM[Product Name])</f>
        <v>Ergo Office Chair</v>
      </c>
      <c r="E330" t="str">
        <f>VLOOKUP(C330,PM[],3,FALSE)</f>
        <v>Office Supplies</v>
      </c>
      <c r="F330">
        <f>_xlfn.XLOOKUP(C330,PM[Product ID],PM[Unit Price (₹)])</f>
        <v>6750</v>
      </c>
      <c r="G330" t="str">
        <f>_xlfn.XLOOKUP(Sales7[[#This Row],[Order ID]],ST[Order ID],ST[Employee ID])</f>
        <v>E03</v>
      </c>
      <c r="H330" t="str">
        <f>_xlfn.XLOOKUP(G330,SM[Employee ID],SM[Salesperson])</f>
        <v>Rohan Mehta</v>
      </c>
      <c r="I330" t="str">
        <f>_xlfn.XLOOKUP(G330,SM[Employee ID],SM[Region])</f>
        <v>South</v>
      </c>
      <c r="J330" t="str">
        <f>_xlfn.XLOOKUP(G330,SM[Employee ID],SM[State/City])</f>
        <v>Bengaluru</v>
      </c>
      <c r="K330" s="2">
        <f>_xlfn.XLOOKUP(Sales7[[#This Row],[Order ID]],ST[Order ID],ST[Units Sold])</f>
        <v>1</v>
      </c>
      <c r="L330">
        <f t="shared" si="5"/>
        <v>6750</v>
      </c>
    </row>
    <row r="331" spans="1:12" x14ac:dyDescent="0.35">
      <c r="A331" s="7">
        <v>1334</v>
      </c>
      <c r="B331" s="1">
        <v>45287</v>
      </c>
      <c r="C331" s="2" t="s">
        <v>10</v>
      </c>
      <c r="D331" t="str">
        <f>_xlfn.XLOOKUP(Merged_Sales_Data!C331,PM[Product ID],PM[Product Name])</f>
        <v>Filing Cabinet</v>
      </c>
      <c r="E331" t="str">
        <f>VLOOKUP(C331,PM[],3,FALSE)</f>
        <v>Furniture</v>
      </c>
      <c r="F331">
        <f>_xlfn.XLOOKUP(C331,PM[Product ID],PM[Unit Price (₹)])</f>
        <v>4070</v>
      </c>
      <c r="G331" t="str">
        <f>_xlfn.XLOOKUP(Sales7[[#This Row],[Order ID]],ST[Order ID],ST[Employee ID])</f>
        <v>E04</v>
      </c>
      <c r="H331" t="str">
        <f>_xlfn.XLOOKUP(G331,SM[Employee ID],SM[Salesperson])</f>
        <v>Priya Nair</v>
      </c>
      <c r="I331" t="str">
        <f>_xlfn.XLOOKUP(G331,SM[Employee ID],SM[Region])</f>
        <v>South</v>
      </c>
      <c r="J331" t="str">
        <f>_xlfn.XLOOKUP(G331,SM[Employee ID],SM[State/City])</f>
        <v>Bengaluru</v>
      </c>
      <c r="K331" s="2">
        <f>_xlfn.XLOOKUP(Sales7[[#This Row],[Order ID]],ST[Order ID],ST[Units Sold])</f>
        <v>3</v>
      </c>
      <c r="L331">
        <f t="shared" si="5"/>
        <v>12210</v>
      </c>
    </row>
    <row r="332" spans="1:12" x14ac:dyDescent="0.35">
      <c r="A332" s="7">
        <v>1338</v>
      </c>
      <c r="B332" s="1">
        <v>45287</v>
      </c>
      <c r="C332" s="2" t="s">
        <v>11</v>
      </c>
      <c r="D332" t="str">
        <f>_xlfn.XLOOKUP(Merged_Sales_Data!C332,PM[Product ID],PM[Product Name])</f>
        <v>Bluetooth Speaker</v>
      </c>
      <c r="E332" t="str">
        <f>VLOOKUP(C332,PM[],3,FALSE)</f>
        <v>Electronics</v>
      </c>
      <c r="F332">
        <f>_xlfn.XLOOKUP(C332,PM[Product ID],PM[Unit Price (₹)])</f>
        <v>1430</v>
      </c>
      <c r="G332" t="str">
        <f>_xlfn.XLOOKUP(Sales7[[#This Row],[Order ID]],ST[Order ID],ST[Employee ID])</f>
        <v>E08</v>
      </c>
      <c r="H332" t="str">
        <f>_xlfn.XLOOKUP(G332,SM[Employee ID],SM[Salesperson])</f>
        <v>Neha Joshi</v>
      </c>
      <c r="I332" t="str">
        <f>_xlfn.XLOOKUP(G332,SM[Employee ID],SM[Region])</f>
        <v>West</v>
      </c>
      <c r="J332" t="str">
        <f>_xlfn.XLOOKUP(G332,SM[Employee ID],SM[State/City])</f>
        <v>Ahmedabad</v>
      </c>
      <c r="K332" s="2">
        <f>_xlfn.XLOOKUP(Sales7[[#This Row],[Order ID]],ST[Order ID],ST[Units Sold])</f>
        <v>1</v>
      </c>
      <c r="L332">
        <f t="shared" si="5"/>
        <v>1430</v>
      </c>
    </row>
    <row r="333" spans="1:12" x14ac:dyDescent="0.35">
      <c r="A333" s="7">
        <v>1314</v>
      </c>
      <c r="B333" s="1">
        <v>45288</v>
      </c>
      <c r="C333" s="2" t="s">
        <v>21</v>
      </c>
      <c r="D333" t="str">
        <f>_xlfn.XLOOKUP(Merged_Sales_Data!C333,PM[Product ID],PM[Product Name])</f>
        <v>Wireless Mouse</v>
      </c>
      <c r="E333" t="str">
        <f>VLOOKUP(C333,PM[],3,FALSE)</f>
        <v>Electronics</v>
      </c>
      <c r="F333">
        <f>_xlfn.XLOOKUP(C333,PM[Product ID],PM[Unit Price (₹)])</f>
        <v>780</v>
      </c>
      <c r="G333" t="str">
        <f>_xlfn.XLOOKUP(Sales7[[#This Row],[Order ID]],ST[Order ID],ST[Employee ID])</f>
        <v>E03</v>
      </c>
      <c r="H333" t="str">
        <f>_xlfn.XLOOKUP(G333,SM[Employee ID],SM[Salesperson])</f>
        <v>Rohan Mehta</v>
      </c>
      <c r="I333" t="str">
        <f>_xlfn.XLOOKUP(G333,SM[Employee ID],SM[Region])</f>
        <v>South</v>
      </c>
      <c r="J333" t="str">
        <f>_xlfn.XLOOKUP(G333,SM[Employee ID],SM[State/City])</f>
        <v>Bengaluru</v>
      </c>
      <c r="K333" s="2">
        <f>_xlfn.XLOOKUP(Sales7[[#This Row],[Order ID]],ST[Order ID],ST[Units Sold])</f>
        <v>2</v>
      </c>
      <c r="L333">
        <f t="shared" si="5"/>
        <v>1560</v>
      </c>
    </row>
    <row r="334" spans="1:12" x14ac:dyDescent="0.35">
      <c r="A334" s="7">
        <v>1316</v>
      </c>
      <c r="B334" s="1">
        <v>45288</v>
      </c>
      <c r="C334" s="2" t="s">
        <v>11</v>
      </c>
      <c r="D334" t="str">
        <f>_xlfn.XLOOKUP(Merged_Sales_Data!C334,PM[Product ID],PM[Product Name])</f>
        <v>Bluetooth Speaker</v>
      </c>
      <c r="E334" t="str">
        <f>VLOOKUP(C334,PM[],3,FALSE)</f>
        <v>Electronics</v>
      </c>
      <c r="F334">
        <f>_xlfn.XLOOKUP(C334,PM[Product ID],PM[Unit Price (₹)])</f>
        <v>1430</v>
      </c>
      <c r="G334" t="str">
        <f>_xlfn.XLOOKUP(Sales7[[#This Row],[Order ID]],ST[Order ID],ST[Employee ID])</f>
        <v>E03</v>
      </c>
      <c r="H334" t="str">
        <f>_xlfn.XLOOKUP(G334,SM[Employee ID],SM[Salesperson])</f>
        <v>Rohan Mehta</v>
      </c>
      <c r="I334" t="str">
        <f>_xlfn.XLOOKUP(G334,SM[Employee ID],SM[Region])</f>
        <v>South</v>
      </c>
      <c r="J334" t="str">
        <f>_xlfn.XLOOKUP(G334,SM[Employee ID],SM[State/City])</f>
        <v>Bengaluru</v>
      </c>
      <c r="K334" s="2">
        <f>_xlfn.XLOOKUP(Sales7[[#This Row],[Order ID]],ST[Order ID],ST[Units Sold])</f>
        <v>10</v>
      </c>
      <c r="L334">
        <f t="shared" si="5"/>
        <v>14300</v>
      </c>
    </row>
    <row r="335" spans="1:12" x14ac:dyDescent="0.35">
      <c r="A335" s="7">
        <v>1325</v>
      </c>
      <c r="B335" s="1">
        <v>45288</v>
      </c>
      <c r="C335" s="2" t="s">
        <v>21</v>
      </c>
      <c r="D335" t="str">
        <f>_xlfn.XLOOKUP(Merged_Sales_Data!C335,PM[Product ID],PM[Product Name])</f>
        <v>Wireless Mouse</v>
      </c>
      <c r="E335" t="str">
        <f>VLOOKUP(C335,PM[],3,FALSE)</f>
        <v>Electronics</v>
      </c>
      <c r="F335">
        <f>_xlfn.XLOOKUP(C335,PM[Product ID],PM[Unit Price (₹)])</f>
        <v>780</v>
      </c>
      <c r="G335" t="str">
        <f>_xlfn.XLOOKUP(Sales7[[#This Row],[Order ID]],ST[Order ID],ST[Employee ID])</f>
        <v>E01</v>
      </c>
      <c r="H335" t="str">
        <f>_xlfn.XLOOKUP(G335,SM[Employee ID],SM[Salesperson])</f>
        <v>Aarav Sharma</v>
      </c>
      <c r="I335" t="str">
        <f>_xlfn.XLOOKUP(G335,SM[Employee ID],SM[Region])</f>
        <v>North</v>
      </c>
      <c r="J335" t="str">
        <f>_xlfn.XLOOKUP(G335,SM[Employee ID],SM[State/City])</f>
        <v>Lucknow</v>
      </c>
      <c r="K335" s="2">
        <f>_xlfn.XLOOKUP(Sales7[[#This Row],[Order ID]],ST[Order ID],ST[Units Sold])</f>
        <v>5</v>
      </c>
      <c r="L335">
        <f t="shared" si="5"/>
        <v>3900</v>
      </c>
    </row>
    <row r="336" spans="1:12" x14ac:dyDescent="0.35">
      <c r="A336" s="7">
        <v>1332</v>
      </c>
      <c r="B336" s="1">
        <v>45288</v>
      </c>
      <c r="C336" s="2" t="s">
        <v>11</v>
      </c>
      <c r="D336" t="str">
        <f>_xlfn.XLOOKUP(Merged_Sales_Data!C336,PM[Product ID],PM[Product Name])</f>
        <v>Bluetooth Speaker</v>
      </c>
      <c r="E336" t="str">
        <f>VLOOKUP(C336,PM[],3,FALSE)</f>
        <v>Electronics</v>
      </c>
      <c r="F336">
        <f>_xlfn.XLOOKUP(C336,PM[Product ID],PM[Unit Price (₹)])</f>
        <v>1430</v>
      </c>
      <c r="G336" t="str">
        <f>_xlfn.XLOOKUP(Sales7[[#This Row],[Order ID]],ST[Order ID],ST[Employee ID])</f>
        <v>E07</v>
      </c>
      <c r="H336" t="str">
        <f>_xlfn.XLOOKUP(G336,SM[Employee ID],SM[Salesperson])</f>
        <v>Aditya Kapoor</v>
      </c>
      <c r="I336" t="str">
        <f>_xlfn.XLOOKUP(G336,SM[Employee ID],SM[Region])</f>
        <v>West</v>
      </c>
      <c r="J336" t="str">
        <f>_xlfn.XLOOKUP(G336,SM[Employee ID],SM[State/City])</f>
        <v>Mumbai</v>
      </c>
      <c r="K336" s="2">
        <f>_xlfn.XLOOKUP(Sales7[[#This Row],[Order ID]],ST[Order ID],ST[Units Sold])</f>
        <v>1</v>
      </c>
      <c r="L336">
        <f t="shared" si="5"/>
        <v>1430</v>
      </c>
    </row>
    <row r="337" spans="1:12" x14ac:dyDescent="0.35">
      <c r="A337" s="7">
        <v>1327</v>
      </c>
      <c r="B337" s="1">
        <v>45289</v>
      </c>
      <c r="C337" s="2" t="s">
        <v>14</v>
      </c>
      <c r="D337" t="str">
        <f>_xlfn.XLOOKUP(Merged_Sales_Data!C337,PM[Product ID],PM[Product Name])</f>
        <v>Laptop Backpack</v>
      </c>
      <c r="E337" t="str">
        <f>VLOOKUP(C337,PM[],3,FALSE)</f>
        <v>Accessories</v>
      </c>
      <c r="F337">
        <f>_xlfn.XLOOKUP(C337,PM[Product ID],PM[Unit Price (₹)])</f>
        <v>1110</v>
      </c>
      <c r="G337" t="str">
        <f>_xlfn.XLOOKUP(Sales7[[#This Row],[Order ID]],ST[Order ID],ST[Employee ID])</f>
        <v>E08</v>
      </c>
      <c r="H337" t="str">
        <f>_xlfn.XLOOKUP(G337,SM[Employee ID],SM[Salesperson])</f>
        <v>Neha Joshi</v>
      </c>
      <c r="I337" t="str">
        <f>_xlfn.XLOOKUP(G337,SM[Employee ID],SM[Region])</f>
        <v>West</v>
      </c>
      <c r="J337" t="str">
        <f>_xlfn.XLOOKUP(G337,SM[Employee ID],SM[State/City])</f>
        <v>Ahmedabad</v>
      </c>
      <c r="K337" s="2">
        <f>_xlfn.XLOOKUP(Sales7[[#This Row],[Order ID]],ST[Order ID],ST[Units Sold])</f>
        <v>1</v>
      </c>
      <c r="L337">
        <f t="shared" si="5"/>
        <v>1110</v>
      </c>
    </row>
    <row r="338" spans="1:12" x14ac:dyDescent="0.35">
      <c r="A338" s="7">
        <v>1333</v>
      </c>
      <c r="B338" s="1">
        <v>45289</v>
      </c>
      <c r="C338" s="2" t="s">
        <v>10</v>
      </c>
      <c r="D338" t="str">
        <f>_xlfn.XLOOKUP(Merged_Sales_Data!C338,PM[Product ID],PM[Product Name])</f>
        <v>Filing Cabinet</v>
      </c>
      <c r="E338" t="str">
        <f>VLOOKUP(C338,PM[],3,FALSE)</f>
        <v>Furniture</v>
      </c>
      <c r="F338">
        <f>_xlfn.XLOOKUP(C338,PM[Product ID],PM[Unit Price (₹)])</f>
        <v>4070</v>
      </c>
      <c r="G338" t="str">
        <f>_xlfn.XLOOKUP(Sales7[[#This Row],[Order ID]],ST[Order ID],ST[Employee ID])</f>
        <v>E04</v>
      </c>
      <c r="H338" t="str">
        <f>_xlfn.XLOOKUP(G338,SM[Employee ID],SM[Salesperson])</f>
        <v>Priya Nair</v>
      </c>
      <c r="I338" t="str">
        <f>_xlfn.XLOOKUP(G338,SM[Employee ID],SM[Region])</f>
        <v>South</v>
      </c>
      <c r="J338" t="str">
        <f>_xlfn.XLOOKUP(G338,SM[Employee ID],SM[State/City])</f>
        <v>Bengaluru</v>
      </c>
      <c r="K338" s="2">
        <f>_xlfn.XLOOKUP(Sales7[[#This Row],[Order ID]],ST[Order ID],ST[Units Sold])</f>
        <v>5</v>
      </c>
      <c r="L338">
        <f t="shared" si="5"/>
        <v>20350</v>
      </c>
    </row>
    <row r="339" spans="1:12" x14ac:dyDescent="0.35">
      <c r="A339" s="7">
        <v>1323</v>
      </c>
      <c r="B339" s="1">
        <v>45291</v>
      </c>
      <c r="C339" s="2" t="s">
        <v>8</v>
      </c>
      <c r="D339" t="str">
        <f>_xlfn.XLOOKUP(Merged_Sales_Data!C339,PM[Product ID],PM[Product Name])</f>
        <v>USB-C Hub</v>
      </c>
      <c r="E339" t="str">
        <f>VLOOKUP(C339,PM[],3,FALSE)</f>
        <v>Accessories</v>
      </c>
      <c r="F339">
        <f>_xlfn.XLOOKUP(C339,PM[Product ID],PM[Unit Price (₹)])</f>
        <v>880</v>
      </c>
      <c r="G339" t="str">
        <f>_xlfn.XLOOKUP(Sales7[[#This Row],[Order ID]],ST[Order ID],ST[Employee ID])</f>
        <v>E08</v>
      </c>
      <c r="H339" t="str">
        <f>_xlfn.XLOOKUP(G339,SM[Employee ID],SM[Salesperson])</f>
        <v>Neha Joshi</v>
      </c>
      <c r="I339" t="str">
        <f>_xlfn.XLOOKUP(G339,SM[Employee ID],SM[Region])</f>
        <v>West</v>
      </c>
      <c r="J339" t="str">
        <f>_xlfn.XLOOKUP(G339,SM[Employee ID],SM[State/City])</f>
        <v>Ahmedabad</v>
      </c>
      <c r="K339" s="2">
        <f>_xlfn.XLOOKUP(Sales7[[#This Row],[Order ID]],ST[Order ID],ST[Units Sold])</f>
        <v>2</v>
      </c>
      <c r="L339">
        <f t="shared" si="5"/>
        <v>1760</v>
      </c>
    </row>
    <row r="340" spans="1:12" x14ac:dyDescent="0.35">
      <c r="A340" s="7">
        <v>1340</v>
      </c>
      <c r="B340" s="1">
        <v>45293</v>
      </c>
      <c r="C340" s="2" t="s">
        <v>18</v>
      </c>
      <c r="D340" t="str">
        <f>_xlfn.XLOOKUP(Merged_Sales_Data!C340,PM[Product ID],PM[Product Name])</f>
        <v>LED Monitor 24"</v>
      </c>
      <c r="E340" t="str">
        <f>VLOOKUP(C340,PM[],3,FALSE)</f>
        <v>Electronics</v>
      </c>
      <c r="F340">
        <f>_xlfn.XLOOKUP(C340,PM[Product ID],PM[Unit Price (₹)])</f>
        <v>7700</v>
      </c>
      <c r="G340" t="str">
        <f>_xlfn.XLOOKUP(Sales7[[#This Row],[Order ID]],ST[Order ID],ST[Employee ID])</f>
        <v>E06</v>
      </c>
      <c r="H340" t="str">
        <f>_xlfn.XLOOKUP(G340,SM[Employee ID],SM[Salesperson])</f>
        <v>Sneha Roy</v>
      </c>
      <c r="I340" t="str">
        <f>_xlfn.XLOOKUP(G340,SM[Employee ID],SM[Region])</f>
        <v>East</v>
      </c>
      <c r="J340" t="str">
        <f>_xlfn.XLOOKUP(G340,SM[Employee ID],SM[State/City])</f>
        <v>Kolkata</v>
      </c>
      <c r="K340" s="2">
        <f>_xlfn.XLOOKUP(Sales7[[#This Row],[Order ID]],ST[Order ID],ST[Units Sold])</f>
        <v>6</v>
      </c>
      <c r="L340">
        <f t="shared" si="5"/>
        <v>46200</v>
      </c>
    </row>
    <row r="341" spans="1:12" x14ac:dyDescent="0.35">
      <c r="A341" s="7">
        <v>1356</v>
      </c>
      <c r="B341" s="1">
        <v>45294</v>
      </c>
      <c r="C341" s="2" t="s">
        <v>21</v>
      </c>
      <c r="D341" t="str">
        <f>_xlfn.XLOOKUP(Merged_Sales_Data!C341,PM[Product ID],PM[Product Name])</f>
        <v>Wireless Mouse</v>
      </c>
      <c r="E341" t="str">
        <f>VLOOKUP(C341,PM[],3,FALSE)</f>
        <v>Electronics</v>
      </c>
      <c r="F341">
        <f>_xlfn.XLOOKUP(C341,PM[Product ID],PM[Unit Price (₹)])</f>
        <v>780</v>
      </c>
      <c r="G341" t="str">
        <f>_xlfn.XLOOKUP(Sales7[[#This Row],[Order ID]],ST[Order ID],ST[Employee ID])</f>
        <v>E03</v>
      </c>
      <c r="H341" t="str">
        <f>_xlfn.XLOOKUP(G341,SM[Employee ID],SM[Salesperson])</f>
        <v>Rohan Mehta</v>
      </c>
      <c r="I341" t="str">
        <f>_xlfn.XLOOKUP(G341,SM[Employee ID],SM[Region])</f>
        <v>South</v>
      </c>
      <c r="J341" t="str">
        <f>_xlfn.XLOOKUP(G341,SM[Employee ID],SM[State/City])</f>
        <v>Bengaluru</v>
      </c>
      <c r="K341" s="2">
        <f>_xlfn.XLOOKUP(Sales7[[#This Row],[Order ID]],ST[Order ID],ST[Units Sold])</f>
        <v>10</v>
      </c>
      <c r="L341">
        <f t="shared" si="5"/>
        <v>7800</v>
      </c>
    </row>
    <row r="342" spans="1:12" x14ac:dyDescent="0.35">
      <c r="A342" s="7">
        <v>1355</v>
      </c>
      <c r="B342" s="1">
        <v>45296</v>
      </c>
      <c r="C342" s="2" t="s">
        <v>11</v>
      </c>
      <c r="D342" t="str">
        <f>_xlfn.XLOOKUP(Merged_Sales_Data!C342,PM[Product ID],PM[Product Name])</f>
        <v>Bluetooth Speaker</v>
      </c>
      <c r="E342" t="str">
        <f>VLOOKUP(C342,PM[],3,FALSE)</f>
        <v>Electronics</v>
      </c>
      <c r="F342">
        <f>_xlfn.XLOOKUP(C342,PM[Product ID],PM[Unit Price (₹)])</f>
        <v>1430</v>
      </c>
      <c r="G342" t="str">
        <f>_xlfn.XLOOKUP(Sales7[[#This Row],[Order ID]],ST[Order ID],ST[Employee ID])</f>
        <v>E06</v>
      </c>
      <c r="H342" t="str">
        <f>_xlfn.XLOOKUP(G342,SM[Employee ID],SM[Salesperson])</f>
        <v>Sneha Roy</v>
      </c>
      <c r="I342" t="str">
        <f>_xlfn.XLOOKUP(G342,SM[Employee ID],SM[Region])</f>
        <v>East</v>
      </c>
      <c r="J342" t="str">
        <f>_xlfn.XLOOKUP(G342,SM[Employee ID],SM[State/City])</f>
        <v>Kolkata</v>
      </c>
      <c r="K342" s="2">
        <f>_xlfn.XLOOKUP(Sales7[[#This Row],[Order ID]],ST[Order ID],ST[Units Sold])</f>
        <v>1</v>
      </c>
      <c r="L342">
        <f t="shared" si="5"/>
        <v>1430</v>
      </c>
    </row>
    <row r="343" spans="1:12" x14ac:dyDescent="0.35">
      <c r="A343" s="7">
        <v>1348</v>
      </c>
      <c r="B343" s="1">
        <v>45297</v>
      </c>
      <c r="C343" s="2" t="s">
        <v>20</v>
      </c>
      <c r="D343" t="str">
        <f>_xlfn.XLOOKUP(Merged_Sales_Data!C343,PM[Product ID],PM[Product Name])</f>
        <v>Standing Desk</v>
      </c>
      <c r="E343" t="str">
        <f>VLOOKUP(C343,PM[],3,FALSE)</f>
        <v>Office Supplies</v>
      </c>
      <c r="F343">
        <f>_xlfn.XLOOKUP(C343,PM[Product ID],PM[Unit Price (₹)])</f>
        <v>11010</v>
      </c>
      <c r="G343" t="str">
        <f>_xlfn.XLOOKUP(Sales7[[#This Row],[Order ID]],ST[Order ID],ST[Employee ID])</f>
        <v>E01</v>
      </c>
      <c r="H343" t="str">
        <f>_xlfn.XLOOKUP(G343,SM[Employee ID],SM[Salesperson])</f>
        <v>Aarav Sharma</v>
      </c>
      <c r="I343" t="str">
        <f>_xlfn.XLOOKUP(G343,SM[Employee ID],SM[Region])</f>
        <v>North</v>
      </c>
      <c r="J343" t="str">
        <f>_xlfn.XLOOKUP(G343,SM[Employee ID],SM[State/City])</f>
        <v>Lucknow</v>
      </c>
      <c r="K343" s="2">
        <f>_xlfn.XLOOKUP(Sales7[[#This Row],[Order ID]],ST[Order ID],ST[Units Sold])</f>
        <v>1</v>
      </c>
      <c r="L343">
        <f t="shared" si="5"/>
        <v>11010</v>
      </c>
    </row>
    <row r="344" spans="1:12" x14ac:dyDescent="0.35">
      <c r="A344" s="7">
        <v>1352</v>
      </c>
      <c r="B344" s="1">
        <v>45298</v>
      </c>
      <c r="C344" s="2" t="s">
        <v>11</v>
      </c>
      <c r="D344" t="str">
        <f>_xlfn.XLOOKUP(Merged_Sales_Data!C344,PM[Product ID],PM[Product Name])</f>
        <v>Bluetooth Speaker</v>
      </c>
      <c r="E344" t="str">
        <f>VLOOKUP(C344,PM[],3,FALSE)</f>
        <v>Electronics</v>
      </c>
      <c r="F344">
        <f>_xlfn.XLOOKUP(C344,PM[Product ID],PM[Unit Price (₹)])</f>
        <v>1430</v>
      </c>
      <c r="G344" t="str">
        <f>_xlfn.XLOOKUP(Sales7[[#This Row],[Order ID]],ST[Order ID],ST[Employee ID])</f>
        <v>E01</v>
      </c>
      <c r="H344" t="str">
        <f>_xlfn.XLOOKUP(G344,SM[Employee ID],SM[Salesperson])</f>
        <v>Aarav Sharma</v>
      </c>
      <c r="I344" t="str">
        <f>_xlfn.XLOOKUP(G344,SM[Employee ID],SM[Region])</f>
        <v>North</v>
      </c>
      <c r="J344" t="str">
        <f>_xlfn.XLOOKUP(G344,SM[Employee ID],SM[State/City])</f>
        <v>Lucknow</v>
      </c>
      <c r="K344" s="2">
        <f>_xlfn.XLOOKUP(Sales7[[#This Row],[Order ID]],ST[Order ID],ST[Units Sold])</f>
        <v>6</v>
      </c>
      <c r="L344">
        <f t="shared" si="5"/>
        <v>8580</v>
      </c>
    </row>
    <row r="345" spans="1:12" x14ac:dyDescent="0.35">
      <c r="A345" s="7">
        <v>1358</v>
      </c>
      <c r="B345" s="1">
        <v>45300</v>
      </c>
      <c r="C345" s="2" t="s">
        <v>14</v>
      </c>
      <c r="D345" t="str">
        <f>_xlfn.XLOOKUP(Merged_Sales_Data!C345,PM[Product ID],PM[Product Name])</f>
        <v>Laptop Backpack</v>
      </c>
      <c r="E345" t="str">
        <f>VLOOKUP(C345,PM[],3,FALSE)</f>
        <v>Accessories</v>
      </c>
      <c r="F345">
        <f>_xlfn.XLOOKUP(C345,PM[Product ID],PM[Unit Price (₹)])</f>
        <v>1110</v>
      </c>
      <c r="G345" t="str">
        <f>_xlfn.XLOOKUP(Sales7[[#This Row],[Order ID]],ST[Order ID],ST[Employee ID])</f>
        <v>E08</v>
      </c>
      <c r="H345" t="str">
        <f>_xlfn.XLOOKUP(G345,SM[Employee ID],SM[Salesperson])</f>
        <v>Neha Joshi</v>
      </c>
      <c r="I345" t="str">
        <f>_xlfn.XLOOKUP(G345,SM[Employee ID],SM[Region])</f>
        <v>West</v>
      </c>
      <c r="J345" t="str">
        <f>_xlfn.XLOOKUP(G345,SM[Employee ID],SM[State/City])</f>
        <v>Ahmedabad</v>
      </c>
      <c r="K345" s="2">
        <f>_xlfn.XLOOKUP(Sales7[[#This Row],[Order ID]],ST[Order ID],ST[Units Sold])</f>
        <v>4</v>
      </c>
      <c r="L345">
        <f t="shared" si="5"/>
        <v>4440</v>
      </c>
    </row>
    <row r="346" spans="1:12" x14ac:dyDescent="0.35">
      <c r="A346" s="7">
        <v>1361</v>
      </c>
      <c r="B346" s="1">
        <v>45301</v>
      </c>
      <c r="C346" s="2" t="s">
        <v>8</v>
      </c>
      <c r="D346" t="str">
        <f>_xlfn.XLOOKUP(Merged_Sales_Data!C346,PM[Product ID],PM[Product Name])</f>
        <v>USB-C Hub</v>
      </c>
      <c r="E346" t="str">
        <f>VLOOKUP(C346,PM[],3,FALSE)</f>
        <v>Accessories</v>
      </c>
      <c r="F346">
        <f>_xlfn.XLOOKUP(C346,PM[Product ID],PM[Unit Price (₹)])</f>
        <v>880</v>
      </c>
      <c r="G346" t="str">
        <f>_xlfn.XLOOKUP(Sales7[[#This Row],[Order ID]],ST[Order ID],ST[Employee ID])</f>
        <v>E08</v>
      </c>
      <c r="H346" t="str">
        <f>_xlfn.XLOOKUP(G346,SM[Employee ID],SM[Salesperson])</f>
        <v>Neha Joshi</v>
      </c>
      <c r="I346" t="str">
        <f>_xlfn.XLOOKUP(G346,SM[Employee ID],SM[Region])</f>
        <v>West</v>
      </c>
      <c r="J346" t="str">
        <f>_xlfn.XLOOKUP(G346,SM[Employee ID],SM[State/City])</f>
        <v>Ahmedabad</v>
      </c>
      <c r="K346" s="2">
        <f>_xlfn.XLOOKUP(Sales7[[#This Row],[Order ID]],ST[Order ID],ST[Units Sold])</f>
        <v>10</v>
      </c>
      <c r="L346">
        <f t="shared" si="5"/>
        <v>8800</v>
      </c>
    </row>
    <row r="347" spans="1:12" x14ac:dyDescent="0.35">
      <c r="A347" s="7">
        <v>1363</v>
      </c>
      <c r="B347" s="1">
        <v>45301</v>
      </c>
      <c r="C347" s="2" t="s">
        <v>21</v>
      </c>
      <c r="D347" t="str">
        <f>_xlfn.XLOOKUP(Merged_Sales_Data!C347,PM[Product ID],PM[Product Name])</f>
        <v>Wireless Mouse</v>
      </c>
      <c r="E347" t="str">
        <f>VLOOKUP(C347,PM[],3,FALSE)</f>
        <v>Electronics</v>
      </c>
      <c r="F347">
        <f>_xlfn.XLOOKUP(C347,PM[Product ID],PM[Unit Price (₹)])</f>
        <v>780</v>
      </c>
      <c r="G347" t="str">
        <f>_xlfn.XLOOKUP(Sales7[[#This Row],[Order ID]],ST[Order ID],ST[Employee ID])</f>
        <v>E01</v>
      </c>
      <c r="H347" t="str">
        <f>_xlfn.XLOOKUP(G347,SM[Employee ID],SM[Salesperson])</f>
        <v>Aarav Sharma</v>
      </c>
      <c r="I347" t="str">
        <f>_xlfn.XLOOKUP(G347,SM[Employee ID],SM[Region])</f>
        <v>North</v>
      </c>
      <c r="J347" t="str">
        <f>_xlfn.XLOOKUP(G347,SM[Employee ID],SM[State/City])</f>
        <v>Lucknow</v>
      </c>
      <c r="K347" s="2">
        <f>_xlfn.XLOOKUP(Sales7[[#This Row],[Order ID]],ST[Order ID],ST[Units Sold])</f>
        <v>2</v>
      </c>
      <c r="L347">
        <f t="shared" si="5"/>
        <v>1560</v>
      </c>
    </row>
    <row r="348" spans="1:12" x14ac:dyDescent="0.35">
      <c r="A348" s="7">
        <v>1364</v>
      </c>
      <c r="B348" s="1">
        <v>45301</v>
      </c>
      <c r="C348" s="2" t="s">
        <v>18</v>
      </c>
      <c r="D348" t="str">
        <f>_xlfn.XLOOKUP(Merged_Sales_Data!C348,PM[Product ID],PM[Product Name])</f>
        <v>LED Monitor 24"</v>
      </c>
      <c r="E348" t="str">
        <f>VLOOKUP(C348,PM[],3,FALSE)</f>
        <v>Electronics</v>
      </c>
      <c r="F348">
        <f>_xlfn.XLOOKUP(C348,PM[Product ID],PM[Unit Price (₹)])</f>
        <v>7700</v>
      </c>
      <c r="G348" t="str">
        <f>_xlfn.XLOOKUP(Sales7[[#This Row],[Order ID]],ST[Order ID],ST[Employee ID])</f>
        <v>E04</v>
      </c>
      <c r="H348" t="str">
        <f>_xlfn.XLOOKUP(G348,SM[Employee ID],SM[Salesperson])</f>
        <v>Priya Nair</v>
      </c>
      <c r="I348" t="str">
        <f>_xlfn.XLOOKUP(G348,SM[Employee ID],SM[Region])</f>
        <v>South</v>
      </c>
      <c r="J348" t="str">
        <f>_xlfn.XLOOKUP(G348,SM[Employee ID],SM[State/City])</f>
        <v>Bengaluru</v>
      </c>
      <c r="K348" s="2">
        <f>_xlfn.XLOOKUP(Sales7[[#This Row],[Order ID]],ST[Order ID],ST[Units Sold])</f>
        <v>2</v>
      </c>
      <c r="L348">
        <f t="shared" si="5"/>
        <v>15400</v>
      </c>
    </row>
    <row r="349" spans="1:12" x14ac:dyDescent="0.35">
      <c r="A349" s="7">
        <v>1353</v>
      </c>
      <c r="B349" s="1">
        <v>45302</v>
      </c>
      <c r="C349" s="2" t="s">
        <v>10</v>
      </c>
      <c r="D349" t="str">
        <f>_xlfn.XLOOKUP(Merged_Sales_Data!C349,PM[Product ID],PM[Product Name])</f>
        <v>Filing Cabinet</v>
      </c>
      <c r="E349" t="str">
        <f>VLOOKUP(C349,PM[],3,FALSE)</f>
        <v>Furniture</v>
      </c>
      <c r="F349">
        <f>_xlfn.XLOOKUP(C349,PM[Product ID],PM[Unit Price (₹)])</f>
        <v>4070</v>
      </c>
      <c r="G349" t="str">
        <f>_xlfn.XLOOKUP(Sales7[[#This Row],[Order ID]],ST[Order ID],ST[Employee ID])</f>
        <v>E07</v>
      </c>
      <c r="H349" t="str">
        <f>_xlfn.XLOOKUP(G349,SM[Employee ID],SM[Salesperson])</f>
        <v>Aditya Kapoor</v>
      </c>
      <c r="I349" t="str">
        <f>_xlfn.XLOOKUP(G349,SM[Employee ID],SM[Region])</f>
        <v>West</v>
      </c>
      <c r="J349" t="str">
        <f>_xlfn.XLOOKUP(G349,SM[Employee ID],SM[State/City])</f>
        <v>Mumbai</v>
      </c>
      <c r="K349" s="2">
        <f>_xlfn.XLOOKUP(Sales7[[#This Row],[Order ID]],ST[Order ID],ST[Units Sold])</f>
        <v>5</v>
      </c>
      <c r="L349">
        <f t="shared" si="5"/>
        <v>20350</v>
      </c>
    </row>
    <row r="350" spans="1:12" x14ac:dyDescent="0.35">
      <c r="A350" s="7">
        <v>1341</v>
      </c>
      <c r="B350" s="1">
        <v>45303</v>
      </c>
      <c r="C350" s="2" t="s">
        <v>11</v>
      </c>
      <c r="D350" t="str">
        <f>_xlfn.XLOOKUP(Merged_Sales_Data!C350,PM[Product ID],PM[Product Name])</f>
        <v>Bluetooth Speaker</v>
      </c>
      <c r="E350" t="str">
        <f>VLOOKUP(C350,PM[],3,FALSE)</f>
        <v>Electronics</v>
      </c>
      <c r="F350">
        <f>_xlfn.XLOOKUP(C350,PM[Product ID],PM[Unit Price (₹)])</f>
        <v>1430</v>
      </c>
      <c r="G350" t="str">
        <f>_xlfn.XLOOKUP(Sales7[[#This Row],[Order ID]],ST[Order ID],ST[Employee ID])</f>
        <v>E06</v>
      </c>
      <c r="H350" t="str">
        <f>_xlfn.XLOOKUP(G350,SM[Employee ID],SM[Salesperson])</f>
        <v>Sneha Roy</v>
      </c>
      <c r="I350" t="str">
        <f>_xlfn.XLOOKUP(G350,SM[Employee ID],SM[Region])</f>
        <v>East</v>
      </c>
      <c r="J350" t="str">
        <f>_xlfn.XLOOKUP(G350,SM[Employee ID],SM[State/City])</f>
        <v>Kolkata</v>
      </c>
      <c r="K350" s="2">
        <f>_xlfn.XLOOKUP(Sales7[[#This Row],[Order ID]],ST[Order ID],ST[Units Sold])</f>
        <v>4</v>
      </c>
      <c r="L350">
        <f t="shared" si="5"/>
        <v>5720</v>
      </c>
    </row>
    <row r="351" spans="1:12" x14ac:dyDescent="0.35">
      <c r="A351" s="7">
        <v>1349</v>
      </c>
      <c r="B351" s="1">
        <v>45303</v>
      </c>
      <c r="C351" s="2" t="s">
        <v>20</v>
      </c>
      <c r="D351" t="str">
        <f>_xlfn.XLOOKUP(Merged_Sales_Data!C351,PM[Product ID],PM[Product Name])</f>
        <v>Standing Desk</v>
      </c>
      <c r="E351" t="str">
        <f>VLOOKUP(C351,PM[],3,FALSE)</f>
        <v>Office Supplies</v>
      </c>
      <c r="F351">
        <f>_xlfn.XLOOKUP(C351,PM[Product ID],PM[Unit Price (₹)])</f>
        <v>11010</v>
      </c>
      <c r="G351" t="str">
        <f>_xlfn.XLOOKUP(Sales7[[#This Row],[Order ID]],ST[Order ID],ST[Employee ID])</f>
        <v>E05</v>
      </c>
      <c r="H351" t="str">
        <f>_xlfn.XLOOKUP(G351,SM[Employee ID],SM[Salesperson])</f>
        <v>Karan Malhotra</v>
      </c>
      <c r="I351" t="str">
        <f>_xlfn.XLOOKUP(G351,SM[Employee ID],SM[Region])</f>
        <v>East</v>
      </c>
      <c r="J351" t="str">
        <f>_xlfn.XLOOKUP(G351,SM[Employee ID],SM[State/City])</f>
        <v>Kolkata</v>
      </c>
      <c r="K351" s="2">
        <f>_xlfn.XLOOKUP(Sales7[[#This Row],[Order ID]],ST[Order ID],ST[Units Sold])</f>
        <v>3</v>
      </c>
      <c r="L351">
        <f t="shared" si="5"/>
        <v>33030</v>
      </c>
    </row>
    <row r="352" spans="1:12" x14ac:dyDescent="0.35">
      <c r="A352" s="7">
        <v>1359</v>
      </c>
      <c r="B352" s="1">
        <v>45303</v>
      </c>
      <c r="C352" s="2" t="s">
        <v>8</v>
      </c>
      <c r="D352" t="str">
        <f>_xlfn.XLOOKUP(Merged_Sales_Data!C352,PM[Product ID],PM[Product Name])</f>
        <v>USB-C Hub</v>
      </c>
      <c r="E352" t="str">
        <f>VLOOKUP(C352,PM[],3,FALSE)</f>
        <v>Accessories</v>
      </c>
      <c r="F352">
        <f>_xlfn.XLOOKUP(C352,PM[Product ID],PM[Unit Price (₹)])</f>
        <v>880</v>
      </c>
      <c r="G352" t="str">
        <f>_xlfn.XLOOKUP(Sales7[[#This Row],[Order ID]],ST[Order ID],ST[Employee ID])</f>
        <v>E04</v>
      </c>
      <c r="H352" t="str">
        <f>_xlfn.XLOOKUP(G352,SM[Employee ID],SM[Salesperson])</f>
        <v>Priya Nair</v>
      </c>
      <c r="I352" t="str">
        <f>_xlfn.XLOOKUP(G352,SM[Employee ID],SM[Region])</f>
        <v>South</v>
      </c>
      <c r="J352" t="str">
        <f>_xlfn.XLOOKUP(G352,SM[Employee ID],SM[State/City])</f>
        <v>Bengaluru</v>
      </c>
      <c r="K352" s="2">
        <f>_xlfn.XLOOKUP(Sales7[[#This Row],[Order ID]],ST[Order ID],ST[Units Sold])</f>
        <v>1</v>
      </c>
      <c r="L352">
        <f t="shared" si="5"/>
        <v>880</v>
      </c>
    </row>
    <row r="353" spans="1:12" x14ac:dyDescent="0.35">
      <c r="A353" s="7">
        <v>1357</v>
      </c>
      <c r="B353" s="1">
        <v>45305</v>
      </c>
      <c r="C353" s="2" t="s">
        <v>14</v>
      </c>
      <c r="D353" t="str">
        <f>_xlfn.XLOOKUP(Merged_Sales_Data!C353,PM[Product ID],PM[Product Name])</f>
        <v>Laptop Backpack</v>
      </c>
      <c r="E353" t="str">
        <f>VLOOKUP(C353,PM[],3,FALSE)</f>
        <v>Accessories</v>
      </c>
      <c r="F353">
        <f>_xlfn.XLOOKUP(C353,PM[Product ID],PM[Unit Price (₹)])</f>
        <v>1110</v>
      </c>
      <c r="G353" t="str">
        <f>_xlfn.XLOOKUP(Sales7[[#This Row],[Order ID]],ST[Order ID],ST[Employee ID])</f>
        <v>E05</v>
      </c>
      <c r="H353" t="str">
        <f>_xlfn.XLOOKUP(G353,SM[Employee ID],SM[Salesperson])</f>
        <v>Karan Malhotra</v>
      </c>
      <c r="I353" t="str">
        <f>_xlfn.XLOOKUP(G353,SM[Employee ID],SM[Region])</f>
        <v>East</v>
      </c>
      <c r="J353" t="str">
        <f>_xlfn.XLOOKUP(G353,SM[Employee ID],SM[State/City])</f>
        <v>Kolkata</v>
      </c>
      <c r="K353" s="2">
        <f>_xlfn.XLOOKUP(Sales7[[#This Row],[Order ID]],ST[Order ID],ST[Units Sold])</f>
        <v>10</v>
      </c>
      <c r="L353">
        <f t="shared" si="5"/>
        <v>11100</v>
      </c>
    </row>
    <row r="354" spans="1:12" x14ac:dyDescent="0.35">
      <c r="A354" s="7">
        <v>1344</v>
      </c>
      <c r="B354" s="1">
        <v>45307</v>
      </c>
      <c r="C354" s="2" t="s">
        <v>18</v>
      </c>
      <c r="D354" t="str">
        <f>_xlfn.XLOOKUP(Merged_Sales_Data!C354,PM[Product ID],PM[Product Name])</f>
        <v>LED Monitor 24"</v>
      </c>
      <c r="E354" t="str">
        <f>VLOOKUP(C354,PM[],3,FALSE)</f>
        <v>Electronics</v>
      </c>
      <c r="F354">
        <f>_xlfn.XLOOKUP(C354,PM[Product ID],PM[Unit Price (₹)])</f>
        <v>7700</v>
      </c>
      <c r="G354" t="str">
        <f>_xlfn.XLOOKUP(Sales7[[#This Row],[Order ID]],ST[Order ID],ST[Employee ID])</f>
        <v>E04</v>
      </c>
      <c r="H354" t="str">
        <f>_xlfn.XLOOKUP(G354,SM[Employee ID],SM[Salesperson])</f>
        <v>Priya Nair</v>
      </c>
      <c r="I354" t="str">
        <f>_xlfn.XLOOKUP(G354,SM[Employee ID],SM[Region])</f>
        <v>South</v>
      </c>
      <c r="J354" t="str">
        <f>_xlfn.XLOOKUP(G354,SM[Employee ID],SM[State/City])</f>
        <v>Bengaluru</v>
      </c>
      <c r="K354" s="2">
        <f>_xlfn.XLOOKUP(Sales7[[#This Row],[Order ID]],ST[Order ID],ST[Units Sold])</f>
        <v>10</v>
      </c>
      <c r="L354">
        <f t="shared" si="5"/>
        <v>77000</v>
      </c>
    </row>
    <row r="355" spans="1:12" x14ac:dyDescent="0.35">
      <c r="A355" s="7">
        <v>1343</v>
      </c>
      <c r="B355" s="1">
        <v>45310</v>
      </c>
      <c r="C355" s="2" t="s">
        <v>12</v>
      </c>
      <c r="D355" t="str">
        <f>_xlfn.XLOOKUP(Merged_Sales_Data!C355,PM[Product ID],PM[Product Name])</f>
        <v>Bookshelf Unit</v>
      </c>
      <c r="E355" t="str">
        <f>VLOOKUP(C355,PM[],3,FALSE)</f>
        <v>Furniture</v>
      </c>
      <c r="F355">
        <f>_xlfn.XLOOKUP(C355,PM[Product ID],PM[Unit Price (₹)])</f>
        <v>3910</v>
      </c>
      <c r="G355" t="str">
        <f>_xlfn.XLOOKUP(Sales7[[#This Row],[Order ID]],ST[Order ID],ST[Employee ID])</f>
        <v>E05</v>
      </c>
      <c r="H355" t="str">
        <f>_xlfn.XLOOKUP(G355,SM[Employee ID],SM[Salesperson])</f>
        <v>Karan Malhotra</v>
      </c>
      <c r="I355" t="str">
        <f>_xlfn.XLOOKUP(G355,SM[Employee ID],SM[Region])</f>
        <v>East</v>
      </c>
      <c r="J355" t="str">
        <f>_xlfn.XLOOKUP(G355,SM[Employee ID],SM[State/City])</f>
        <v>Kolkata</v>
      </c>
      <c r="K355" s="2">
        <f>_xlfn.XLOOKUP(Sales7[[#This Row],[Order ID]],ST[Order ID],ST[Units Sold])</f>
        <v>1</v>
      </c>
      <c r="L355">
        <f t="shared" si="5"/>
        <v>3910</v>
      </c>
    </row>
    <row r="356" spans="1:12" x14ac:dyDescent="0.35">
      <c r="A356" s="7">
        <v>1346</v>
      </c>
      <c r="B356" s="1">
        <v>45310</v>
      </c>
      <c r="C356" s="2" t="s">
        <v>11</v>
      </c>
      <c r="D356" t="str">
        <f>_xlfn.XLOOKUP(Merged_Sales_Data!C356,PM[Product ID],PM[Product Name])</f>
        <v>Bluetooth Speaker</v>
      </c>
      <c r="E356" t="str">
        <f>VLOOKUP(C356,PM[],3,FALSE)</f>
        <v>Electronics</v>
      </c>
      <c r="F356">
        <f>_xlfn.XLOOKUP(C356,PM[Product ID],PM[Unit Price (₹)])</f>
        <v>1430</v>
      </c>
      <c r="G356" t="str">
        <f>_xlfn.XLOOKUP(Sales7[[#This Row],[Order ID]],ST[Order ID],ST[Employee ID])</f>
        <v>E06</v>
      </c>
      <c r="H356" t="str">
        <f>_xlfn.XLOOKUP(G356,SM[Employee ID],SM[Salesperson])</f>
        <v>Sneha Roy</v>
      </c>
      <c r="I356" t="str">
        <f>_xlfn.XLOOKUP(G356,SM[Employee ID],SM[Region])</f>
        <v>East</v>
      </c>
      <c r="J356" t="str">
        <f>_xlfn.XLOOKUP(G356,SM[Employee ID],SM[State/City])</f>
        <v>Kolkata</v>
      </c>
      <c r="K356" s="2">
        <f>_xlfn.XLOOKUP(Sales7[[#This Row],[Order ID]],ST[Order ID],ST[Units Sold])</f>
        <v>2</v>
      </c>
      <c r="L356">
        <f t="shared" si="5"/>
        <v>2860</v>
      </c>
    </row>
    <row r="357" spans="1:12" x14ac:dyDescent="0.35">
      <c r="A357" s="7">
        <v>1350</v>
      </c>
      <c r="B357" s="1">
        <v>45310</v>
      </c>
      <c r="C357" s="2" t="s">
        <v>18</v>
      </c>
      <c r="D357" t="str">
        <f>_xlfn.XLOOKUP(Merged_Sales_Data!C357,PM[Product ID],PM[Product Name])</f>
        <v>LED Monitor 24"</v>
      </c>
      <c r="E357" t="str">
        <f>VLOOKUP(C357,PM[],3,FALSE)</f>
        <v>Electronics</v>
      </c>
      <c r="F357">
        <f>_xlfn.XLOOKUP(C357,PM[Product ID],PM[Unit Price (₹)])</f>
        <v>7700</v>
      </c>
      <c r="G357" t="str">
        <f>_xlfn.XLOOKUP(Sales7[[#This Row],[Order ID]],ST[Order ID],ST[Employee ID])</f>
        <v>E01</v>
      </c>
      <c r="H357" t="str">
        <f>_xlfn.XLOOKUP(G357,SM[Employee ID],SM[Salesperson])</f>
        <v>Aarav Sharma</v>
      </c>
      <c r="I357" t="str">
        <f>_xlfn.XLOOKUP(G357,SM[Employee ID],SM[Region])</f>
        <v>North</v>
      </c>
      <c r="J357" t="str">
        <f>_xlfn.XLOOKUP(G357,SM[Employee ID],SM[State/City])</f>
        <v>Lucknow</v>
      </c>
      <c r="K357" s="2">
        <f>_xlfn.XLOOKUP(Sales7[[#This Row],[Order ID]],ST[Order ID],ST[Units Sold])</f>
        <v>1</v>
      </c>
      <c r="L357">
        <f t="shared" si="5"/>
        <v>7700</v>
      </c>
    </row>
    <row r="358" spans="1:12" x14ac:dyDescent="0.35">
      <c r="A358" s="7">
        <v>1342</v>
      </c>
      <c r="B358" s="1">
        <v>45311</v>
      </c>
      <c r="C358" s="2" t="s">
        <v>21</v>
      </c>
      <c r="D358" t="str">
        <f>_xlfn.XLOOKUP(Merged_Sales_Data!C358,PM[Product ID],PM[Product Name])</f>
        <v>Wireless Mouse</v>
      </c>
      <c r="E358" t="str">
        <f>VLOOKUP(C358,PM[],3,FALSE)</f>
        <v>Electronics</v>
      </c>
      <c r="F358">
        <f>_xlfn.XLOOKUP(C358,PM[Product ID],PM[Unit Price (₹)])</f>
        <v>780</v>
      </c>
      <c r="G358" t="str">
        <f>_xlfn.XLOOKUP(Sales7[[#This Row],[Order ID]],ST[Order ID],ST[Employee ID])</f>
        <v>E07</v>
      </c>
      <c r="H358" t="str">
        <f>_xlfn.XLOOKUP(G358,SM[Employee ID],SM[Salesperson])</f>
        <v>Aditya Kapoor</v>
      </c>
      <c r="I358" t="str">
        <f>_xlfn.XLOOKUP(G358,SM[Employee ID],SM[Region])</f>
        <v>West</v>
      </c>
      <c r="J358" t="str">
        <f>_xlfn.XLOOKUP(G358,SM[Employee ID],SM[State/City])</f>
        <v>Mumbai</v>
      </c>
      <c r="K358" s="2">
        <f>_xlfn.XLOOKUP(Sales7[[#This Row],[Order ID]],ST[Order ID],ST[Units Sold])</f>
        <v>2</v>
      </c>
      <c r="L358">
        <f t="shared" si="5"/>
        <v>1560</v>
      </c>
    </row>
    <row r="359" spans="1:12" x14ac:dyDescent="0.35">
      <c r="A359" s="7">
        <v>1362</v>
      </c>
      <c r="B359" s="1">
        <v>45311</v>
      </c>
      <c r="C359" s="2" t="s">
        <v>5</v>
      </c>
      <c r="D359" t="str">
        <f>_xlfn.XLOOKUP(Merged_Sales_Data!C359,PM[Product ID],PM[Product Name])</f>
        <v>Ergo Office Chair</v>
      </c>
      <c r="E359" t="str">
        <f>VLOOKUP(C359,PM[],3,FALSE)</f>
        <v>Office Supplies</v>
      </c>
      <c r="F359">
        <f>_xlfn.XLOOKUP(C359,PM[Product ID],PM[Unit Price (₹)])</f>
        <v>6750</v>
      </c>
      <c r="G359" t="str">
        <f>_xlfn.XLOOKUP(Sales7[[#This Row],[Order ID]],ST[Order ID],ST[Employee ID])</f>
        <v>E01</v>
      </c>
      <c r="H359" t="str">
        <f>_xlfn.XLOOKUP(G359,SM[Employee ID],SM[Salesperson])</f>
        <v>Aarav Sharma</v>
      </c>
      <c r="I359" t="str">
        <f>_xlfn.XLOOKUP(G359,SM[Employee ID],SM[Region])</f>
        <v>North</v>
      </c>
      <c r="J359" t="str">
        <f>_xlfn.XLOOKUP(G359,SM[Employee ID],SM[State/City])</f>
        <v>Lucknow</v>
      </c>
      <c r="K359" s="2">
        <f>_xlfn.XLOOKUP(Sales7[[#This Row],[Order ID]],ST[Order ID],ST[Units Sold])</f>
        <v>4</v>
      </c>
      <c r="L359">
        <f t="shared" si="5"/>
        <v>27000</v>
      </c>
    </row>
    <row r="360" spans="1:12" x14ac:dyDescent="0.35">
      <c r="A360" s="7">
        <v>1360</v>
      </c>
      <c r="B360" s="1">
        <v>45313</v>
      </c>
      <c r="C360" s="2" t="s">
        <v>11</v>
      </c>
      <c r="D360" t="str">
        <f>_xlfn.XLOOKUP(Merged_Sales_Data!C360,PM[Product ID],PM[Product Name])</f>
        <v>Bluetooth Speaker</v>
      </c>
      <c r="E360" t="str">
        <f>VLOOKUP(C360,PM[],3,FALSE)</f>
        <v>Electronics</v>
      </c>
      <c r="F360">
        <f>_xlfn.XLOOKUP(C360,PM[Product ID],PM[Unit Price (₹)])</f>
        <v>1430</v>
      </c>
      <c r="G360" t="str">
        <f>_xlfn.XLOOKUP(Sales7[[#This Row],[Order ID]],ST[Order ID],ST[Employee ID])</f>
        <v>E07</v>
      </c>
      <c r="H360" t="str">
        <f>_xlfn.XLOOKUP(G360,SM[Employee ID],SM[Salesperson])</f>
        <v>Aditya Kapoor</v>
      </c>
      <c r="I360" t="str">
        <f>_xlfn.XLOOKUP(G360,SM[Employee ID],SM[Region])</f>
        <v>West</v>
      </c>
      <c r="J360" t="str">
        <f>_xlfn.XLOOKUP(G360,SM[Employee ID],SM[State/City])</f>
        <v>Mumbai</v>
      </c>
      <c r="K360" s="2">
        <f>_xlfn.XLOOKUP(Sales7[[#This Row],[Order ID]],ST[Order ID],ST[Units Sold])</f>
        <v>2</v>
      </c>
      <c r="L360">
        <f t="shared" si="5"/>
        <v>2860</v>
      </c>
    </row>
    <row r="361" spans="1:12" x14ac:dyDescent="0.35">
      <c r="A361" s="7">
        <v>1339</v>
      </c>
      <c r="B361" s="1">
        <v>45315</v>
      </c>
      <c r="C361" s="2" t="s">
        <v>10</v>
      </c>
      <c r="D361" t="str">
        <f>_xlfn.XLOOKUP(Merged_Sales_Data!C361,PM[Product ID],PM[Product Name])</f>
        <v>Filing Cabinet</v>
      </c>
      <c r="E361" t="str">
        <f>VLOOKUP(C361,PM[],3,FALSE)</f>
        <v>Furniture</v>
      </c>
      <c r="F361">
        <f>_xlfn.XLOOKUP(C361,PM[Product ID],PM[Unit Price (₹)])</f>
        <v>4070</v>
      </c>
      <c r="G361" t="str">
        <f>_xlfn.XLOOKUP(Sales7[[#This Row],[Order ID]],ST[Order ID],ST[Employee ID])</f>
        <v>E02</v>
      </c>
      <c r="H361" t="str">
        <f>_xlfn.XLOOKUP(G361,SM[Employee ID],SM[Salesperson])</f>
        <v>Ishita Verma</v>
      </c>
      <c r="I361" t="str">
        <f>_xlfn.XLOOKUP(G361,SM[Employee ID],SM[Region])</f>
        <v>North</v>
      </c>
      <c r="J361" t="str">
        <f>_xlfn.XLOOKUP(G361,SM[Employee ID],SM[State/City])</f>
        <v>Chandigarh</v>
      </c>
      <c r="K361" s="2">
        <f>_xlfn.XLOOKUP(Sales7[[#This Row],[Order ID]],ST[Order ID],ST[Units Sold])</f>
        <v>1</v>
      </c>
      <c r="L361">
        <f t="shared" si="5"/>
        <v>4070</v>
      </c>
    </row>
    <row r="362" spans="1:12" x14ac:dyDescent="0.35">
      <c r="A362" s="7">
        <v>1351</v>
      </c>
      <c r="B362" s="1">
        <v>45315</v>
      </c>
      <c r="C362" s="2" t="s">
        <v>11</v>
      </c>
      <c r="D362" t="str">
        <f>_xlfn.XLOOKUP(Merged_Sales_Data!C362,PM[Product ID],PM[Product Name])</f>
        <v>Bluetooth Speaker</v>
      </c>
      <c r="E362" t="str">
        <f>VLOOKUP(C362,PM[],3,FALSE)</f>
        <v>Electronics</v>
      </c>
      <c r="F362">
        <f>_xlfn.XLOOKUP(C362,PM[Product ID],PM[Unit Price (₹)])</f>
        <v>1430</v>
      </c>
      <c r="G362" t="str">
        <f>_xlfn.XLOOKUP(Sales7[[#This Row],[Order ID]],ST[Order ID],ST[Employee ID])</f>
        <v>E07</v>
      </c>
      <c r="H362" t="str">
        <f>_xlfn.XLOOKUP(G362,SM[Employee ID],SM[Salesperson])</f>
        <v>Aditya Kapoor</v>
      </c>
      <c r="I362" t="str">
        <f>_xlfn.XLOOKUP(G362,SM[Employee ID],SM[Region])</f>
        <v>West</v>
      </c>
      <c r="J362" t="str">
        <f>_xlfn.XLOOKUP(G362,SM[Employee ID],SM[State/City])</f>
        <v>Mumbai</v>
      </c>
      <c r="K362" s="2">
        <f>_xlfn.XLOOKUP(Sales7[[#This Row],[Order ID]],ST[Order ID],ST[Units Sold])</f>
        <v>1</v>
      </c>
      <c r="L362">
        <f t="shared" si="5"/>
        <v>1430</v>
      </c>
    </row>
    <row r="363" spans="1:12" x14ac:dyDescent="0.35">
      <c r="A363" s="7">
        <v>1354</v>
      </c>
      <c r="B363" s="1">
        <v>45315</v>
      </c>
      <c r="C363" s="2" t="s">
        <v>12</v>
      </c>
      <c r="D363" t="str">
        <f>_xlfn.XLOOKUP(Merged_Sales_Data!C363,PM[Product ID],PM[Product Name])</f>
        <v>Bookshelf Unit</v>
      </c>
      <c r="E363" t="str">
        <f>VLOOKUP(C363,PM[],3,FALSE)</f>
        <v>Furniture</v>
      </c>
      <c r="F363">
        <f>_xlfn.XLOOKUP(C363,PM[Product ID],PM[Unit Price (₹)])</f>
        <v>3910</v>
      </c>
      <c r="G363" t="str">
        <f>_xlfn.XLOOKUP(Sales7[[#This Row],[Order ID]],ST[Order ID],ST[Employee ID])</f>
        <v>E03</v>
      </c>
      <c r="H363" t="str">
        <f>_xlfn.XLOOKUP(G363,SM[Employee ID],SM[Salesperson])</f>
        <v>Rohan Mehta</v>
      </c>
      <c r="I363" t="str">
        <f>_xlfn.XLOOKUP(G363,SM[Employee ID],SM[Region])</f>
        <v>South</v>
      </c>
      <c r="J363" t="str">
        <f>_xlfn.XLOOKUP(G363,SM[Employee ID],SM[State/City])</f>
        <v>Bengaluru</v>
      </c>
      <c r="K363" s="2">
        <f>_xlfn.XLOOKUP(Sales7[[#This Row],[Order ID]],ST[Order ID],ST[Units Sold])</f>
        <v>2</v>
      </c>
      <c r="L363">
        <f t="shared" si="5"/>
        <v>7820</v>
      </c>
    </row>
    <row r="364" spans="1:12" x14ac:dyDescent="0.35">
      <c r="A364" s="7">
        <v>1347</v>
      </c>
      <c r="B364" s="1">
        <v>45316</v>
      </c>
      <c r="C364" s="2" t="s">
        <v>10</v>
      </c>
      <c r="D364" t="str">
        <f>_xlfn.XLOOKUP(Merged_Sales_Data!C364,PM[Product ID],PM[Product Name])</f>
        <v>Filing Cabinet</v>
      </c>
      <c r="E364" t="str">
        <f>VLOOKUP(C364,PM[],3,FALSE)</f>
        <v>Furniture</v>
      </c>
      <c r="F364">
        <f>_xlfn.XLOOKUP(C364,PM[Product ID],PM[Unit Price (₹)])</f>
        <v>4070</v>
      </c>
      <c r="G364" t="str">
        <f>_xlfn.XLOOKUP(Sales7[[#This Row],[Order ID]],ST[Order ID],ST[Employee ID])</f>
        <v>E04</v>
      </c>
      <c r="H364" t="str">
        <f>_xlfn.XLOOKUP(G364,SM[Employee ID],SM[Salesperson])</f>
        <v>Priya Nair</v>
      </c>
      <c r="I364" t="str">
        <f>_xlfn.XLOOKUP(G364,SM[Employee ID],SM[Region])</f>
        <v>South</v>
      </c>
      <c r="J364" t="str">
        <f>_xlfn.XLOOKUP(G364,SM[Employee ID],SM[State/City])</f>
        <v>Bengaluru</v>
      </c>
      <c r="K364" s="2">
        <f>_xlfn.XLOOKUP(Sales7[[#This Row],[Order ID]],ST[Order ID],ST[Units Sold])</f>
        <v>6</v>
      </c>
      <c r="L364">
        <f t="shared" si="5"/>
        <v>24420</v>
      </c>
    </row>
    <row r="365" spans="1:12" x14ac:dyDescent="0.35">
      <c r="A365" s="7">
        <v>1345</v>
      </c>
      <c r="B365" s="1">
        <v>45319</v>
      </c>
      <c r="C365" s="2" t="s">
        <v>11</v>
      </c>
      <c r="D365" t="str">
        <f>_xlfn.XLOOKUP(Merged_Sales_Data!C365,PM[Product ID],PM[Product Name])</f>
        <v>Bluetooth Speaker</v>
      </c>
      <c r="E365" t="str">
        <f>VLOOKUP(C365,PM[],3,FALSE)</f>
        <v>Electronics</v>
      </c>
      <c r="F365">
        <f>_xlfn.XLOOKUP(C365,PM[Product ID],PM[Unit Price (₹)])</f>
        <v>1430</v>
      </c>
      <c r="G365" t="str">
        <f>_xlfn.XLOOKUP(Sales7[[#This Row],[Order ID]],ST[Order ID],ST[Employee ID])</f>
        <v>E04</v>
      </c>
      <c r="H365" t="str">
        <f>_xlfn.XLOOKUP(G365,SM[Employee ID],SM[Salesperson])</f>
        <v>Priya Nair</v>
      </c>
      <c r="I365" t="str">
        <f>_xlfn.XLOOKUP(G365,SM[Employee ID],SM[Region])</f>
        <v>South</v>
      </c>
      <c r="J365" t="str">
        <f>_xlfn.XLOOKUP(G365,SM[Employee ID],SM[State/City])</f>
        <v>Bengaluru</v>
      </c>
      <c r="K365" s="2">
        <f>_xlfn.XLOOKUP(Sales7[[#This Row],[Order ID]],ST[Order ID],ST[Units Sold])</f>
        <v>3</v>
      </c>
      <c r="L365">
        <f t="shared" si="5"/>
        <v>4290</v>
      </c>
    </row>
    <row r="366" spans="1:12" x14ac:dyDescent="0.35">
      <c r="A366" s="7">
        <v>1388</v>
      </c>
      <c r="B366" s="1">
        <v>45324</v>
      </c>
      <c r="C366" s="2" t="s">
        <v>14</v>
      </c>
      <c r="D366" t="str">
        <f>_xlfn.XLOOKUP(Merged_Sales_Data!C366,PM[Product ID],PM[Product Name])</f>
        <v>Laptop Backpack</v>
      </c>
      <c r="E366" t="str">
        <f>VLOOKUP(C366,PM[],3,FALSE)</f>
        <v>Accessories</v>
      </c>
      <c r="F366">
        <f>_xlfn.XLOOKUP(C366,PM[Product ID],PM[Unit Price (₹)])</f>
        <v>1110</v>
      </c>
      <c r="G366" t="str">
        <f>_xlfn.XLOOKUP(Sales7[[#This Row],[Order ID]],ST[Order ID],ST[Employee ID])</f>
        <v>E05</v>
      </c>
      <c r="H366" t="str">
        <f>_xlfn.XLOOKUP(G366,SM[Employee ID],SM[Salesperson])</f>
        <v>Karan Malhotra</v>
      </c>
      <c r="I366" t="str">
        <f>_xlfn.XLOOKUP(G366,SM[Employee ID],SM[Region])</f>
        <v>East</v>
      </c>
      <c r="J366" t="str">
        <f>_xlfn.XLOOKUP(G366,SM[Employee ID],SM[State/City])</f>
        <v>Kolkata</v>
      </c>
      <c r="K366" s="2">
        <f>_xlfn.XLOOKUP(Sales7[[#This Row],[Order ID]],ST[Order ID],ST[Units Sold])</f>
        <v>5</v>
      </c>
      <c r="L366">
        <f t="shared" si="5"/>
        <v>5550</v>
      </c>
    </row>
    <row r="367" spans="1:12" x14ac:dyDescent="0.35">
      <c r="A367" s="7">
        <v>1387</v>
      </c>
      <c r="B367" s="1">
        <v>45325</v>
      </c>
      <c r="C367" s="2" t="s">
        <v>12</v>
      </c>
      <c r="D367" t="str">
        <f>_xlfn.XLOOKUP(Merged_Sales_Data!C367,PM[Product ID],PM[Product Name])</f>
        <v>Bookshelf Unit</v>
      </c>
      <c r="E367" t="str">
        <f>VLOOKUP(C367,PM[],3,FALSE)</f>
        <v>Furniture</v>
      </c>
      <c r="F367">
        <f>_xlfn.XLOOKUP(C367,PM[Product ID],PM[Unit Price (₹)])</f>
        <v>3910</v>
      </c>
      <c r="G367" t="str">
        <f>_xlfn.XLOOKUP(Sales7[[#This Row],[Order ID]],ST[Order ID],ST[Employee ID])</f>
        <v>E01</v>
      </c>
      <c r="H367" t="str">
        <f>_xlfn.XLOOKUP(G367,SM[Employee ID],SM[Salesperson])</f>
        <v>Aarav Sharma</v>
      </c>
      <c r="I367" t="str">
        <f>_xlfn.XLOOKUP(G367,SM[Employee ID],SM[Region])</f>
        <v>North</v>
      </c>
      <c r="J367" t="str">
        <f>_xlfn.XLOOKUP(G367,SM[Employee ID],SM[State/City])</f>
        <v>Lucknow</v>
      </c>
      <c r="K367" s="2">
        <f>_xlfn.XLOOKUP(Sales7[[#This Row],[Order ID]],ST[Order ID],ST[Units Sold])</f>
        <v>6</v>
      </c>
      <c r="L367">
        <f t="shared" si="5"/>
        <v>23460</v>
      </c>
    </row>
    <row r="368" spans="1:12" x14ac:dyDescent="0.35">
      <c r="A368" s="7">
        <v>1389</v>
      </c>
      <c r="B368" s="1">
        <v>45325</v>
      </c>
      <c r="C368" s="2" t="s">
        <v>12</v>
      </c>
      <c r="D368" t="str">
        <f>_xlfn.XLOOKUP(Merged_Sales_Data!C368,PM[Product ID],PM[Product Name])</f>
        <v>Bookshelf Unit</v>
      </c>
      <c r="E368" t="str">
        <f>VLOOKUP(C368,PM[],3,FALSE)</f>
        <v>Furniture</v>
      </c>
      <c r="F368">
        <f>_xlfn.XLOOKUP(C368,PM[Product ID],PM[Unit Price (₹)])</f>
        <v>3910</v>
      </c>
      <c r="G368" t="str">
        <f>_xlfn.XLOOKUP(Sales7[[#This Row],[Order ID]],ST[Order ID],ST[Employee ID])</f>
        <v>E01</v>
      </c>
      <c r="H368" t="str">
        <f>_xlfn.XLOOKUP(G368,SM[Employee ID],SM[Salesperson])</f>
        <v>Aarav Sharma</v>
      </c>
      <c r="I368" t="str">
        <f>_xlfn.XLOOKUP(G368,SM[Employee ID],SM[Region])</f>
        <v>North</v>
      </c>
      <c r="J368" t="str">
        <f>_xlfn.XLOOKUP(G368,SM[Employee ID],SM[State/City])</f>
        <v>Lucknow</v>
      </c>
      <c r="K368" s="2">
        <f>_xlfn.XLOOKUP(Sales7[[#This Row],[Order ID]],ST[Order ID],ST[Units Sold])</f>
        <v>2</v>
      </c>
      <c r="L368">
        <f t="shared" si="5"/>
        <v>7820</v>
      </c>
    </row>
    <row r="369" spans="1:12" x14ac:dyDescent="0.35">
      <c r="A369" s="7">
        <v>1371</v>
      </c>
      <c r="B369" s="1">
        <v>45326</v>
      </c>
      <c r="C369" s="2" t="s">
        <v>10</v>
      </c>
      <c r="D369" t="str">
        <f>_xlfn.XLOOKUP(Merged_Sales_Data!C369,PM[Product ID],PM[Product Name])</f>
        <v>Filing Cabinet</v>
      </c>
      <c r="E369" t="str">
        <f>VLOOKUP(C369,PM[],3,FALSE)</f>
        <v>Furniture</v>
      </c>
      <c r="F369">
        <f>_xlfn.XLOOKUP(C369,PM[Product ID],PM[Unit Price (₹)])</f>
        <v>4070</v>
      </c>
      <c r="G369" t="str">
        <f>_xlfn.XLOOKUP(Sales7[[#This Row],[Order ID]],ST[Order ID],ST[Employee ID])</f>
        <v>E07</v>
      </c>
      <c r="H369" t="str">
        <f>_xlfn.XLOOKUP(G369,SM[Employee ID],SM[Salesperson])</f>
        <v>Aditya Kapoor</v>
      </c>
      <c r="I369" t="str">
        <f>_xlfn.XLOOKUP(G369,SM[Employee ID],SM[Region])</f>
        <v>West</v>
      </c>
      <c r="J369" t="str">
        <f>_xlfn.XLOOKUP(G369,SM[Employee ID],SM[State/City])</f>
        <v>Mumbai</v>
      </c>
      <c r="K369" s="2">
        <f>_xlfn.XLOOKUP(Sales7[[#This Row],[Order ID]],ST[Order ID],ST[Units Sold])</f>
        <v>2</v>
      </c>
      <c r="L369">
        <f t="shared" si="5"/>
        <v>8140</v>
      </c>
    </row>
    <row r="370" spans="1:12" x14ac:dyDescent="0.35">
      <c r="A370" s="7">
        <v>1393</v>
      </c>
      <c r="B370" s="1">
        <v>45326</v>
      </c>
      <c r="C370" s="2" t="s">
        <v>21</v>
      </c>
      <c r="D370" t="str">
        <f>_xlfn.XLOOKUP(Merged_Sales_Data!C370,PM[Product ID],PM[Product Name])</f>
        <v>Wireless Mouse</v>
      </c>
      <c r="E370" t="str">
        <f>VLOOKUP(C370,PM[],3,FALSE)</f>
        <v>Electronics</v>
      </c>
      <c r="F370">
        <f>_xlfn.XLOOKUP(C370,PM[Product ID],PM[Unit Price (₹)])</f>
        <v>780</v>
      </c>
      <c r="G370" t="str">
        <f>_xlfn.XLOOKUP(Sales7[[#This Row],[Order ID]],ST[Order ID],ST[Employee ID])</f>
        <v>E03</v>
      </c>
      <c r="H370" t="str">
        <f>_xlfn.XLOOKUP(G370,SM[Employee ID],SM[Salesperson])</f>
        <v>Rohan Mehta</v>
      </c>
      <c r="I370" t="str">
        <f>_xlfn.XLOOKUP(G370,SM[Employee ID],SM[Region])</f>
        <v>South</v>
      </c>
      <c r="J370" t="str">
        <f>_xlfn.XLOOKUP(G370,SM[Employee ID],SM[State/City])</f>
        <v>Bengaluru</v>
      </c>
      <c r="K370" s="2">
        <f>_xlfn.XLOOKUP(Sales7[[#This Row],[Order ID]],ST[Order ID],ST[Units Sold])</f>
        <v>5</v>
      </c>
      <c r="L370">
        <f t="shared" si="5"/>
        <v>3900</v>
      </c>
    </row>
    <row r="371" spans="1:12" x14ac:dyDescent="0.35">
      <c r="A371" s="7">
        <v>1380</v>
      </c>
      <c r="B371" s="1">
        <v>45327</v>
      </c>
      <c r="C371" s="2" t="s">
        <v>5</v>
      </c>
      <c r="D371" t="str">
        <f>_xlfn.XLOOKUP(Merged_Sales_Data!C371,PM[Product ID],PM[Product Name])</f>
        <v>Ergo Office Chair</v>
      </c>
      <c r="E371" t="str">
        <f>VLOOKUP(C371,PM[],3,FALSE)</f>
        <v>Office Supplies</v>
      </c>
      <c r="F371">
        <f>_xlfn.XLOOKUP(C371,PM[Product ID],PM[Unit Price (₹)])</f>
        <v>6750</v>
      </c>
      <c r="G371" t="str">
        <f>_xlfn.XLOOKUP(Sales7[[#This Row],[Order ID]],ST[Order ID],ST[Employee ID])</f>
        <v>E03</v>
      </c>
      <c r="H371" t="str">
        <f>_xlfn.XLOOKUP(G371,SM[Employee ID],SM[Salesperson])</f>
        <v>Rohan Mehta</v>
      </c>
      <c r="I371" t="str">
        <f>_xlfn.XLOOKUP(G371,SM[Employee ID],SM[Region])</f>
        <v>South</v>
      </c>
      <c r="J371" t="str">
        <f>_xlfn.XLOOKUP(G371,SM[Employee ID],SM[State/City])</f>
        <v>Bengaluru</v>
      </c>
      <c r="K371" s="2">
        <f>_xlfn.XLOOKUP(Sales7[[#This Row],[Order ID]],ST[Order ID],ST[Units Sold])</f>
        <v>1</v>
      </c>
      <c r="L371">
        <f t="shared" si="5"/>
        <v>6750</v>
      </c>
    </row>
    <row r="372" spans="1:12" x14ac:dyDescent="0.35">
      <c r="A372" s="7">
        <v>1372</v>
      </c>
      <c r="B372" s="1">
        <v>45328</v>
      </c>
      <c r="C372" s="2" t="s">
        <v>21</v>
      </c>
      <c r="D372" t="str">
        <f>_xlfn.XLOOKUP(Merged_Sales_Data!C372,PM[Product ID],PM[Product Name])</f>
        <v>Wireless Mouse</v>
      </c>
      <c r="E372" t="str">
        <f>VLOOKUP(C372,PM[],3,FALSE)</f>
        <v>Electronics</v>
      </c>
      <c r="F372">
        <f>_xlfn.XLOOKUP(C372,PM[Product ID],PM[Unit Price (₹)])</f>
        <v>780</v>
      </c>
      <c r="G372" t="str">
        <f>_xlfn.XLOOKUP(Sales7[[#This Row],[Order ID]],ST[Order ID],ST[Employee ID])</f>
        <v>E07</v>
      </c>
      <c r="H372" t="str">
        <f>_xlfn.XLOOKUP(G372,SM[Employee ID],SM[Salesperson])</f>
        <v>Aditya Kapoor</v>
      </c>
      <c r="I372" t="str">
        <f>_xlfn.XLOOKUP(G372,SM[Employee ID],SM[Region])</f>
        <v>West</v>
      </c>
      <c r="J372" t="str">
        <f>_xlfn.XLOOKUP(G372,SM[Employee ID],SM[State/City])</f>
        <v>Mumbai</v>
      </c>
      <c r="K372" s="2">
        <f>_xlfn.XLOOKUP(Sales7[[#This Row],[Order ID]],ST[Order ID],ST[Units Sold])</f>
        <v>3</v>
      </c>
      <c r="L372">
        <f t="shared" si="5"/>
        <v>2340</v>
      </c>
    </row>
    <row r="373" spans="1:12" x14ac:dyDescent="0.35">
      <c r="A373" s="7">
        <v>1378</v>
      </c>
      <c r="B373" s="1">
        <v>45329</v>
      </c>
      <c r="C373" s="2" t="s">
        <v>8</v>
      </c>
      <c r="D373" t="str">
        <f>_xlfn.XLOOKUP(Merged_Sales_Data!C373,PM[Product ID],PM[Product Name])</f>
        <v>USB-C Hub</v>
      </c>
      <c r="E373" t="str">
        <f>VLOOKUP(C373,PM[],3,FALSE)</f>
        <v>Accessories</v>
      </c>
      <c r="F373">
        <f>_xlfn.XLOOKUP(C373,PM[Product ID],PM[Unit Price (₹)])</f>
        <v>880</v>
      </c>
      <c r="G373" t="str">
        <f>_xlfn.XLOOKUP(Sales7[[#This Row],[Order ID]],ST[Order ID],ST[Employee ID])</f>
        <v>E02</v>
      </c>
      <c r="H373" t="str">
        <f>_xlfn.XLOOKUP(G373,SM[Employee ID],SM[Salesperson])</f>
        <v>Ishita Verma</v>
      </c>
      <c r="I373" t="str">
        <f>_xlfn.XLOOKUP(G373,SM[Employee ID],SM[Region])</f>
        <v>North</v>
      </c>
      <c r="J373" t="str">
        <f>_xlfn.XLOOKUP(G373,SM[Employee ID],SM[State/City])</f>
        <v>Chandigarh</v>
      </c>
      <c r="K373" s="2">
        <f>_xlfn.XLOOKUP(Sales7[[#This Row],[Order ID]],ST[Order ID],ST[Units Sold])</f>
        <v>6</v>
      </c>
      <c r="L373">
        <f t="shared" si="5"/>
        <v>5280</v>
      </c>
    </row>
    <row r="374" spans="1:12" x14ac:dyDescent="0.35">
      <c r="A374" s="7">
        <v>1376</v>
      </c>
      <c r="B374" s="1">
        <v>45333</v>
      </c>
      <c r="C374" s="2" t="s">
        <v>12</v>
      </c>
      <c r="D374" t="str">
        <f>_xlfn.XLOOKUP(Merged_Sales_Data!C374,PM[Product ID],PM[Product Name])</f>
        <v>Bookshelf Unit</v>
      </c>
      <c r="E374" t="str">
        <f>VLOOKUP(C374,PM[],3,FALSE)</f>
        <v>Furniture</v>
      </c>
      <c r="F374">
        <f>_xlfn.XLOOKUP(C374,PM[Product ID],PM[Unit Price (₹)])</f>
        <v>3910</v>
      </c>
      <c r="G374" t="str">
        <f>_xlfn.XLOOKUP(Sales7[[#This Row],[Order ID]],ST[Order ID],ST[Employee ID])</f>
        <v>E05</v>
      </c>
      <c r="H374" t="str">
        <f>_xlfn.XLOOKUP(G374,SM[Employee ID],SM[Salesperson])</f>
        <v>Karan Malhotra</v>
      </c>
      <c r="I374" t="str">
        <f>_xlfn.XLOOKUP(G374,SM[Employee ID],SM[Region])</f>
        <v>East</v>
      </c>
      <c r="J374" t="str">
        <f>_xlfn.XLOOKUP(G374,SM[Employee ID],SM[State/City])</f>
        <v>Kolkata</v>
      </c>
      <c r="K374" s="2">
        <f>_xlfn.XLOOKUP(Sales7[[#This Row],[Order ID]],ST[Order ID],ST[Units Sold])</f>
        <v>2</v>
      </c>
      <c r="L374">
        <f t="shared" si="5"/>
        <v>7820</v>
      </c>
    </row>
    <row r="375" spans="1:12" x14ac:dyDescent="0.35">
      <c r="A375" s="7">
        <v>1384</v>
      </c>
      <c r="B375" s="1">
        <v>45333</v>
      </c>
      <c r="C375" s="2" t="s">
        <v>12</v>
      </c>
      <c r="D375" t="str">
        <f>_xlfn.XLOOKUP(Merged_Sales_Data!C375,PM[Product ID],PM[Product Name])</f>
        <v>Bookshelf Unit</v>
      </c>
      <c r="E375" t="str">
        <f>VLOOKUP(C375,PM[],3,FALSE)</f>
        <v>Furniture</v>
      </c>
      <c r="F375">
        <f>_xlfn.XLOOKUP(C375,PM[Product ID],PM[Unit Price (₹)])</f>
        <v>3910</v>
      </c>
      <c r="G375" t="str">
        <f>_xlfn.XLOOKUP(Sales7[[#This Row],[Order ID]],ST[Order ID],ST[Employee ID])</f>
        <v>E08</v>
      </c>
      <c r="H375" t="str">
        <f>_xlfn.XLOOKUP(G375,SM[Employee ID],SM[Salesperson])</f>
        <v>Neha Joshi</v>
      </c>
      <c r="I375" t="str">
        <f>_xlfn.XLOOKUP(G375,SM[Employee ID],SM[Region])</f>
        <v>West</v>
      </c>
      <c r="J375" t="str">
        <f>_xlfn.XLOOKUP(G375,SM[Employee ID],SM[State/City])</f>
        <v>Ahmedabad</v>
      </c>
      <c r="K375" s="2">
        <f>_xlfn.XLOOKUP(Sales7[[#This Row],[Order ID]],ST[Order ID],ST[Units Sold])</f>
        <v>10</v>
      </c>
      <c r="L375">
        <f t="shared" si="5"/>
        <v>39100</v>
      </c>
    </row>
    <row r="376" spans="1:12" x14ac:dyDescent="0.35">
      <c r="A376" s="7">
        <v>1366</v>
      </c>
      <c r="B376" s="1">
        <v>45335</v>
      </c>
      <c r="C376" s="2" t="s">
        <v>18</v>
      </c>
      <c r="D376" t="str">
        <f>_xlfn.XLOOKUP(Merged_Sales_Data!C376,PM[Product ID],PM[Product Name])</f>
        <v>LED Monitor 24"</v>
      </c>
      <c r="E376" t="str">
        <f>VLOOKUP(C376,PM[],3,FALSE)</f>
        <v>Electronics</v>
      </c>
      <c r="F376">
        <f>_xlfn.XLOOKUP(C376,PM[Product ID],PM[Unit Price (₹)])</f>
        <v>7700</v>
      </c>
      <c r="G376" t="str">
        <f>_xlfn.XLOOKUP(Sales7[[#This Row],[Order ID]],ST[Order ID],ST[Employee ID])</f>
        <v>E07</v>
      </c>
      <c r="H376" t="str">
        <f>_xlfn.XLOOKUP(G376,SM[Employee ID],SM[Salesperson])</f>
        <v>Aditya Kapoor</v>
      </c>
      <c r="I376" t="str">
        <f>_xlfn.XLOOKUP(G376,SM[Employee ID],SM[Region])</f>
        <v>West</v>
      </c>
      <c r="J376" t="str">
        <f>_xlfn.XLOOKUP(G376,SM[Employee ID],SM[State/City])</f>
        <v>Mumbai</v>
      </c>
      <c r="K376" s="2">
        <f>_xlfn.XLOOKUP(Sales7[[#This Row],[Order ID]],ST[Order ID],ST[Units Sold])</f>
        <v>1</v>
      </c>
      <c r="L376">
        <f t="shared" si="5"/>
        <v>7700</v>
      </c>
    </row>
    <row r="377" spans="1:12" x14ac:dyDescent="0.35">
      <c r="A377" s="7">
        <v>1375</v>
      </c>
      <c r="B377" s="1">
        <v>45335</v>
      </c>
      <c r="C377" s="2" t="s">
        <v>8</v>
      </c>
      <c r="D377" t="str">
        <f>_xlfn.XLOOKUP(Merged_Sales_Data!C377,PM[Product ID],PM[Product Name])</f>
        <v>USB-C Hub</v>
      </c>
      <c r="E377" t="str">
        <f>VLOOKUP(C377,PM[],3,FALSE)</f>
        <v>Accessories</v>
      </c>
      <c r="F377">
        <f>_xlfn.XLOOKUP(C377,PM[Product ID],PM[Unit Price (₹)])</f>
        <v>880</v>
      </c>
      <c r="G377" t="str">
        <f>_xlfn.XLOOKUP(Sales7[[#This Row],[Order ID]],ST[Order ID],ST[Employee ID])</f>
        <v>E07</v>
      </c>
      <c r="H377" t="str">
        <f>_xlfn.XLOOKUP(G377,SM[Employee ID],SM[Salesperson])</f>
        <v>Aditya Kapoor</v>
      </c>
      <c r="I377" t="str">
        <f>_xlfn.XLOOKUP(G377,SM[Employee ID],SM[Region])</f>
        <v>West</v>
      </c>
      <c r="J377" t="str">
        <f>_xlfn.XLOOKUP(G377,SM[Employee ID],SM[State/City])</f>
        <v>Mumbai</v>
      </c>
      <c r="K377" s="2">
        <f>_xlfn.XLOOKUP(Sales7[[#This Row],[Order ID]],ST[Order ID],ST[Units Sold])</f>
        <v>1</v>
      </c>
      <c r="L377">
        <f t="shared" si="5"/>
        <v>880</v>
      </c>
    </row>
    <row r="378" spans="1:12" x14ac:dyDescent="0.35">
      <c r="A378" s="7">
        <v>1370</v>
      </c>
      <c r="B378" s="1">
        <v>45336</v>
      </c>
      <c r="C378" s="2" t="s">
        <v>12</v>
      </c>
      <c r="D378" t="str">
        <f>_xlfn.XLOOKUP(Merged_Sales_Data!C378,PM[Product ID],PM[Product Name])</f>
        <v>Bookshelf Unit</v>
      </c>
      <c r="E378" t="str">
        <f>VLOOKUP(C378,PM[],3,FALSE)</f>
        <v>Furniture</v>
      </c>
      <c r="F378">
        <f>_xlfn.XLOOKUP(C378,PM[Product ID],PM[Unit Price (₹)])</f>
        <v>3910</v>
      </c>
      <c r="G378" t="str">
        <f>_xlfn.XLOOKUP(Sales7[[#This Row],[Order ID]],ST[Order ID],ST[Employee ID])</f>
        <v>E02</v>
      </c>
      <c r="H378" t="str">
        <f>_xlfn.XLOOKUP(G378,SM[Employee ID],SM[Salesperson])</f>
        <v>Ishita Verma</v>
      </c>
      <c r="I378" t="str">
        <f>_xlfn.XLOOKUP(G378,SM[Employee ID],SM[Region])</f>
        <v>North</v>
      </c>
      <c r="J378" t="str">
        <f>_xlfn.XLOOKUP(G378,SM[Employee ID],SM[State/City])</f>
        <v>Chandigarh</v>
      </c>
      <c r="K378" s="2">
        <f>_xlfn.XLOOKUP(Sales7[[#This Row],[Order ID]],ST[Order ID],ST[Units Sold])</f>
        <v>8</v>
      </c>
      <c r="L378">
        <f t="shared" si="5"/>
        <v>31280</v>
      </c>
    </row>
    <row r="379" spans="1:12" x14ac:dyDescent="0.35">
      <c r="A379" s="7">
        <v>1373</v>
      </c>
      <c r="B379" s="1">
        <v>45336</v>
      </c>
      <c r="C379" s="2" t="s">
        <v>12</v>
      </c>
      <c r="D379" t="str">
        <f>_xlfn.XLOOKUP(Merged_Sales_Data!C379,PM[Product ID],PM[Product Name])</f>
        <v>Bookshelf Unit</v>
      </c>
      <c r="E379" t="str">
        <f>VLOOKUP(C379,PM[],3,FALSE)</f>
        <v>Furniture</v>
      </c>
      <c r="F379">
        <f>_xlfn.XLOOKUP(C379,PM[Product ID],PM[Unit Price (₹)])</f>
        <v>3910</v>
      </c>
      <c r="G379" t="str">
        <f>_xlfn.XLOOKUP(Sales7[[#This Row],[Order ID]],ST[Order ID],ST[Employee ID])</f>
        <v>E08</v>
      </c>
      <c r="H379" t="str">
        <f>_xlfn.XLOOKUP(G379,SM[Employee ID],SM[Salesperson])</f>
        <v>Neha Joshi</v>
      </c>
      <c r="I379" t="str">
        <f>_xlfn.XLOOKUP(G379,SM[Employee ID],SM[Region])</f>
        <v>West</v>
      </c>
      <c r="J379" t="str">
        <f>_xlfn.XLOOKUP(G379,SM[Employee ID],SM[State/City])</f>
        <v>Ahmedabad</v>
      </c>
      <c r="K379" s="2">
        <f>_xlfn.XLOOKUP(Sales7[[#This Row],[Order ID]],ST[Order ID],ST[Units Sold])</f>
        <v>1</v>
      </c>
      <c r="L379">
        <f t="shared" si="5"/>
        <v>3910</v>
      </c>
    </row>
    <row r="380" spans="1:12" x14ac:dyDescent="0.35">
      <c r="A380" s="7">
        <v>1369</v>
      </c>
      <c r="B380" s="1">
        <v>45337</v>
      </c>
      <c r="C380" s="2" t="s">
        <v>10</v>
      </c>
      <c r="D380" t="str">
        <f>_xlfn.XLOOKUP(Merged_Sales_Data!C380,PM[Product ID],PM[Product Name])</f>
        <v>Filing Cabinet</v>
      </c>
      <c r="E380" t="str">
        <f>VLOOKUP(C380,PM[],3,FALSE)</f>
        <v>Furniture</v>
      </c>
      <c r="F380">
        <f>_xlfn.XLOOKUP(C380,PM[Product ID],PM[Unit Price (₹)])</f>
        <v>4070</v>
      </c>
      <c r="G380" t="str">
        <f>_xlfn.XLOOKUP(Sales7[[#This Row],[Order ID]],ST[Order ID],ST[Employee ID])</f>
        <v>E01</v>
      </c>
      <c r="H380" t="str">
        <f>_xlfn.XLOOKUP(G380,SM[Employee ID],SM[Salesperson])</f>
        <v>Aarav Sharma</v>
      </c>
      <c r="I380" t="str">
        <f>_xlfn.XLOOKUP(G380,SM[Employee ID],SM[Region])</f>
        <v>North</v>
      </c>
      <c r="J380" t="str">
        <f>_xlfn.XLOOKUP(G380,SM[Employee ID],SM[State/City])</f>
        <v>Lucknow</v>
      </c>
      <c r="K380" s="2">
        <f>_xlfn.XLOOKUP(Sales7[[#This Row],[Order ID]],ST[Order ID],ST[Units Sold])</f>
        <v>1</v>
      </c>
      <c r="L380">
        <f t="shared" si="5"/>
        <v>4070</v>
      </c>
    </row>
    <row r="381" spans="1:12" x14ac:dyDescent="0.35">
      <c r="A381" s="7">
        <v>1390</v>
      </c>
      <c r="B381" s="1">
        <v>45337</v>
      </c>
      <c r="C381" s="2" t="s">
        <v>8</v>
      </c>
      <c r="D381" t="str">
        <f>_xlfn.XLOOKUP(Merged_Sales_Data!C381,PM[Product ID],PM[Product Name])</f>
        <v>USB-C Hub</v>
      </c>
      <c r="E381" t="str">
        <f>VLOOKUP(C381,PM[],3,FALSE)</f>
        <v>Accessories</v>
      </c>
      <c r="F381">
        <f>_xlfn.XLOOKUP(C381,PM[Product ID],PM[Unit Price (₹)])</f>
        <v>880</v>
      </c>
      <c r="G381" t="str">
        <f>_xlfn.XLOOKUP(Sales7[[#This Row],[Order ID]],ST[Order ID],ST[Employee ID])</f>
        <v>E02</v>
      </c>
      <c r="H381" t="str">
        <f>_xlfn.XLOOKUP(G381,SM[Employee ID],SM[Salesperson])</f>
        <v>Ishita Verma</v>
      </c>
      <c r="I381" t="str">
        <f>_xlfn.XLOOKUP(G381,SM[Employee ID],SM[Region])</f>
        <v>North</v>
      </c>
      <c r="J381" t="str">
        <f>_xlfn.XLOOKUP(G381,SM[Employee ID],SM[State/City])</f>
        <v>Chandigarh</v>
      </c>
      <c r="K381" s="2">
        <f>_xlfn.XLOOKUP(Sales7[[#This Row],[Order ID]],ST[Order ID],ST[Units Sold])</f>
        <v>4</v>
      </c>
      <c r="L381">
        <f t="shared" si="5"/>
        <v>3520</v>
      </c>
    </row>
    <row r="382" spans="1:12" x14ac:dyDescent="0.35">
      <c r="A382" s="7">
        <v>1385</v>
      </c>
      <c r="B382" s="1">
        <v>45338</v>
      </c>
      <c r="C382" s="2" t="s">
        <v>14</v>
      </c>
      <c r="D382" t="str">
        <f>_xlfn.XLOOKUP(Merged_Sales_Data!C382,PM[Product ID],PM[Product Name])</f>
        <v>Laptop Backpack</v>
      </c>
      <c r="E382" t="str">
        <f>VLOOKUP(C382,PM[],3,FALSE)</f>
        <v>Accessories</v>
      </c>
      <c r="F382">
        <f>_xlfn.XLOOKUP(C382,PM[Product ID],PM[Unit Price (₹)])</f>
        <v>1110</v>
      </c>
      <c r="G382" t="str">
        <f>_xlfn.XLOOKUP(Sales7[[#This Row],[Order ID]],ST[Order ID],ST[Employee ID])</f>
        <v>E03</v>
      </c>
      <c r="H382" t="str">
        <f>_xlfn.XLOOKUP(G382,SM[Employee ID],SM[Salesperson])</f>
        <v>Rohan Mehta</v>
      </c>
      <c r="I382" t="str">
        <f>_xlfn.XLOOKUP(G382,SM[Employee ID],SM[Region])</f>
        <v>South</v>
      </c>
      <c r="J382" t="str">
        <f>_xlfn.XLOOKUP(G382,SM[Employee ID],SM[State/City])</f>
        <v>Bengaluru</v>
      </c>
      <c r="K382" s="2">
        <f>_xlfn.XLOOKUP(Sales7[[#This Row],[Order ID]],ST[Order ID],ST[Units Sold])</f>
        <v>1</v>
      </c>
      <c r="L382">
        <f t="shared" si="5"/>
        <v>1110</v>
      </c>
    </row>
    <row r="383" spans="1:12" x14ac:dyDescent="0.35">
      <c r="A383" s="7">
        <v>1392</v>
      </c>
      <c r="B383" s="1">
        <v>45338</v>
      </c>
      <c r="C383" s="2" t="s">
        <v>12</v>
      </c>
      <c r="D383" t="str">
        <f>_xlfn.XLOOKUP(Merged_Sales_Data!C383,PM[Product ID],PM[Product Name])</f>
        <v>Bookshelf Unit</v>
      </c>
      <c r="E383" t="str">
        <f>VLOOKUP(C383,PM[],3,FALSE)</f>
        <v>Furniture</v>
      </c>
      <c r="F383">
        <f>_xlfn.XLOOKUP(C383,PM[Product ID],PM[Unit Price (₹)])</f>
        <v>3910</v>
      </c>
      <c r="G383" t="str">
        <f>_xlfn.XLOOKUP(Sales7[[#This Row],[Order ID]],ST[Order ID],ST[Employee ID])</f>
        <v>E04</v>
      </c>
      <c r="H383" t="str">
        <f>_xlfn.XLOOKUP(G383,SM[Employee ID],SM[Salesperson])</f>
        <v>Priya Nair</v>
      </c>
      <c r="I383" t="str">
        <f>_xlfn.XLOOKUP(G383,SM[Employee ID],SM[Region])</f>
        <v>South</v>
      </c>
      <c r="J383" t="str">
        <f>_xlfn.XLOOKUP(G383,SM[Employee ID],SM[State/City])</f>
        <v>Bengaluru</v>
      </c>
      <c r="K383" s="2">
        <f>_xlfn.XLOOKUP(Sales7[[#This Row],[Order ID]],ST[Order ID],ST[Units Sold])</f>
        <v>8</v>
      </c>
      <c r="L383">
        <f t="shared" si="5"/>
        <v>31280</v>
      </c>
    </row>
    <row r="384" spans="1:12" x14ac:dyDescent="0.35">
      <c r="A384" s="7">
        <v>1374</v>
      </c>
      <c r="B384" s="1">
        <v>45341</v>
      </c>
      <c r="C384" s="2" t="s">
        <v>5</v>
      </c>
      <c r="D384" t="str">
        <f>_xlfn.XLOOKUP(Merged_Sales_Data!C384,PM[Product ID],PM[Product Name])</f>
        <v>Ergo Office Chair</v>
      </c>
      <c r="E384" t="str">
        <f>VLOOKUP(C384,PM[],3,FALSE)</f>
        <v>Office Supplies</v>
      </c>
      <c r="F384">
        <f>_xlfn.XLOOKUP(C384,PM[Product ID],PM[Unit Price (₹)])</f>
        <v>6750</v>
      </c>
      <c r="G384" t="str">
        <f>_xlfn.XLOOKUP(Sales7[[#This Row],[Order ID]],ST[Order ID],ST[Employee ID])</f>
        <v>E02</v>
      </c>
      <c r="H384" t="str">
        <f>_xlfn.XLOOKUP(G384,SM[Employee ID],SM[Salesperson])</f>
        <v>Ishita Verma</v>
      </c>
      <c r="I384" t="str">
        <f>_xlfn.XLOOKUP(G384,SM[Employee ID],SM[Region])</f>
        <v>North</v>
      </c>
      <c r="J384" t="str">
        <f>_xlfn.XLOOKUP(G384,SM[Employee ID],SM[State/City])</f>
        <v>Chandigarh</v>
      </c>
      <c r="K384" s="2">
        <f>_xlfn.XLOOKUP(Sales7[[#This Row],[Order ID]],ST[Order ID],ST[Units Sold])</f>
        <v>4</v>
      </c>
      <c r="L384">
        <f t="shared" si="5"/>
        <v>27000</v>
      </c>
    </row>
    <row r="385" spans="1:12" x14ac:dyDescent="0.35">
      <c r="A385" s="7">
        <v>1386</v>
      </c>
      <c r="B385" s="1">
        <v>45341</v>
      </c>
      <c r="C385" s="2" t="s">
        <v>20</v>
      </c>
      <c r="D385" t="str">
        <f>_xlfn.XLOOKUP(Merged_Sales_Data!C385,PM[Product ID],PM[Product Name])</f>
        <v>Standing Desk</v>
      </c>
      <c r="E385" t="str">
        <f>VLOOKUP(C385,PM[],3,FALSE)</f>
        <v>Office Supplies</v>
      </c>
      <c r="F385">
        <f>_xlfn.XLOOKUP(C385,PM[Product ID],PM[Unit Price (₹)])</f>
        <v>11010</v>
      </c>
      <c r="G385" t="str">
        <f>_xlfn.XLOOKUP(Sales7[[#This Row],[Order ID]],ST[Order ID],ST[Employee ID])</f>
        <v>E08</v>
      </c>
      <c r="H385" t="str">
        <f>_xlfn.XLOOKUP(G385,SM[Employee ID],SM[Salesperson])</f>
        <v>Neha Joshi</v>
      </c>
      <c r="I385" t="str">
        <f>_xlfn.XLOOKUP(G385,SM[Employee ID],SM[Region])</f>
        <v>West</v>
      </c>
      <c r="J385" t="str">
        <f>_xlfn.XLOOKUP(G385,SM[Employee ID],SM[State/City])</f>
        <v>Ahmedabad</v>
      </c>
      <c r="K385" s="2">
        <f>_xlfn.XLOOKUP(Sales7[[#This Row],[Order ID]],ST[Order ID],ST[Units Sold])</f>
        <v>2</v>
      </c>
      <c r="L385">
        <f t="shared" si="5"/>
        <v>22020</v>
      </c>
    </row>
    <row r="386" spans="1:12" x14ac:dyDescent="0.35">
      <c r="A386" s="7">
        <v>1381</v>
      </c>
      <c r="B386" s="1">
        <v>45342</v>
      </c>
      <c r="C386" s="2" t="s">
        <v>5</v>
      </c>
      <c r="D386" t="str">
        <f>_xlfn.XLOOKUP(Merged_Sales_Data!C386,PM[Product ID],PM[Product Name])</f>
        <v>Ergo Office Chair</v>
      </c>
      <c r="E386" t="str">
        <f>VLOOKUP(C386,PM[],3,FALSE)</f>
        <v>Office Supplies</v>
      </c>
      <c r="F386">
        <f>_xlfn.XLOOKUP(C386,PM[Product ID],PM[Unit Price (₹)])</f>
        <v>6750</v>
      </c>
      <c r="G386" t="str">
        <f>_xlfn.XLOOKUP(Sales7[[#This Row],[Order ID]],ST[Order ID],ST[Employee ID])</f>
        <v>E05</v>
      </c>
      <c r="H386" t="str">
        <f>_xlfn.XLOOKUP(G386,SM[Employee ID],SM[Salesperson])</f>
        <v>Karan Malhotra</v>
      </c>
      <c r="I386" t="str">
        <f>_xlfn.XLOOKUP(G386,SM[Employee ID],SM[Region])</f>
        <v>East</v>
      </c>
      <c r="J386" t="str">
        <f>_xlfn.XLOOKUP(G386,SM[Employee ID],SM[State/City])</f>
        <v>Kolkata</v>
      </c>
      <c r="K386" s="2">
        <f>_xlfn.XLOOKUP(Sales7[[#This Row],[Order ID]],ST[Order ID],ST[Units Sold])</f>
        <v>1</v>
      </c>
      <c r="L386">
        <f t="shared" si="5"/>
        <v>6750</v>
      </c>
    </row>
    <row r="387" spans="1:12" x14ac:dyDescent="0.35">
      <c r="A387" s="7">
        <v>1377</v>
      </c>
      <c r="B387" s="1">
        <v>45343</v>
      </c>
      <c r="C387" s="2" t="s">
        <v>11</v>
      </c>
      <c r="D387" t="str">
        <f>_xlfn.XLOOKUP(Merged_Sales_Data!C387,PM[Product ID],PM[Product Name])</f>
        <v>Bluetooth Speaker</v>
      </c>
      <c r="E387" t="str">
        <f>VLOOKUP(C387,PM[],3,FALSE)</f>
        <v>Electronics</v>
      </c>
      <c r="F387">
        <f>_xlfn.XLOOKUP(C387,PM[Product ID],PM[Unit Price (₹)])</f>
        <v>1430</v>
      </c>
      <c r="G387" t="str">
        <f>_xlfn.XLOOKUP(Sales7[[#This Row],[Order ID]],ST[Order ID],ST[Employee ID])</f>
        <v>E03</v>
      </c>
      <c r="H387" t="str">
        <f>_xlfn.XLOOKUP(G387,SM[Employee ID],SM[Salesperson])</f>
        <v>Rohan Mehta</v>
      </c>
      <c r="I387" t="str">
        <f>_xlfn.XLOOKUP(G387,SM[Employee ID],SM[Region])</f>
        <v>South</v>
      </c>
      <c r="J387" t="str">
        <f>_xlfn.XLOOKUP(G387,SM[Employee ID],SM[State/City])</f>
        <v>Bengaluru</v>
      </c>
      <c r="K387" s="2">
        <f>_xlfn.XLOOKUP(Sales7[[#This Row],[Order ID]],ST[Order ID],ST[Units Sold])</f>
        <v>6</v>
      </c>
      <c r="L387">
        <f t="shared" ref="L387:L450" si="6">F387*K387</f>
        <v>8580</v>
      </c>
    </row>
    <row r="388" spans="1:12" x14ac:dyDescent="0.35">
      <c r="A388" s="7">
        <v>1391</v>
      </c>
      <c r="B388" s="1">
        <v>45343</v>
      </c>
      <c r="C388" s="2" t="s">
        <v>14</v>
      </c>
      <c r="D388" t="str">
        <f>_xlfn.XLOOKUP(Merged_Sales_Data!C388,PM[Product ID],PM[Product Name])</f>
        <v>Laptop Backpack</v>
      </c>
      <c r="E388" t="str">
        <f>VLOOKUP(C388,PM[],3,FALSE)</f>
        <v>Accessories</v>
      </c>
      <c r="F388">
        <f>_xlfn.XLOOKUP(C388,PM[Product ID],PM[Unit Price (₹)])</f>
        <v>1110</v>
      </c>
      <c r="G388" t="str">
        <f>_xlfn.XLOOKUP(Sales7[[#This Row],[Order ID]],ST[Order ID],ST[Employee ID])</f>
        <v>E01</v>
      </c>
      <c r="H388" t="str">
        <f>_xlfn.XLOOKUP(G388,SM[Employee ID],SM[Salesperson])</f>
        <v>Aarav Sharma</v>
      </c>
      <c r="I388" t="str">
        <f>_xlfn.XLOOKUP(G388,SM[Employee ID],SM[Region])</f>
        <v>North</v>
      </c>
      <c r="J388" t="str">
        <f>_xlfn.XLOOKUP(G388,SM[Employee ID],SM[State/City])</f>
        <v>Lucknow</v>
      </c>
      <c r="K388" s="2">
        <f>_xlfn.XLOOKUP(Sales7[[#This Row],[Order ID]],ST[Order ID],ST[Units Sold])</f>
        <v>8</v>
      </c>
      <c r="L388">
        <f t="shared" si="6"/>
        <v>8880</v>
      </c>
    </row>
    <row r="389" spans="1:12" x14ac:dyDescent="0.35">
      <c r="A389" s="7">
        <v>1394</v>
      </c>
      <c r="B389" s="1">
        <v>45343</v>
      </c>
      <c r="C389" s="2" t="s">
        <v>11</v>
      </c>
      <c r="D389" t="str">
        <f>_xlfn.XLOOKUP(Merged_Sales_Data!C389,PM[Product ID],PM[Product Name])</f>
        <v>Bluetooth Speaker</v>
      </c>
      <c r="E389" t="str">
        <f>VLOOKUP(C389,PM[],3,FALSE)</f>
        <v>Electronics</v>
      </c>
      <c r="F389">
        <f>_xlfn.XLOOKUP(C389,PM[Product ID],PM[Unit Price (₹)])</f>
        <v>1430</v>
      </c>
      <c r="G389" t="str">
        <f>_xlfn.XLOOKUP(Sales7[[#This Row],[Order ID]],ST[Order ID],ST[Employee ID])</f>
        <v>E06</v>
      </c>
      <c r="H389" t="str">
        <f>_xlfn.XLOOKUP(G389,SM[Employee ID],SM[Salesperson])</f>
        <v>Sneha Roy</v>
      </c>
      <c r="I389" t="str">
        <f>_xlfn.XLOOKUP(G389,SM[Employee ID],SM[Region])</f>
        <v>East</v>
      </c>
      <c r="J389" t="str">
        <f>_xlfn.XLOOKUP(G389,SM[Employee ID],SM[State/City])</f>
        <v>Kolkata</v>
      </c>
      <c r="K389" s="2">
        <f>_xlfn.XLOOKUP(Sales7[[#This Row],[Order ID]],ST[Order ID],ST[Units Sold])</f>
        <v>6</v>
      </c>
      <c r="L389">
        <f t="shared" si="6"/>
        <v>8580</v>
      </c>
    </row>
    <row r="390" spans="1:12" x14ac:dyDescent="0.35">
      <c r="A390" s="7">
        <v>1395</v>
      </c>
      <c r="B390" s="1">
        <v>45345</v>
      </c>
      <c r="C390" s="2" t="s">
        <v>21</v>
      </c>
      <c r="D390" t="str">
        <f>_xlfn.XLOOKUP(Merged_Sales_Data!C390,PM[Product ID],PM[Product Name])</f>
        <v>Wireless Mouse</v>
      </c>
      <c r="E390" t="str">
        <f>VLOOKUP(C390,PM[],3,FALSE)</f>
        <v>Electronics</v>
      </c>
      <c r="F390">
        <f>_xlfn.XLOOKUP(C390,PM[Product ID],PM[Unit Price (₹)])</f>
        <v>780</v>
      </c>
      <c r="G390" t="str">
        <f>_xlfn.XLOOKUP(Sales7[[#This Row],[Order ID]],ST[Order ID],ST[Employee ID])</f>
        <v>E03</v>
      </c>
      <c r="H390" t="str">
        <f>_xlfn.XLOOKUP(G390,SM[Employee ID],SM[Salesperson])</f>
        <v>Rohan Mehta</v>
      </c>
      <c r="I390" t="str">
        <f>_xlfn.XLOOKUP(G390,SM[Employee ID],SM[Region])</f>
        <v>South</v>
      </c>
      <c r="J390" t="str">
        <f>_xlfn.XLOOKUP(G390,SM[Employee ID],SM[State/City])</f>
        <v>Bengaluru</v>
      </c>
      <c r="K390" s="2">
        <f>_xlfn.XLOOKUP(Sales7[[#This Row],[Order ID]],ST[Order ID],ST[Units Sold])</f>
        <v>2</v>
      </c>
      <c r="L390">
        <f t="shared" si="6"/>
        <v>1560</v>
      </c>
    </row>
    <row r="391" spans="1:12" x14ac:dyDescent="0.35">
      <c r="A391" s="7">
        <v>1365</v>
      </c>
      <c r="B391" s="1">
        <v>45346</v>
      </c>
      <c r="C391" s="2" t="s">
        <v>21</v>
      </c>
      <c r="D391" t="str">
        <f>_xlfn.XLOOKUP(Merged_Sales_Data!C391,PM[Product ID],PM[Product Name])</f>
        <v>Wireless Mouse</v>
      </c>
      <c r="E391" t="str">
        <f>VLOOKUP(C391,PM[],3,FALSE)</f>
        <v>Electronics</v>
      </c>
      <c r="F391">
        <f>_xlfn.XLOOKUP(C391,PM[Product ID],PM[Unit Price (₹)])</f>
        <v>780</v>
      </c>
      <c r="G391" t="str">
        <f>_xlfn.XLOOKUP(Sales7[[#This Row],[Order ID]],ST[Order ID],ST[Employee ID])</f>
        <v>E02</v>
      </c>
      <c r="H391" t="str">
        <f>_xlfn.XLOOKUP(G391,SM[Employee ID],SM[Salesperson])</f>
        <v>Ishita Verma</v>
      </c>
      <c r="I391" t="str">
        <f>_xlfn.XLOOKUP(G391,SM[Employee ID],SM[Region])</f>
        <v>North</v>
      </c>
      <c r="J391" t="str">
        <f>_xlfn.XLOOKUP(G391,SM[Employee ID],SM[State/City])</f>
        <v>Chandigarh</v>
      </c>
      <c r="K391" s="2">
        <f>_xlfn.XLOOKUP(Sales7[[#This Row],[Order ID]],ST[Order ID],ST[Units Sold])</f>
        <v>5</v>
      </c>
      <c r="L391">
        <f t="shared" si="6"/>
        <v>3900</v>
      </c>
    </row>
    <row r="392" spans="1:12" x14ac:dyDescent="0.35">
      <c r="A392" s="7">
        <v>1382</v>
      </c>
      <c r="B392" s="1">
        <v>45347</v>
      </c>
      <c r="C392" s="2" t="s">
        <v>11</v>
      </c>
      <c r="D392" t="str">
        <f>_xlfn.XLOOKUP(Merged_Sales_Data!C392,PM[Product ID],PM[Product Name])</f>
        <v>Bluetooth Speaker</v>
      </c>
      <c r="E392" t="str">
        <f>VLOOKUP(C392,PM[],3,FALSE)</f>
        <v>Electronics</v>
      </c>
      <c r="F392">
        <f>_xlfn.XLOOKUP(C392,PM[Product ID],PM[Unit Price (₹)])</f>
        <v>1430</v>
      </c>
      <c r="G392" t="str">
        <f>_xlfn.XLOOKUP(Sales7[[#This Row],[Order ID]],ST[Order ID],ST[Employee ID])</f>
        <v>E03</v>
      </c>
      <c r="H392" t="str">
        <f>_xlfn.XLOOKUP(G392,SM[Employee ID],SM[Salesperson])</f>
        <v>Rohan Mehta</v>
      </c>
      <c r="I392" t="str">
        <f>_xlfn.XLOOKUP(G392,SM[Employee ID],SM[Region])</f>
        <v>South</v>
      </c>
      <c r="J392" t="str">
        <f>_xlfn.XLOOKUP(G392,SM[Employee ID],SM[State/City])</f>
        <v>Bengaluru</v>
      </c>
      <c r="K392" s="2">
        <f>_xlfn.XLOOKUP(Sales7[[#This Row],[Order ID]],ST[Order ID],ST[Units Sold])</f>
        <v>1</v>
      </c>
      <c r="L392">
        <f t="shared" si="6"/>
        <v>1430</v>
      </c>
    </row>
    <row r="393" spans="1:12" x14ac:dyDescent="0.35">
      <c r="A393" s="7">
        <v>1383</v>
      </c>
      <c r="B393" s="1">
        <v>45347</v>
      </c>
      <c r="C393" s="2" t="s">
        <v>14</v>
      </c>
      <c r="D393" t="str">
        <f>_xlfn.XLOOKUP(Merged_Sales_Data!C393,PM[Product ID],PM[Product Name])</f>
        <v>Laptop Backpack</v>
      </c>
      <c r="E393" t="str">
        <f>VLOOKUP(C393,PM[],3,FALSE)</f>
        <v>Accessories</v>
      </c>
      <c r="F393">
        <f>_xlfn.XLOOKUP(C393,PM[Product ID],PM[Unit Price (₹)])</f>
        <v>1110</v>
      </c>
      <c r="G393" t="str">
        <f>_xlfn.XLOOKUP(Sales7[[#This Row],[Order ID]],ST[Order ID],ST[Employee ID])</f>
        <v>E08</v>
      </c>
      <c r="H393" t="str">
        <f>_xlfn.XLOOKUP(G393,SM[Employee ID],SM[Salesperson])</f>
        <v>Neha Joshi</v>
      </c>
      <c r="I393" t="str">
        <f>_xlfn.XLOOKUP(G393,SM[Employee ID],SM[Region])</f>
        <v>West</v>
      </c>
      <c r="J393" t="str">
        <f>_xlfn.XLOOKUP(G393,SM[Employee ID],SM[State/City])</f>
        <v>Ahmedabad</v>
      </c>
      <c r="K393" s="2">
        <f>_xlfn.XLOOKUP(Sales7[[#This Row],[Order ID]],ST[Order ID],ST[Units Sold])</f>
        <v>8</v>
      </c>
      <c r="L393">
        <f t="shared" si="6"/>
        <v>8880</v>
      </c>
    </row>
    <row r="394" spans="1:12" x14ac:dyDescent="0.35">
      <c r="A394" s="7">
        <v>1367</v>
      </c>
      <c r="B394" s="1">
        <v>45349</v>
      </c>
      <c r="C394" s="2" t="s">
        <v>8</v>
      </c>
      <c r="D394" t="str">
        <f>_xlfn.XLOOKUP(Merged_Sales_Data!C394,PM[Product ID],PM[Product Name])</f>
        <v>USB-C Hub</v>
      </c>
      <c r="E394" t="str">
        <f>VLOOKUP(C394,PM[],3,FALSE)</f>
        <v>Accessories</v>
      </c>
      <c r="F394">
        <f>_xlfn.XLOOKUP(C394,PM[Product ID],PM[Unit Price (₹)])</f>
        <v>880</v>
      </c>
      <c r="G394" t="str">
        <f>_xlfn.XLOOKUP(Sales7[[#This Row],[Order ID]],ST[Order ID],ST[Employee ID])</f>
        <v>E04</v>
      </c>
      <c r="H394" t="str">
        <f>_xlfn.XLOOKUP(G394,SM[Employee ID],SM[Salesperson])</f>
        <v>Priya Nair</v>
      </c>
      <c r="I394" t="str">
        <f>_xlfn.XLOOKUP(G394,SM[Employee ID],SM[Region])</f>
        <v>South</v>
      </c>
      <c r="J394" t="str">
        <f>_xlfn.XLOOKUP(G394,SM[Employee ID],SM[State/City])</f>
        <v>Bengaluru</v>
      </c>
      <c r="K394" s="2">
        <f>_xlfn.XLOOKUP(Sales7[[#This Row],[Order ID]],ST[Order ID],ST[Units Sold])</f>
        <v>6</v>
      </c>
      <c r="L394">
        <f t="shared" si="6"/>
        <v>5280</v>
      </c>
    </row>
    <row r="395" spans="1:12" x14ac:dyDescent="0.35">
      <c r="A395" s="7">
        <v>1379</v>
      </c>
      <c r="B395" s="1">
        <v>45349</v>
      </c>
      <c r="C395" s="2" t="s">
        <v>12</v>
      </c>
      <c r="D395" t="str">
        <f>_xlfn.XLOOKUP(Merged_Sales_Data!C395,PM[Product ID],PM[Product Name])</f>
        <v>Bookshelf Unit</v>
      </c>
      <c r="E395" t="str">
        <f>VLOOKUP(C395,PM[],3,FALSE)</f>
        <v>Furniture</v>
      </c>
      <c r="F395">
        <f>_xlfn.XLOOKUP(C395,PM[Product ID],PM[Unit Price (₹)])</f>
        <v>3910</v>
      </c>
      <c r="G395" t="str">
        <f>_xlfn.XLOOKUP(Sales7[[#This Row],[Order ID]],ST[Order ID],ST[Employee ID])</f>
        <v>E06</v>
      </c>
      <c r="H395" t="str">
        <f>_xlfn.XLOOKUP(G395,SM[Employee ID],SM[Salesperson])</f>
        <v>Sneha Roy</v>
      </c>
      <c r="I395" t="str">
        <f>_xlfn.XLOOKUP(G395,SM[Employee ID],SM[Region])</f>
        <v>East</v>
      </c>
      <c r="J395" t="str">
        <f>_xlfn.XLOOKUP(G395,SM[Employee ID],SM[State/City])</f>
        <v>Kolkata</v>
      </c>
      <c r="K395" s="2">
        <f>_xlfn.XLOOKUP(Sales7[[#This Row],[Order ID]],ST[Order ID],ST[Units Sold])</f>
        <v>10</v>
      </c>
      <c r="L395">
        <f t="shared" si="6"/>
        <v>39100</v>
      </c>
    </row>
    <row r="396" spans="1:12" x14ac:dyDescent="0.35">
      <c r="A396" s="7">
        <v>1368</v>
      </c>
      <c r="B396" s="1">
        <v>45350</v>
      </c>
      <c r="C396" s="2" t="s">
        <v>11</v>
      </c>
      <c r="D396" t="str">
        <f>_xlfn.XLOOKUP(Merged_Sales_Data!C396,PM[Product ID],PM[Product Name])</f>
        <v>Bluetooth Speaker</v>
      </c>
      <c r="E396" t="str">
        <f>VLOOKUP(C396,PM[],3,FALSE)</f>
        <v>Electronics</v>
      </c>
      <c r="F396">
        <f>_xlfn.XLOOKUP(C396,PM[Product ID],PM[Unit Price (₹)])</f>
        <v>1430</v>
      </c>
      <c r="G396" t="str">
        <f>_xlfn.XLOOKUP(Sales7[[#This Row],[Order ID]],ST[Order ID],ST[Employee ID])</f>
        <v>E06</v>
      </c>
      <c r="H396" t="str">
        <f>_xlfn.XLOOKUP(G396,SM[Employee ID],SM[Salesperson])</f>
        <v>Sneha Roy</v>
      </c>
      <c r="I396" t="str">
        <f>_xlfn.XLOOKUP(G396,SM[Employee ID],SM[Region])</f>
        <v>East</v>
      </c>
      <c r="J396" t="str">
        <f>_xlfn.XLOOKUP(G396,SM[Employee ID],SM[State/City])</f>
        <v>Kolkata</v>
      </c>
      <c r="K396" s="2">
        <f>_xlfn.XLOOKUP(Sales7[[#This Row],[Order ID]],ST[Order ID],ST[Units Sold])</f>
        <v>4</v>
      </c>
      <c r="L396">
        <f t="shared" si="6"/>
        <v>5720</v>
      </c>
    </row>
    <row r="397" spans="1:12" x14ac:dyDescent="0.35">
      <c r="A397" s="7">
        <v>1410</v>
      </c>
      <c r="B397" s="1">
        <v>45354</v>
      </c>
      <c r="C397" s="2" t="s">
        <v>18</v>
      </c>
      <c r="D397" t="str">
        <f>_xlfn.XLOOKUP(Merged_Sales_Data!C397,PM[Product ID],PM[Product Name])</f>
        <v>LED Monitor 24"</v>
      </c>
      <c r="E397" t="str">
        <f>VLOOKUP(C397,PM[],3,FALSE)</f>
        <v>Electronics</v>
      </c>
      <c r="F397">
        <f>_xlfn.XLOOKUP(C397,PM[Product ID],PM[Unit Price (₹)])</f>
        <v>7700</v>
      </c>
      <c r="G397" t="str">
        <f>_xlfn.XLOOKUP(Sales7[[#This Row],[Order ID]],ST[Order ID],ST[Employee ID])</f>
        <v>E04</v>
      </c>
      <c r="H397" t="str">
        <f>_xlfn.XLOOKUP(G397,SM[Employee ID],SM[Salesperson])</f>
        <v>Priya Nair</v>
      </c>
      <c r="I397" t="str">
        <f>_xlfn.XLOOKUP(G397,SM[Employee ID],SM[Region])</f>
        <v>South</v>
      </c>
      <c r="J397" t="str">
        <f>_xlfn.XLOOKUP(G397,SM[Employee ID],SM[State/City])</f>
        <v>Bengaluru</v>
      </c>
      <c r="K397" s="2">
        <f>_xlfn.XLOOKUP(Sales7[[#This Row],[Order ID]],ST[Order ID],ST[Units Sold])</f>
        <v>1</v>
      </c>
      <c r="L397">
        <f t="shared" si="6"/>
        <v>7700</v>
      </c>
    </row>
    <row r="398" spans="1:12" x14ac:dyDescent="0.35">
      <c r="A398" s="7">
        <v>1400</v>
      </c>
      <c r="B398" s="1">
        <v>45355</v>
      </c>
      <c r="C398" s="2" t="s">
        <v>11</v>
      </c>
      <c r="D398" t="str">
        <f>_xlfn.XLOOKUP(Merged_Sales_Data!C398,PM[Product ID],PM[Product Name])</f>
        <v>Bluetooth Speaker</v>
      </c>
      <c r="E398" t="str">
        <f>VLOOKUP(C398,PM[],3,FALSE)</f>
        <v>Electronics</v>
      </c>
      <c r="F398">
        <f>_xlfn.XLOOKUP(C398,PM[Product ID],PM[Unit Price (₹)])</f>
        <v>1430</v>
      </c>
      <c r="G398" t="str">
        <f>_xlfn.XLOOKUP(Sales7[[#This Row],[Order ID]],ST[Order ID],ST[Employee ID])</f>
        <v>E06</v>
      </c>
      <c r="H398" t="str">
        <f>_xlfn.XLOOKUP(G398,SM[Employee ID],SM[Salesperson])</f>
        <v>Sneha Roy</v>
      </c>
      <c r="I398" t="str">
        <f>_xlfn.XLOOKUP(G398,SM[Employee ID],SM[Region])</f>
        <v>East</v>
      </c>
      <c r="J398" t="str">
        <f>_xlfn.XLOOKUP(G398,SM[Employee ID],SM[State/City])</f>
        <v>Kolkata</v>
      </c>
      <c r="K398" s="2">
        <f>_xlfn.XLOOKUP(Sales7[[#This Row],[Order ID]],ST[Order ID],ST[Units Sold])</f>
        <v>3</v>
      </c>
      <c r="L398">
        <f t="shared" si="6"/>
        <v>4290</v>
      </c>
    </row>
    <row r="399" spans="1:12" x14ac:dyDescent="0.35">
      <c r="A399" s="7">
        <v>1412</v>
      </c>
      <c r="B399" s="1">
        <v>45356</v>
      </c>
      <c r="C399" s="2" t="s">
        <v>12</v>
      </c>
      <c r="D399" t="str">
        <f>_xlfn.XLOOKUP(Merged_Sales_Data!C399,PM[Product ID],PM[Product Name])</f>
        <v>Bookshelf Unit</v>
      </c>
      <c r="E399" t="str">
        <f>VLOOKUP(C399,PM[],3,FALSE)</f>
        <v>Furniture</v>
      </c>
      <c r="F399">
        <f>_xlfn.XLOOKUP(C399,PM[Product ID],PM[Unit Price (₹)])</f>
        <v>3910</v>
      </c>
      <c r="G399" t="str">
        <f>_xlfn.XLOOKUP(Sales7[[#This Row],[Order ID]],ST[Order ID],ST[Employee ID])</f>
        <v>E01</v>
      </c>
      <c r="H399" t="str">
        <f>_xlfn.XLOOKUP(G399,SM[Employee ID],SM[Salesperson])</f>
        <v>Aarav Sharma</v>
      </c>
      <c r="I399" t="str">
        <f>_xlfn.XLOOKUP(G399,SM[Employee ID],SM[Region])</f>
        <v>North</v>
      </c>
      <c r="J399" t="str">
        <f>_xlfn.XLOOKUP(G399,SM[Employee ID],SM[State/City])</f>
        <v>Lucknow</v>
      </c>
      <c r="K399" s="2">
        <f>_xlfn.XLOOKUP(Sales7[[#This Row],[Order ID]],ST[Order ID],ST[Units Sold])</f>
        <v>8</v>
      </c>
      <c r="L399">
        <f t="shared" si="6"/>
        <v>31280</v>
      </c>
    </row>
    <row r="400" spans="1:12" x14ac:dyDescent="0.35">
      <c r="A400" s="7">
        <v>1421</v>
      </c>
      <c r="B400" s="1">
        <v>45356</v>
      </c>
      <c r="C400" s="2" t="s">
        <v>5</v>
      </c>
      <c r="D400" t="str">
        <f>_xlfn.XLOOKUP(Merged_Sales_Data!C400,PM[Product ID],PM[Product Name])</f>
        <v>Ergo Office Chair</v>
      </c>
      <c r="E400" t="str">
        <f>VLOOKUP(C400,PM[],3,FALSE)</f>
        <v>Office Supplies</v>
      </c>
      <c r="F400">
        <f>_xlfn.XLOOKUP(C400,PM[Product ID],PM[Unit Price (₹)])</f>
        <v>6750</v>
      </c>
      <c r="G400" t="str">
        <f>_xlfn.XLOOKUP(Sales7[[#This Row],[Order ID]],ST[Order ID],ST[Employee ID])</f>
        <v>E03</v>
      </c>
      <c r="H400" t="str">
        <f>_xlfn.XLOOKUP(G400,SM[Employee ID],SM[Salesperson])</f>
        <v>Rohan Mehta</v>
      </c>
      <c r="I400" t="str">
        <f>_xlfn.XLOOKUP(G400,SM[Employee ID],SM[Region])</f>
        <v>South</v>
      </c>
      <c r="J400" t="str">
        <f>_xlfn.XLOOKUP(G400,SM[Employee ID],SM[State/City])</f>
        <v>Bengaluru</v>
      </c>
      <c r="K400" s="2">
        <f>_xlfn.XLOOKUP(Sales7[[#This Row],[Order ID]],ST[Order ID],ST[Units Sold])</f>
        <v>8</v>
      </c>
      <c r="L400">
        <f t="shared" si="6"/>
        <v>54000</v>
      </c>
    </row>
    <row r="401" spans="1:12" x14ac:dyDescent="0.35">
      <c r="A401" s="7">
        <v>1408</v>
      </c>
      <c r="B401" s="1">
        <v>45357</v>
      </c>
      <c r="C401" s="2" t="s">
        <v>12</v>
      </c>
      <c r="D401" t="str">
        <f>_xlfn.XLOOKUP(Merged_Sales_Data!C401,PM[Product ID],PM[Product Name])</f>
        <v>Bookshelf Unit</v>
      </c>
      <c r="E401" t="str">
        <f>VLOOKUP(C401,PM[],3,FALSE)</f>
        <v>Furniture</v>
      </c>
      <c r="F401">
        <f>_xlfn.XLOOKUP(C401,PM[Product ID],PM[Unit Price (₹)])</f>
        <v>3910</v>
      </c>
      <c r="G401" t="str">
        <f>_xlfn.XLOOKUP(Sales7[[#This Row],[Order ID]],ST[Order ID],ST[Employee ID])</f>
        <v>E01</v>
      </c>
      <c r="H401" t="str">
        <f>_xlfn.XLOOKUP(G401,SM[Employee ID],SM[Salesperson])</f>
        <v>Aarav Sharma</v>
      </c>
      <c r="I401" t="str">
        <f>_xlfn.XLOOKUP(G401,SM[Employee ID],SM[Region])</f>
        <v>North</v>
      </c>
      <c r="J401" t="str">
        <f>_xlfn.XLOOKUP(G401,SM[Employee ID],SM[State/City])</f>
        <v>Lucknow</v>
      </c>
      <c r="K401" s="2">
        <f>_xlfn.XLOOKUP(Sales7[[#This Row],[Order ID]],ST[Order ID],ST[Units Sold])</f>
        <v>2</v>
      </c>
      <c r="L401">
        <f t="shared" si="6"/>
        <v>7820</v>
      </c>
    </row>
    <row r="402" spans="1:12" x14ac:dyDescent="0.35">
      <c r="A402" s="7">
        <v>1413</v>
      </c>
      <c r="B402" s="1">
        <v>45357</v>
      </c>
      <c r="C402" s="2" t="s">
        <v>18</v>
      </c>
      <c r="D402" t="str">
        <f>_xlfn.XLOOKUP(Merged_Sales_Data!C402,PM[Product ID],PM[Product Name])</f>
        <v>LED Monitor 24"</v>
      </c>
      <c r="E402" t="str">
        <f>VLOOKUP(C402,PM[],3,FALSE)</f>
        <v>Electronics</v>
      </c>
      <c r="F402">
        <f>_xlfn.XLOOKUP(C402,PM[Product ID],PM[Unit Price (₹)])</f>
        <v>7700</v>
      </c>
      <c r="G402" t="str">
        <f>_xlfn.XLOOKUP(Sales7[[#This Row],[Order ID]],ST[Order ID],ST[Employee ID])</f>
        <v>E07</v>
      </c>
      <c r="H402" t="str">
        <f>_xlfn.XLOOKUP(G402,SM[Employee ID],SM[Salesperson])</f>
        <v>Aditya Kapoor</v>
      </c>
      <c r="I402" t="str">
        <f>_xlfn.XLOOKUP(G402,SM[Employee ID],SM[Region])</f>
        <v>West</v>
      </c>
      <c r="J402" t="str">
        <f>_xlfn.XLOOKUP(G402,SM[Employee ID],SM[State/City])</f>
        <v>Mumbai</v>
      </c>
      <c r="K402" s="2">
        <f>_xlfn.XLOOKUP(Sales7[[#This Row],[Order ID]],ST[Order ID],ST[Units Sold])</f>
        <v>1</v>
      </c>
      <c r="L402">
        <f t="shared" si="6"/>
        <v>7700</v>
      </c>
    </row>
    <row r="403" spans="1:12" x14ac:dyDescent="0.35">
      <c r="A403" s="7">
        <v>1409</v>
      </c>
      <c r="B403" s="1">
        <v>45358</v>
      </c>
      <c r="C403" s="2" t="s">
        <v>12</v>
      </c>
      <c r="D403" t="str">
        <f>_xlfn.XLOOKUP(Merged_Sales_Data!C403,PM[Product ID],PM[Product Name])</f>
        <v>Bookshelf Unit</v>
      </c>
      <c r="E403" t="str">
        <f>VLOOKUP(C403,PM[],3,FALSE)</f>
        <v>Furniture</v>
      </c>
      <c r="F403">
        <f>_xlfn.XLOOKUP(C403,PM[Product ID],PM[Unit Price (₹)])</f>
        <v>3910</v>
      </c>
      <c r="G403" t="str">
        <f>_xlfn.XLOOKUP(Sales7[[#This Row],[Order ID]],ST[Order ID],ST[Employee ID])</f>
        <v>E04</v>
      </c>
      <c r="H403" t="str">
        <f>_xlfn.XLOOKUP(G403,SM[Employee ID],SM[Salesperson])</f>
        <v>Priya Nair</v>
      </c>
      <c r="I403" t="str">
        <f>_xlfn.XLOOKUP(G403,SM[Employee ID],SM[Region])</f>
        <v>South</v>
      </c>
      <c r="J403" t="str">
        <f>_xlfn.XLOOKUP(G403,SM[Employee ID],SM[State/City])</f>
        <v>Bengaluru</v>
      </c>
      <c r="K403" s="2">
        <f>_xlfn.XLOOKUP(Sales7[[#This Row],[Order ID]],ST[Order ID],ST[Units Sold])</f>
        <v>5</v>
      </c>
      <c r="L403">
        <f t="shared" si="6"/>
        <v>19550</v>
      </c>
    </row>
    <row r="404" spans="1:12" x14ac:dyDescent="0.35">
      <c r="A404" s="7">
        <v>1407</v>
      </c>
      <c r="B404" s="1">
        <v>45363</v>
      </c>
      <c r="C404" s="2" t="s">
        <v>10</v>
      </c>
      <c r="D404" t="str">
        <f>_xlfn.XLOOKUP(Merged_Sales_Data!C404,PM[Product ID],PM[Product Name])</f>
        <v>Filing Cabinet</v>
      </c>
      <c r="E404" t="str">
        <f>VLOOKUP(C404,PM[],3,FALSE)</f>
        <v>Furniture</v>
      </c>
      <c r="F404">
        <f>_xlfn.XLOOKUP(C404,PM[Product ID],PM[Unit Price (₹)])</f>
        <v>4070</v>
      </c>
      <c r="G404" t="str">
        <f>_xlfn.XLOOKUP(Sales7[[#This Row],[Order ID]],ST[Order ID],ST[Employee ID])</f>
        <v>E02</v>
      </c>
      <c r="H404" t="str">
        <f>_xlfn.XLOOKUP(G404,SM[Employee ID],SM[Salesperson])</f>
        <v>Ishita Verma</v>
      </c>
      <c r="I404" t="str">
        <f>_xlfn.XLOOKUP(G404,SM[Employee ID],SM[Region])</f>
        <v>North</v>
      </c>
      <c r="J404" t="str">
        <f>_xlfn.XLOOKUP(G404,SM[Employee ID],SM[State/City])</f>
        <v>Chandigarh</v>
      </c>
      <c r="K404" s="2">
        <f>_xlfn.XLOOKUP(Sales7[[#This Row],[Order ID]],ST[Order ID],ST[Units Sold])</f>
        <v>6</v>
      </c>
      <c r="L404">
        <f t="shared" si="6"/>
        <v>24420</v>
      </c>
    </row>
    <row r="405" spans="1:12" x14ac:dyDescent="0.35">
      <c r="A405" s="7">
        <v>1405</v>
      </c>
      <c r="B405" s="1">
        <v>45364</v>
      </c>
      <c r="C405" s="2" t="s">
        <v>20</v>
      </c>
      <c r="D405" t="str">
        <f>_xlfn.XLOOKUP(Merged_Sales_Data!C405,PM[Product ID],PM[Product Name])</f>
        <v>Standing Desk</v>
      </c>
      <c r="E405" t="str">
        <f>VLOOKUP(C405,PM[],3,FALSE)</f>
        <v>Office Supplies</v>
      </c>
      <c r="F405">
        <f>_xlfn.XLOOKUP(C405,PM[Product ID],PM[Unit Price (₹)])</f>
        <v>11010</v>
      </c>
      <c r="G405" t="str">
        <f>_xlfn.XLOOKUP(Sales7[[#This Row],[Order ID]],ST[Order ID],ST[Employee ID])</f>
        <v>E02</v>
      </c>
      <c r="H405" t="str">
        <f>_xlfn.XLOOKUP(G405,SM[Employee ID],SM[Salesperson])</f>
        <v>Ishita Verma</v>
      </c>
      <c r="I405" t="str">
        <f>_xlfn.XLOOKUP(G405,SM[Employee ID],SM[Region])</f>
        <v>North</v>
      </c>
      <c r="J405" t="str">
        <f>_xlfn.XLOOKUP(G405,SM[Employee ID],SM[State/City])</f>
        <v>Chandigarh</v>
      </c>
      <c r="K405" s="2">
        <f>_xlfn.XLOOKUP(Sales7[[#This Row],[Order ID]],ST[Order ID],ST[Units Sold])</f>
        <v>6</v>
      </c>
      <c r="L405">
        <f t="shared" si="6"/>
        <v>66060</v>
      </c>
    </row>
    <row r="406" spans="1:12" x14ac:dyDescent="0.35">
      <c r="A406" s="7">
        <v>1428</v>
      </c>
      <c r="B406" s="1">
        <v>45364</v>
      </c>
      <c r="C406" s="2" t="s">
        <v>10</v>
      </c>
      <c r="D406" t="str">
        <f>_xlfn.XLOOKUP(Merged_Sales_Data!C406,PM[Product ID],PM[Product Name])</f>
        <v>Filing Cabinet</v>
      </c>
      <c r="E406" t="str">
        <f>VLOOKUP(C406,PM[],3,FALSE)</f>
        <v>Furniture</v>
      </c>
      <c r="F406">
        <f>_xlfn.XLOOKUP(C406,PM[Product ID],PM[Unit Price (₹)])</f>
        <v>4070</v>
      </c>
      <c r="G406" t="str">
        <f>_xlfn.XLOOKUP(Sales7[[#This Row],[Order ID]],ST[Order ID],ST[Employee ID])</f>
        <v>E01</v>
      </c>
      <c r="H406" t="str">
        <f>_xlfn.XLOOKUP(G406,SM[Employee ID],SM[Salesperson])</f>
        <v>Aarav Sharma</v>
      </c>
      <c r="I406" t="str">
        <f>_xlfn.XLOOKUP(G406,SM[Employee ID],SM[Region])</f>
        <v>North</v>
      </c>
      <c r="J406" t="str">
        <f>_xlfn.XLOOKUP(G406,SM[Employee ID],SM[State/City])</f>
        <v>Lucknow</v>
      </c>
      <c r="K406" s="2">
        <f>_xlfn.XLOOKUP(Sales7[[#This Row],[Order ID]],ST[Order ID],ST[Units Sold])</f>
        <v>1</v>
      </c>
      <c r="L406">
        <f t="shared" si="6"/>
        <v>4070</v>
      </c>
    </row>
    <row r="407" spans="1:12" x14ac:dyDescent="0.35">
      <c r="A407" s="7">
        <v>1414</v>
      </c>
      <c r="B407" s="1">
        <v>45365</v>
      </c>
      <c r="C407" s="2" t="s">
        <v>14</v>
      </c>
      <c r="D407" t="str">
        <f>_xlfn.XLOOKUP(Merged_Sales_Data!C407,PM[Product ID],PM[Product Name])</f>
        <v>Laptop Backpack</v>
      </c>
      <c r="E407" t="str">
        <f>VLOOKUP(C407,PM[],3,FALSE)</f>
        <v>Accessories</v>
      </c>
      <c r="F407">
        <f>_xlfn.XLOOKUP(C407,PM[Product ID],PM[Unit Price (₹)])</f>
        <v>1110</v>
      </c>
      <c r="G407" t="str">
        <f>_xlfn.XLOOKUP(Sales7[[#This Row],[Order ID]],ST[Order ID],ST[Employee ID])</f>
        <v>E03</v>
      </c>
      <c r="H407" t="str">
        <f>_xlfn.XLOOKUP(G407,SM[Employee ID],SM[Salesperson])</f>
        <v>Rohan Mehta</v>
      </c>
      <c r="I407" t="str">
        <f>_xlfn.XLOOKUP(G407,SM[Employee ID],SM[Region])</f>
        <v>South</v>
      </c>
      <c r="J407" t="str">
        <f>_xlfn.XLOOKUP(G407,SM[Employee ID],SM[State/City])</f>
        <v>Bengaluru</v>
      </c>
      <c r="K407" s="2">
        <f>_xlfn.XLOOKUP(Sales7[[#This Row],[Order ID]],ST[Order ID],ST[Units Sold])</f>
        <v>1</v>
      </c>
      <c r="L407">
        <f t="shared" si="6"/>
        <v>1110</v>
      </c>
    </row>
    <row r="408" spans="1:12" x14ac:dyDescent="0.35">
      <c r="A408" s="7">
        <v>1420</v>
      </c>
      <c r="B408" s="1">
        <v>45365</v>
      </c>
      <c r="C408" s="2" t="s">
        <v>8</v>
      </c>
      <c r="D408" t="str">
        <f>_xlfn.XLOOKUP(Merged_Sales_Data!C408,PM[Product ID],PM[Product Name])</f>
        <v>USB-C Hub</v>
      </c>
      <c r="E408" t="str">
        <f>VLOOKUP(C408,PM[],3,FALSE)</f>
        <v>Accessories</v>
      </c>
      <c r="F408">
        <f>_xlfn.XLOOKUP(C408,PM[Product ID],PM[Unit Price (₹)])</f>
        <v>880</v>
      </c>
      <c r="G408" t="str">
        <f>_xlfn.XLOOKUP(Sales7[[#This Row],[Order ID]],ST[Order ID],ST[Employee ID])</f>
        <v>E07</v>
      </c>
      <c r="H408" t="str">
        <f>_xlfn.XLOOKUP(G408,SM[Employee ID],SM[Salesperson])</f>
        <v>Aditya Kapoor</v>
      </c>
      <c r="I408" t="str">
        <f>_xlfn.XLOOKUP(G408,SM[Employee ID],SM[Region])</f>
        <v>West</v>
      </c>
      <c r="J408" t="str">
        <f>_xlfn.XLOOKUP(G408,SM[Employee ID],SM[State/City])</f>
        <v>Mumbai</v>
      </c>
      <c r="K408" s="2">
        <f>_xlfn.XLOOKUP(Sales7[[#This Row],[Order ID]],ST[Order ID],ST[Units Sold])</f>
        <v>6</v>
      </c>
      <c r="L408">
        <f t="shared" si="6"/>
        <v>5280</v>
      </c>
    </row>
    <row r="409" spans="1:12" x14ac:dyDescent="0.35">
      <c r="A409" s="7">
        <v>1422</v>
      </c>
      <c r="B409" s="1">
        <v>45367</v>
      </c>
      <c r="C409" s="2" t="s">
        <v>21</v>
      </c>
      <c r="D409" t="str">
        <f>_xlfn.XLOOKUP(Merged_Sales_Data!C409,PM[Product ID],PM[Product Name])</f>
        <v>Wireless Mouse</v>
      </c>
      <c r="E409" t="str">
        <f>VLOOKUP(C409,PM[],3,FALSE)</f>
        <v>Electronics</v>
      </c>
      <c r="F409">
        <f>_xlfn.XLOOKUP(C409,PM[Product ID],PM[Unit Price (₹)])</f>
        <v>780</v>
      </c>
      <c r="G409" t="str">
        <f>_xlfn.XLOOKUP(Sales7[[#This Row],[Order ID]],ST[Order ID],ST[Employee ID])</f>
        <v>E05</v>
      </c>
      <c r="H409" t="str">
        <f>_xlfn.XLOOKUP(G409,SM[Employee ID],SM[Salesperson])</f>
        <v>Karan Malhotra</v>
      </c>
      <c r="I409" t="str">
        <f>_xlfn.XLOOKUP(G409,SM[Employee ID],SM[Region])</f>
        <v>East</v>
      </c>
      <c r="J409" t="str">
        <f>_xlfn.XLOOKUP(G409,SM[Employee ID],SM[State/City])</f>
        <v>Kolkata</v>
      </c>
      <c r="K409" s="2">
        <f>_xlfn.XLOOKUP(Sales7[[#This Row],[Order ID]],ST[Order ID],ST[Units Sold])</f>
        <v>10</v>
      </c>
      <c r="L409">
        <f t="shared" si="6"/>
        <v>7800</v>
      </c>
    </row>
    <row r="410" spans="1:12" x14ac:dyDescent="0.35">
      <c r="A410" s="7">
        <v>1416</v>
      </c>
      <c r="B410" s="1">
        <v>45369</v>
      </c>
      <c r="C410" s="2" t="s">
        <v>14</v>
      </c>
      <c r="D410" t="str">
        <f>_xlfn.XLOOKUP(Merged_Sales_Data!C410,PM[Product ID],PM[Product Name])</f>
        <v>Laptop Backpack</v>
      </c>
      <c r="E410" t="str">
        <f>VLOOKUP(C410,PM[],3,FALSE)</f>
        <v>Accessories</v>
      </c>
      <c r="F410">
        <f>_xlfn.XLOOKUP(C410,PM[Product ID],PM[Unit Price (₹)])</f>
        <v>1110</v>
      </c>
      <c r="G410" t="str">
        <f>_xlfn.XLOOKUP(Sales7[[#This Row],[Order ID]],ST[Order ID],ST[Employee ID])</f>
        <v>E05</v>
      </c>
      <c r="H410" t="str">
        <f>_xlfn.XLOOKUP(G410,SM[Employee ID],SM[Salesperson])</f>
        <v>Karan Malhotra</v>
      </c>
      <c r="I410" t="str">
        <f>_xlfn.XLOOKUP(G410,SM[Employee ID],SM[Region])</f>
        <v>East</v>
      </c>
      <c r="J410" t="str">
        <f>_xlfn.XLOOKUP(G410,SM[Employee ID],SM[State/City])</f>
        <v>Kolkata</v>
      </c>
      <c r="K410" s="2">
        <f>_xlfn.XLOOKUP(Sales7[[#This Row],[Order ID]],ST[Order ID],ST[Units Sold])</f>
        <v>2</v>
      </c>
      <c r="L410">
        <f t="shared" si="6"/>
        <v>2220</v>
      </c>
    </row>
    <row r="411" spans="1:12" x14ac:dyDescent="0.35">
      <c r="A411" s="7">
        <v>1402</v>
      </c>
      <c r="B411" s="1">
        <v>45370</v>
      </c>
      <c r="C411" s="2" t="s">
        <v>12</v>
      </c>
      <c r="D411" t="str">
        <f>_xlfn.XLOOKUP(Merged_Sales_Data!C411,PM[Product ID],PM[Product Name])</f>
        <v>Bookshelf Unit</v>
      </c>
      <c r="E411" t="str">
        <f>VLOOKUP(C411,PM[],3,FALSE)</f>
        <v>Furniture</v>
      </c>
      <c r="F411">
        <f>_xlfn.XLOOKUP(C411,PM[Product ID],PM[Unit Price (₹)])</f>
        <v>3910</v>
      </c>
      <c r="G411" t="str">
        <f>_xlfn.XLOOKUP(Sales7[[#This Row],[Order ID]],ST[Order ID],ST[Employee ID])</f>
        <v>E03</v>
      </c>
      <c r="H411" t="str">
        <f>_xlfn.XLOOKUP(G411,SM[Employee ID],SM[Salesperson])</f>
        <v>Rohan Mehta</v>
      </c>
      <c r="I411" t="str">
        <f>_xlfn.XLOOKUP(G411,SM[Employee ID],SM[Region])</f>
        <v>South</v>
      </c>
      <c r="J411" t="str">
        <f>_xlfn.XLOOKUP(G411,SM[Employee ID],SM[State/City])</f>
        <v>Bengaluru</v>
      </c>
      <c r="K411" s="2">
        <f>_xlfn.XLOOKUP(Sales7[[#This Row],[Order ID]],ST[Order ID],ST[Units Sold])</f>
        <v>1</v>
      </c>
      <c r="L411">
        <f t="shared" si="6"/>
        <v>3910</v>
      </c>
    </row>
    <row r="412" spans="1:12" x14ac:dyDescent="0.35">
      <c r="A412" s="7">
        <v>1396</v>
      </c>
      <c r="B412" s="1">
        <v>45371</v>
      </c>
      <c r="C412" s="2" t="s">
        <v>8</v>
      </c>
      <c r="D412" t="str">
        <f>_xlfn.XLOOKUP(Merged_Sales_Data!C412,PM[Product ID],PM[Product Name])</f>
        <v>USB-C Hub</v>
      </c>
      <c r="E412" t="str">
        <f>VLOOKUP(C412,PM[],3,FALSE)</f>
        <v>Accessories</v>
      </c>
      <c r="F412">
        <f>_xlfn.XLOOKUP(C412,PM[Product ID],PM[Unit Price (₹)])</f>
        <v>880</v>
      </c>
      <c r="G412" t="str">
        <f>_xlfn.XLOOKUP(Sales7[[#This Row],[Order ID]],ST[Order ID],ST[Employee ID])</f>
        <v>E08</v>
      </c>
      <c r="H412" t="str">
        <f>_xlfn.XLOOKUP(G412,SM[Employee ID],SM[Salesperson])</f>
        <v>Neha Joshi</v>
      </c>
      <c r="I412" t="str">
        <f>_xlfn.XLOOKUP(G412,SM[Employee ID],SM[Region])</f>
        <v>West</v>
      </c>
      <c r="J412" t="str">
        <f>_xlfn.XLOOKUP(G412,SM[Employee ID],SM[State/City])</f>
        <v>Ahmedabad</v>
      </c>
      <c r="K412" s="2">
        <f>_xlfn.XLOOKUP(Sales7[[#This Row],[Order ID]],ST[Order ID],ST[Units Sold])</f>
        <v>6</v>
      </c>
      <c r="L412">
        <f t="shared" si="6"/>
        <v>5280</v>
      </c>
    </row>
    <row r="413" spans="1:12" x14ac:dyDescent="0.35">
      <c r="A413" s="7">
        <v>1415</v>
      </c>
      <c r="B413" s="1">
        <v>45371</v>
      </c>
      <c r="C413" s="2" t="s">
        <v>5</v>
      </c>
      <c r="D413" t="str">
        <f>_xlfn.XLOOKUP(Merged_Sales_Data!C413,PM[Product ID],PM[Product Name])</f>
        <v>Ergo Office Chair</v>
      </c>
      <c r="E413" t="str">
        <f>VLOOKUP(C413,PM[],3,FALSE)</f>
        <v>Office Supplies</v>
      </c>
      <c r="F413">
        <f>_xlfn.XLOOKUP(C413,PM[Product ID],PM[Unit Price (₹)])</f>
        <v>6750</v>
      </c>
      <c r="G413" t="str">
        <f>_xlfn.XLOOKUP(Sales7[[#This Row],[Order ID]],ST[Order ID],ST[Employee ID])</f>
        <v>E06</v>
      </c>
      <c r="H413" t="str">
        <f>_xlfn.XLOOKUP(G413,SM[Employee ID],SM[Salesperson])</f>
        <v>Sneha Roy</v>
      </c>
      <c r="I413" t="str">
        <f>_xlfn.XLOOKUP(G413,SM[Employee ID],SM[Region])</f>
        <v>East</v>
      </c>
      <c r="J413" t="str">
        <f>_xlfn.XLOOKUP(G413,SM[Employee ID],SM[State/City])</f>
        <v>Kolkata</v>
      </c>
      <c r="K413" s="2">
        <f>_xlfn.XLOOKUP(Sales7[[#This Row],[Order ID]],ST[Order ID],ST[Units Sold])</f>
        <v>5</v>
      </c>
      <c r="L413">
        <f t="shared" si="6"/>
        <v>33750</v>
      </c>
    </row>
    <row r="414" spans="1:12" x14ac:dyDescent="0.35">
      <c r="A414" s="7">
        <v>1399</v>
      </c>
      <c r="B414" s="1">
        <v>45372</v>
      </c>
      <c r="C414" s="2" t="s">
        <v>21</v>
      </c>
      <c r="D414" t="str">
        <f>_xlfn.XLOOKUP(Merged_Sales_Data!C414,PM[Product ID],PM[Product Name])</f>
        <v>Wireless Mouse</v>
      </c>
      <c r="E414" t="str">
        <f>VLOOKUP(C414,PM[],3,FALSE)</f>
        <v>Electronics</v>
      </c>
      <c r="F414">
        <f>_xlfn.XLOOKUP(C414,PM[Product ID],PM[Unit Price (₹)])</f>
        <v>780</v>
      </c>
      <c r="G414" t="str">
        <f>_xlfn.XLOOKUP(Sales7[[#This Row],[Order ID]],ST[Order ID],ST[Employee ID])</f>
        <v>E06</v>
      </c>
      <c r="H414" t="str">
        <f>_xlfn.XLOOKUP(G414,SM[Employee ID],SM[Salesperson])</f>
        <v>Sneha Roy</v>
      </c>
      <c r="I414" t="str">
        <f>_xlfn.XLOOKUP(G414,SM[Employee ID],SM[Region])</f>
        <v>East</v>
      </c>
      <c r="J414" t="str">
        <f>_xlfn.XLOOKUP(G414,SM[Employee ID],SM[State/City])</f>
        <v>Kolkata</v>
      </c>
      <c r="K414" s="2">
        <f>_xlfn.XLOOKUP(Sales7[[#This Row],[Order ID]],ST[Order ID],ST[Units Sold])</f>
        <v>10</v>
      </c>
      <c r="L414">
        <f t="shared" si="6"/>
        <v>7800</v>
      </c>
    </row>
    <row r="415" spans="1:12" x14ac:dyDescent="0.35">
      <c r="A415" s="7">
        <v>1404</v>
      </c>
      <c r="B415" s="1">
        <v>45374</v>
      </c>
      <c r="C415" s="2" t="s">
        <v>18</v>
      </c>
      <c r="D415" t="str">
        <f>_xlfn.XLOOKUP(Merged_Sales_Data!C415,PM[Product ID],PM[Product Name])</f>
        <v>LED Monitor 24"</v>
      </c>
      <c r="E415" t="str">
        <f>VLOOKUP(C415,PM[],3,FALSE)</f>
        <v>Electronics</v>
      </c>
      <c r="F415">
        <f>_xlfn.XLOOKUP(C415,PM[Product ID],PM[Unit Price (₹)])</f>
        <v>7700</v>
      </c>
      <c r="G415" t="str">
        <f>_xlfn.XLOOKUP(Sales7[[#This Row],[Order ID]],ST[Order ID],ST[Employee ID])</f>
        <v>E07</v>
      </c>
      <c r="H415" t="str">
        <f>_xlfn.XLOOKUP(G415,SM[Employee ID],SM[Salesperson])</f>
        <v>Aditya Kapoor</v>
      </c>
      <c r="I415" t="str">
        <f>_xlfn.XLOOKUP(G415,SM[Employee ID],SM[Region])</f>
        <v>West</v>
      </c>
      <c r="J415" t="str">
        <f>_xlfn.XLOOKUP(G415,SM[Employee ID],SM[State/City])</f>
        <v>Mumbai</v>
      </c>
      <c r="K415" s="2">
        <f>_xlfn.XLOOKUP(Sales7[[#This Row],[Order ID]],ST[Order ID],ST[Units Sold])</f>
        <v>8</v>
      </c>
      <c r="L415">
        <f t="shared" si="6"/>
        <v>61600</v>
      </c>
    </row>
    <row r="416" spans="1:12" x14ac:dyDescent="0.35">
      <c r="A416" s="7">
        <v>1406</v>
      </c>
      <c r="B416" s="1">
        <v>45374</v>
      </c>
      <c r="C416" s="2" t="s">
        <v>18</v>
      </c>
      <c r="D416" t="str">
        <f>_xlfn.XLOOKUP(Merged_Sales_Data!C416,PM[Product ID],PM[Product Name])</f>
        <v>LED Monitor 24"</v>
      </c>
      <c r="E416" t="str">
        <f>VLOOKUP(C416,PM[],3,FALSE)</f>
        <v>Electronics</v>
      </c>
      <c r="F416">
        <f>_xlfn.XLOOKUP(C416,PM[Product ID],PM[Unit Price (₹)])</f>
        <v>7700</v>
      </c>
      <c r="G416" t="str">
        <f>_xlfn.XLOOKUP(Sales7[[#This Row],[Order ID]],ST[Order ID],ST[Employee ID])</f>
        <v>E06</v>
      </c>
      <c r="H416" t="str">
        <f>_xlfn.XLOOKUP(G416,SM[Employee ID],SM[Salesperson])</f>
        <v>Sneha Roy</v>
      </c>
      <c r="I416" t="str">
        <f>_xlfn.XLOOKUP(G416,SM[Employee ID],SM[Region])</f>
        <v>East</v>
      </c>
      <c r="J416" t="str">
        <f>_xlfn.XLOOKUP(G416,SM[Employee ID],SM[State/City])</f>
        <v>Kolkata</v>
      </c>
      <c r="K416" s="2">
        <f>_xlfn.XLOOKUP(Sales7[[#This Row],[Order ID]],ST[Order ID],ST[Units Sold])</f>
        <v>10</v>
      </c>
      <c r="L416">
        <f t="shared" si="6"/>
        <v>77000</v>
      </c>
    </row>
    <row r="417" spans="1:12" x14ac:dyDescent="0.35">
      <c r="A417" s="7">
        <v>1423</v>
      </c>
      <c r="B417" s="1">
        <v>45374</v>
      </c>
      <c r="C417" s="2" t="s">
        <v>8</v>
      </c>
      <c r="D417" t="str">
        <f>_xlfn.XLOOKUP(Merged_Sales_Data!C417,PM[Product ID],PM[Product Name])</f>
        <v>USB-C Hub</v>
      </c>
      <c r="E417" t="str">
        <f>VLOOKUP(C417,PM[],3,FALSE)</f>
        <v>Accessories</v>
      </c>
      <c r="F417">
        <f>_xlfn.XLOOKUP(C417,PM[Product ID],PM[Unit Price (₹)])</f>
        <v>880</v>
      </c>
      <c r="G417" t="str">
        <f>_xlfn.XLOOKUP(Sales7[[#This Row],[Order ID]],ST[Order ID],ST[Employee ID])</f>
        <v>E06</v>
      </c>
      <c r="H417" t="str">
        <f>_xlfn.XLOOKUP(G417,SM[Employee ID],SM[Salesperson])</f>
        <v>Sneha Roy</v>
      </c>
      <c r="I417" t="str">
        <f>_xlfn.XLOOKUP(G417,SM[Employee ID],SM[Region])</f>
        <v>East</v>
      </c>
      <c r="J417" t="str">
        <f>_xlfn.XLOOKUP(G417,SM[Employee ID],SM[State/City])</f>
        <v>Kolkata</v>
      </c>
      <c r="K417" s="2">
        <f>_xlfn.XLOOKUP(Sales7[[#This Row],[Order ID]],ST[Order ID],ST[Units Sold])</f>
        <v>1</v>
      </c>
      <c r="L417">
        <f t="shared" si="6"/>
        <v>880</v>
      </c>
    </row>
    <row r="418" spans="1:12" x14ac:dyDescent="0.35">
      <c r="A418" s="7">
        <v>1401</v>
      </c>
      <c r="B418" s="1">
        <v>45375</v>
      </c>
      <c r="C418" s="2" t="s">
        <v>20</v>
      </c>
      <c r="D418" t="str">
        <f>_xlfn.XLOOKUP(Merged_Sales_Data!C418,PM[Product ID],PM[Product Name])</f>
        <v>Standing Desk</v>
      </c>
      <c r="E418" t="str">
        <f>VLOOKUP(C418,PM[],3,FALSE)</f>
        <v>Office Supplies</v>
      </c>
      <c r="F418">
        <f>_xlfn.XLOOKUP(C418,PM[Product ID],PM[Unit Price (₹)])</f>
        <v>11010</v>
      </c>
      <c r="G418" t="str">
        <f>_xlfn.XLOOKUP(Sales7[[#This Row],[Order ID]],ST[Order ID],ST[Employee ID])</f>
        <v>E07</v>
      </c>
      <c r="H418" t="str">
        <f>_xlfn.XLOOKUP(G418,SM[Employee ID],SM[Salesperson])</f>
        <v>Aditya Kapoor</v>
      </c>
      <c r="I418" t="str">
        <f>_xlfn.XLOOKUP(G418,SM[Employee ID],SM[Region])</f>
        <v>West</v>
      </c>
      <c r="J418" t="str">
        <f>_xlfn.XLOOKUP(G418,SM[Employee ID],SM[State/City])</f>
        <v>Mumbai</v>
      </c>
      <c r="K418" s="2">
        <f>_xlfn.XLOOKUP(Sales7[[#This Row],[Order ID]],ST[Order ID],ST[Units Sold])</f>
        <v>2</v>
      </c>
      <c r="L418">
        <f t="shared" si="6"/>
        <v>22020</v>
      </c>
    </row>
    <row r="419" spans="1:12" x14ac:dyDescent="0.35">
      <c r="A419" s="7">
        <v>1398</v>
      </c>
      <c r="B419" s="1">
        <v>45376</v>
      </c>
      <c r="C419" s="2" t="s">
        <v>10</v>
      </c>
      <c r="D419" t="str">
        <f>_xlfn.XLOOKUP(Merged_Sales_Data!C419,PM[Product ID],PM[Product Name])</f>
        <v>Filing Cabinet</v>
      </c>
      <c r="E419" t="str">
        <f>VLOOKUP(C419,PM[],3,FALSE)</f>
        <v>Furniture</v>
      </c>
      <c r="F419">
        <f>_xlfn.XLOOKUP(C419,PM[Product ID],PM[Unit Price (₹)])</f>
        <v>4070</v>
      </c>
      <c r="G419" t="str">
        <f>_xlfn.XLOOKUP(Sales7[[#This Row],[Order ID]],ST[Order ID],ST[Employee ID])</f>
        <v>E05</v>
      </c>
      <c r="H419" t="str">
        <f>_xlfn.XLOOKUP(G419,SM[Employee ID],SM[Salesperson])</f>
        <v>Karan Malhotra</v>
      </c>
      <c r="I419" t="str">
        <f>_xlfn.XLOOKUP(G419,SM[Employee ID],SM[Region])</f>
        <v>East</v>
      </c>
      <c r="J419" t="str">
        <f>_xlfn.XLOOKUP(G419,SM[Employee ID],SM[State/City])</f>
        <v>Kolkata</v>
      </c>
      <c r="K419" s="2">
        <f>_xlfn.XLOOKUP(Sales7[[#This Row],[Order ID]],ST[Order ID],ST[Units Sold])</f>
        <v>4</v>
      </c>
      <c r="L419">
        <f t="shared" si="6"/>
        <v>16280</v>
      </c>
    </row>
    <row r="420" spans="1:12" x14ac:dyDescent="0.35">
      <c r="A420" s="7">
        <v>1411</v>
      </c>
      <c r="B420" s="1">
        <v>45376</v>
      </c>
      <c r="C420" s="2" t="s">
        <v>11</v>
      </c>
      <c r="D420" t="str">
        <f>_xlfn.XLOOKUP(Merged_Sales_Data!C420,PM[Product ID],PM[Product Name])</f>
        <v>Bluetooth Speaker</v>
      </c>
      <c r="E420" t="str">
        <f>VLOOKUP(C420,PM[],3,FALSE)</f>
        <v>Electronics</v>
      </c>
      <c r="F420">
        <f>_xlfn.XLOOKUP(C420,PM[Product ID],PM[Unit Price (₹)])</f>
        <v>1430</v>
      </c>
      <c r="G420" t="str">
        <f>_xlfn.XLOOKUP(Sales7[[#This Row],[Order ID]],ST[Order ID],ST[Employee ID])</f>
        <v>E05</v>
      </c>
      <c r="H420" t="str">
        <f>_xlfn.XLOOKUP(G420,SM[Employee ID],SM[Salesperson])</f>
        <v>Karan Malhotra</v>
      </c>
      <c r="I420" t="str">
        <f>_xlfn.XLOOKUP(G420,SM[Employee ID],SM[Region])</f>
        <v>East</v>
      </c>
      <c r="J420" t="str">
        <f>_xlfn.XLOOKUP(G420,SM[Employee ID],SM[State/City])</f>
        <v>Kolkata</v>
      </c>
      <c r="K420" s="2">
        <f>_xlfn.XLOOKUP(Sales7[[#This Row],[Order ID]],ST[Order ID],ST[Units Sold])</f>
        <v>6</v>
      </c>
      <c r="L420">
        <f t="shared" si="6"/>
        <v>8580</v>
      </c>
    </row>
    <row r="421" spans="1:12" x14ac:dyDescent="0.35">
      <c r="A421" s="7">
        <v>1419</v>
      </c>
      <c r="B421" s="1">
        <v>45376</v>
      </c>
      <c r="C421" s="2" t="s">
        <v>14</v>
      </c>
      <c r="D421" t="str">
        <f>_xlfn.XLOOKUP(Merged_Sales_Data!C421,PM[Product ID],PM[Product Name])</f>
        <v>Laptop Backpack</v>
      </c>
      <c r="E421" t="str">
        <f>VLOOKUP(C421,PM[],3,FALSE)</f>
        <v>Accessories</v>
      </c>
      <c r="F421">
        <f>_xlfn.XLOOKUP(C421,PM[Product ID],PM[Unit Price (₹)])</f>
        <v>1110</v>
      </c>
      <c r="G421" t="str">
        <f>_xlfn.XLOOKUP(Sales7[[#This Row],[Order ID]],ST[Order ID],ST[Employee ID])</f>
        <v>E08</v>
      </c>
      <c r="H421" t="str">
        <f>_xlfn.XLOOKUP(G421,SM[Employee ID],SM[Salesperson])</f>
        <v>Neha Joshi</v>
      </c>
      <c r="I421" t="str">
        <f>_xlfn.XLOOKUP(G421,SM[Employee ID],SM[Region])</f>
        <v>West</v>
      </c>
      <c r="J421" t="str">
        <f>_xlfn.XLOOKUP(G421,SM[Employee ID],SM[State/City])</f>
        <v>Ahmedabad</v>
      </c>
      <c r="K421" s="2">
        <f>_xlfn.XLOOKUP(Sales7[[#This Row],[Order ID]],ST[Order ID],ST[Units Sold])</f>
        <v>2</v>
      </c>
      <c r="L421">
        <f t="shared" si="6"/>
        <v>2220</v>
      </c>
    </row>
    <row r="422" spans="1:12" x14ac:dyDescent="0.35">
      <c r="A422" s="7">
        <v>1424</v>
      </c>
      <c r="B422" s="1">
        <v>45376</v>
      </c>
      <c r="C422" s="2" t="s">
        <v>20</v>
      </c>
      <c r="D422" t="str">
        <f>_xlfn.XLOOKUP(Merged_Sales_Data!C422,PM[Product ID],PM[Product Name])</f>
        <v>Standing Desk</v>
      </c>
      <c r="E422" t="str">
        <f>VLOOKUP(C422,PM[],3,FALSE)</f>
        <v>Office Supplies</v>
      </c>
      <c r="F422">
        <f>_xlfn.XLOOKUP(C422,PM[Product ID],PM[Unit Price (₹)])</f>
        <v>11010</v>
      </c>
      <c r="G422" t="str">
        <f>_xlfn.XLOOKUP(Sales7[[#This Row],[Order ID]],ST[Order ID],ST[Employee ID])</f>
        <v>E02</v>
      </c>
      <c r="H422" t="str">
        <f>_xlfn.XLOOKUP(G422,SM[Employee ID],SM[Salesperson])</f>
        <v>Ishita Verma</v>
      </c>
      <c r="I422" t="str">
        <f>_xlfn.XLOOKUP(G422,SM[Employee ID],SM[Region])</f>
        <v>North</v>
      </c>
      <c r="J422" t="str">
        <f>_xlfn.XLOOKUP(G422,SM[Employee ID],SM[State/City])</f>
        <v>Chandigarh</v>
      </c>
      <c r="K422" s="2">
        <f>_xlfn.XLOOKUP(Sales7[[#This Row],[Order ID]],ST[Order ID],ST[Units Sold])</f>
        <v>1</v>
      </c>
      <c r="L422">
        <f t="shared" si="6"/>
        <v>11010</v>
      </c>
    </row>
    <row r="423" spans="1:12" x14ac:dyDescent="0.35">
      <c r="A423" s="7">
        <v>1417</v>
      </c>
      <c r="B423" s="1">
        <v>45380</v>
      </c>
      <c r="C423" s="2" t="s">
        <v>20</v>
      </c>
      <c r="D423" t="str">
        <f>_xlfn.XLOOKUP(Merged_Sales_Data!C423,PM[Product ID],PM[Product Name])</f>
        <v>Standing Desk</v>
      </c>
      <c r="E423" t="str">
        <f>VLOOKUP(C423,PM[],3,FALSE)</f>
        <v>Office Supplies</v>
      </c>
      <c r="F423">
        <f>_xlfn.XLOOKUP(C423,PM[Product ID],PM[Unit Price (₹)])</f>
        <v>11010</v>
      </c>
      <c r="G423" t="str">
        <f>_xlfn.XLOOKUP(Sales7[[#This Row],[Order ID]],ST[Order ID],ST[Employee ID])</f>
        <v>E04</v>
      </c>
      <c r="H423" t="str">
        <f>_xlfn.XLOOKUP(G423,SM[Employee ID],SM[Salesperson])</f>
        <v>Priya Nair</v>
      </c>
      <c r="I423" t="str">
        <f>_xlfn.XLOOKUP(G423,SM[Employee ID],SM[Region])</f>
        <v>South</v>
      </c>
      <c r="J423" t="str">
        <f>_xlfn.XLOOKUP(G423,SM[Employee ID],SM[State/City])</f>
        <v>Bengaluru</v>
      </c>
      <c r="K423" s="2">
        <f>_xlfn.XLOOKUP(Sales7[[#This Row],[Order ID]],ST[Order ID],ST[Units Sold])</f>
        <v>5</v>
      </c>
      <c r="L423">
        <f t="shared" si="6"/>
        <v>55050</v>
      </c>
    </row>
    <row r="424" spans="1:12" x14ac:dyDescent="0.35">
      <c r="A424" s="7">
        <v>1425</v>
      </c>
      <c r="B424" s="1">
        <v>45380</v>
      </c>
      <c r="C424" s="2" t="s">
        <v>20</v>
      </c>
      <c r="D424" t="str">
        <f>_xlfn.XLOOKUP(Merged_Sales_Data!C424,PM[Product ID],PM[Product Name])</f>
        <v>Standing Desk</v>
      </c>
      <c r="E424" t="str">
        <f>VLOOKUP(C424,PM[],3,FALSE)</f>
        <v>Office Supplies</v>
      </c>
      <c r="F424">
        <f>_xlfn.XLOOKUP(C424,PM[Product ID],PM[Unit Price (₹)])</f>
        <v>11010</v>
      </c>
      <c r="G424" t="str">
        <f>_xlfn.XLOOKUP(Sales7[[#This Row],[Order ID]],ST[Order ID],ST[Employee ID])</f>
        <v>E03</v>
      </c>
      <c r="H424" t="str">
        <f>_xlfn.XLOOKUP(G424,SM[Employee ID],SM[Salesperson])</f>
        <v>Rohan Mehta</v>
      </c>
      <c r="I424" t="str">
        <f>_xlfn.XLOOKUP(G424,SM[Employee ID],SM[Region])</f>
        <v>South</v>
      </c>
      <c r="J424" t="str">
        <f>_xlfn.XLOOKUP(G424,SM[Employee ID],SM[State/City])</f>
        <v>Bengaluru</v>
      </c>
      <c r="K424" s="2">
        <f>_xlfn.XLOOKUP(Sales7[[#This Row],[Order ID]],ST[Order ID],ST[Units Sold])</f>
        <v>5</v>
      </c>
      <c r="L424">
        <f t="shared" si="6"/>
        <v>55050</v>
      </c>
    </row>
    <row r="425" spans="1:12" x14ac:dyDescent="0.35">
      <c r="A425" s="7">
        <v>1397</v>
      </c>
      <c r="B425" s="1">
        <v>45381</v>
      </c>
      <c r="C425" s="2" t="s">
        <v>12</v>
      </c>
      <c r="D425" t="str">
        <f>_xlfn.XLOOKUP(Merged_Sales_Data!C425,PM[Product ID],PM[Product Name])</f>
        <v>Bookshelf Unit</v>
      </c>
      <c r="E425" t="str">
        <f>VLOOKUP(C425,PM[],3,FALSE)</f>
        <v>Furniture</v>
      </c>
      <c r="F425">
        <f>_xlfn.XLOOKUP(C425,PM[Product ID],PM[Unit Price (₹)])</f>
        <v>3910</v>
      </c>
      <c r="G425" t="str">
        <f>_xlfn.XLOOKUP(Sales7[[#This Row],[Order ID]],ST[Order ID],ST[Employee ID])</f>
        <v>E03</v>
      </c>
      <c r="H425" t="str">
        <f>_xlfn.XLOOKUP(G425,SM[Employee ID],SM[Salesperson])</f>
        <v>Rohan Mehta</v>
      </c>
      <c r="I425" t="str">
        <f>_xlfn.XLOOKUP(G425,SM[Employee ID],SM[Region])</f>
        <v>South</v>
      </c>
      <c r="J425" t="str">
        <f>_xlfn.XLOOKUP(G425,SM[Employee ID],SM[State/City])</f>
        <v>Bengaluru</v>
      </c>
      <c r="K425" s="2">
        <f>_xlfn.XLOOKUP(Sales7[[#This Row],[Order ID]],ST[Order ID],ST[Units Sold])</f>
        <v>3</v>
      </c>
      <c r="L425">
        <f t="shared" si="6"/>
        <v>11730</v>
      </c>
    </row>
    <row r="426" spans="1:12" x14ac:dyDescent="0.35">
      <c r="A426" s="7">
        <v>1427</v>
      </c>
      <c r="B426" s="1">
        <v>45381</v>
      </c>
      <c r="C426" s="2" t="s">
        <v>14</v>
      </c>
      <c r="D426" t="str">
        <f>_xlfn.XLOOKUP(Merged_Sales_Data!C426,PM[Product ID],PM[Product Name])</f>
        <v>Laptop Backpack</v>
      </c>
      <c r="E426" t="str">
        <f>VLOOKUP(C426,PM[],3,FALSE)</f>
        <v>Accessories</v>
      </c>
      <c r="F426">
        <f>_xlfn.XLOOKUP(C426,PM[Product ID],PM[Unit Price (₹)])</f>
        <v>1110</v>
      </c>
      <c r="G426" t="str">
        <f>_xlfn.XLOOKUP(Sales7[[#This Row],[Order ID]],ST[Order ID],ST[Employee ID])</f>
        <v>E04</v>
      </c>
      <c r="H426" t="str">
        <f>_xlfn.XLOOKUP(G426,SM[Employee ID],SM[Salesperson])</f>
        <v>Priya Nair</v>
      </c>
      <c r="I426" t="str">
        <f>_xlfn.XLOOKUP(G426,SM[Employee ID],SM[Region])</f>
        <v>South</v>
      </c>
      <c r="J426" t="str">
        <f>_xlfn.XLOOKUP(G426,SM[Employee ID],SM[State/City])</f>
        <v>Bengaluru</v>
      </c>
      <c r="K426" s="2">
        <f>_xlfn.XLOOKUP(Sales7[[#This Row],[Order ID]],ST[Order ID],ST[Units Sold])</f>
        <v>3</v>
      </c>
      <c r="L426">
        <f t="shared" si="6"/>
        <v>3330</v>
      </c>
    </row>
    <row r="427" spans="1:12" x14ac:dyDescent="0.35">
      <c r="A427" s="7">
        <v>1403</v>
      </c>
      <c r="B427" s="1">
        <v>45382</v>
      </c>
      <c r="C427" s="2" t="s">
        <v>12</v>
      </c>
      <c r="D427" t="str">
        <f>_xlfn.XLOOKUP(Merged_Sales_Data!C427,PM[Product ID],PM[Product Name])</f>
        <v>Bookshelf Unit</v>
      </c>
      <c r="E427" t="str">
        <f>VLOOKUP(C427,PM[],3,FALSE)</f>
        <v>Furniture</v>
      </c>
      <c r="F427">
        <f>_xlfn.XLOOKUP(C427,PM[Product ID],PM[Unit Price (₹)])</f>
        <v>3910</v>
      </c>
      <c r="G427" t="str">
        <f>_xlfn.XLOOKUP(Sales7[[#This Row],[Order ID]],ST[Order ID],ST[Employee ID])</f>
        <v>E03</v>
      </c>
      <c r="H427" t="str">
        <f>_xlfn.XLOOKUP(G427,SM[Employee ID],SM[Salesperson])</f>
        <v>Rohan Mehta</v>
      </c>
      <c r="I427" t="str">
        <f>_xlfn.XLOOKUP(G427,SM[Employee ID],SM[Region])</f>
        <v>South</v>
      </c>
      <c r="J427" t="str">
        <f>_xlfn.XLOOKUP(G427,SM[Employee ID],SM[State/City])</f>
        <v>Bengaluru</v>
      </c>
      <c r="K427" s="2">
        <f>_xlfn.XLOOKUP(Sales7[[#This Row],[Order ID]],ST[Order ID],ST[Units Sold])</f>
        <v>2</v>
      </c>
      <c r="L427">
        <f t="shared" si="6"/>
        <v>7820</v>
      </c>
    </row>
    <row r="428" spans="1:12" x14ac:dyDescent="0.35">
      <c r="A428" s="7">
        <v>1418</v>
      </c>
      <c r="B428" s="1">
        <v>45382</v>
      </c>
      <c r="C428" s="2" t="s">
        <v>12</v>
      </c>
      <c r="D428" t="str">
        <f>_xlfn.XLOOKUP(Merged_Sales_Data!C428,PM[Product ID],PM[Product Name])</f>
        <v>Bookshelf Unit</v>
      </c>
      <c r="E428" t="str">
        <f>VLOOKUP(C428,PM[],3,FALSE)</f>
        <v>Furniture</v>
      </c>
      <c r="F428">
        <f>_xlfn.XLOOKUP(C428,PM[Product ID],PM[Unit Price (₹)])</f>
        <v>3910</v>
      </c>
      <c r="G428" t="str">
        <f>_xlfn.XLOOKUP(Sales7[[#This Row],[Order ID]],ST[Order ID],ST[Employee ID])</f>
        <v>E04</v>
      </c>
      <c r="H428" t="str">
        <f>_xlfn.XLOOKUP(G428,SM[Employee ID],SM[Salesperson])</f>
        <v>Priya Nair</v>
      </c>
      <c r="I428" t="str">
        <f>_xlfn.XLOOKUP(G428,SM[Employee ID],SM[Region])</f>
        <v>South</v>
      </c>
      <c r="J428" t="str">
        <f>_xlfn.XLOOKUP(G428,SM[Employee ID],SM[State/City])</f>
        <v>Bengaluru</v>
      </c>
      <c r="K428" s="2">
        <f>_xlfn.XLOOKUP(Sales7[[#This Row],[Order ID]],ST[Order ID],ST[Units Sold])</f>
        <v>10</v>
      </c>
      <c r="L428">
        <f t="shared" si="6"/>
        <v>39100</v>
      </c>
    </row>
    <row r="429" spans="1:12" x14ac:dyDescent="0.35">
      <c r="A429" s="7">
        <v>1426</v>
      </c>
      <c r="B429" s="1">
        <v>45382</v>
      </c>
      <c r="C429" s="2" t="s">
        <v>10</v>
      </c>
      <c r="D429" t="str">
        <f>_xlfn.XLOOKUP(Merged_Sales_Data!C429,PM[Product ID],PM[Product Name])</f>
        <v>Filing Cabinet</v>
      </c>
      <c r="E429" t="str">
        <f>VLOOKUP(C429,PM[],3,FALSE)</f>
        <v>Furniture</v>
      </c>
      <c r="F429">
        <f>_xlfn.XLOOKUP(C429,PM[Product ID],PM[Unit Price (₹)])</f>
        <v>4070</v>
      </c>
      <c r="G429" t="str">
        <f>_xlfn.XLOOKUP(Sales7[[#This Row],[Order ID]],ST[Order ID],ST[Employee ID])</f>
        <v>E03</v>
      </c>
      <c r="H429" t="str">
        <f>_xlfn.XLOOKUP(G429,SM[Employee ID],SM[Salesperson])</f>
        <v>Rohan Mehta</v>
      </c>
      <c r="I429" t="str">
        <f>_xlfn.XLOOKUP(G429,SM[Employee ID],SM[Region])</f>
        <v>South</v>
      </c>
      <c r="J429" t="str">
        <f>_xlfn.XLOOKUP(G429,SM[Employee ID],SM[State/City])</f>
        <v>Bengaluru</v>
      </c>
      <c r="K429" s="2">
        <f>_xlfn.XLOOKUP(Sales7[[#This Row],[Order ID]],ST[Order ID],ST[Units Sold])</f>
        <v>1</v>
      </c>
      <c r="L429">
        <f t="shared" si="6"/>
        <v>4070</v>
      </c>
    </row>
    <row r="430" spans="1:12" x14ac:dyDescent="0.35">
      <c r="A430" s="7">
        <v>1444</v>
      </c>
      <c r="B430" s="1">
        <v>45384</v>
      </c>
      <c r="C430" s="2" t="s">
        <v>10</v>
      </c>
      <c r="D430" t="str">
        <f>_xlfn.XLOOKUP(Merged_Sales_Data!C430,PM[Product ID],PM[Product Name])</f>
        <v>Filing Cabinet</v>
      </c>
      <c r="E430" t="str">
        <f>VLOOKUP(C430,PM[],3,FALSE)</f>
        <v>Furniture</v>
      </c>
      <c r="F430">
        <f>_xlfn.XLOOKUP(C430,PM[Product ID],PM[Unit Price (₹)])</f>
        <v>4070</v>
      </c>
      <c r="G430" t="str">
        <f>_xlfn.XLOOKUP(Sales7[[#This Row],[Order ID]],ST[Order ID],ST[Employee ID])</f>
        <v>E01</v>
      </c>
      <c r="H430" t="str">
        <f>_xlfn.XLOOKUP(G430,SM[Employee ID],SM[Salesperson])</f>
        <v>Aarav Sharma</v>
      </c>
      <c r="I430" t="str">
        <f>_xlfn.XLOOKUP(G430,SM[Employee ID],SM[Region])</f>
        <v>North</v>
      </c>
      <c r="J430" t="str">
        <f>_xlfn.XLOOKUP(G430,SM[Employee ID],SM[State/City])</f>
        <v>Lucknow</v>
      </c>
      <c r="K430" s="2">
        <f>_xlfn.XLOOKUP(Sales7[[#This Row],[Order ID]],ST[Order ID],ST[Units Sold])</f>
        <v>5</v>
      </c>
      <c r="L430">
        <f t="shared" si="6"/>
        <v>20350</v>
      </c>
    </row>
    <row r="431" spans="1:12" x14ac:dyDescent="0.35">
      <c r="A431" s="7">
        <v>1429</v>
      </c>
      <c r="B431" s="1">
        <v>45385</v>
      </c>
      <c r="C431" s="2" t="s">
        <v>5</v>
      </c>
      <c r="D431" t="str">
        <f>_xlfn.XLOOKUP(Merged_Sales_Data!C431,PM[Product ID],PM[Product Name])</f>
        <v>Ergo Office Chair</v>
      </c>
      <c r="E431" t="str">
        <f>VLOOKUP(C431,PM[],3,FALSE)</f>
        <v>Office Supplies</v>
      </c>
      <c r="F431">
        <f>_xlfn.XLOOKUP(C431,PM[Product ID],PM[Unit Price (₹)])</f>
        <v>6750</v>
      </c>
      <c r="G431" t="str">
        <f>_xlfn.XLOOKUP(Sales7[[#This Row],[Order ID]],ST[Order ID],ST[Employee ID])</f>
        <v>E06</v>
      </c>
      <c r="H431" t="str">
        <f>_xlfn.XLOOKUP(G431,SM[Employee ID],SM[Salesperson])</f>
        <v>Sneha Roy</v>
      </c>
      <c r="I431" t="str">
        <f>_xlfn.XLOOKUP(G431,SM[Employee ID],SM[Region])</f>
        <v>East</v>
      </c>
      <c r="J431" t="str">
        <f>_xlfn.XLOOKUP(G431,SM[Employee ID],SM[State/City])</f>
        <v>Kolkata</v>
      </c>
      <c r="K431" s="2">
        <f>_xlfn.XLOOKUP(Sales7[[#This Row],[Order ID]],ST[Order ID],ST[Units Sold])</f>
        <v>4</v>
      </c>
      <c r="L431">
        <f t="shared" si="6"/>
        <v>27000</v>
      </c>
    </row>
    <row r="432" spans="1:12" x14ac:dyDescent="0.35">
      <c r="A432" s="7">
        <v>1443</v>
      </c>
      <c r="B432" s="1">
        <v>45385</v>
      </c>
      <c r="C432" s="2" t="s">
        <v>8</v>
      </c>
      <c r="D432" t="str">
        <f>_xlfn.XLOOKUP(Merged_Sales_Data!C432,PM[Product ID],PM[Product Name])</f>
        <v>USB-C Hub</v>
      </c>
      <c r="E432" t="str">
        <f>VLOOKUP(C432,PM[],3,FALSE)</f>
        <v>Accessories</v>
      </c>
      <c r="F432">
        <f>_xlfn.XLOOKUP(C432,PM[Product ID],PM[Unit Price (₹)])</f>
        <v>880</v>
      </c>
      <c r="G432" t="str">
        <f>_xlfn.XLOOKUP(Sales7[[#This Row],[Order ID]],ST[Order ID],ST[Employee ID])</f>
        <v>E02</v>
      </c>
      <c r="H432" t="str">
        <f>_xlfn.XLOOKUP(G432,SM[Employee ID],SM[Salesperson])</f>
        <v>Ishita Verma</v>
      </c>
      <c r="I432" t="str">
        <f>_xlfn.XLOOKUP(G432,SM[Employee ID],SM[Region])</f>
        <v>North</v>
      </c>
      <c r="J432" t="str">
        <f>_xlfn.XLOOKUP(G432,SM[Employee ID],SM[State/City])</f>
        <v>Chandigarh</v>
      </c>
      <c r="K432" s="2">
        <f>_xlfn.XLOOKUP(Sales7[[#This Row],[Order ID]],ST[Order ID],ST[Units Sold])</f>
        <v>3</v>
      </c>
      <c r="L432">
        <f t="shared" si="6"/>
        <v>2640</v>
      </c>
    </row>
    <row r="433" spans="1:12" x14ac:dyDescent="0.35">
      <c r="A433" s="7">
        <v>1450</v>
      </c>
      <c r="B433" s="1">
        <v>45385</v>
      </c>
      <c r="C433" s="2" t="s">
        <v>18</v>
      </c>
      <c r="D433" t="str">
        <f>_xlfn.XLOOKUP(Merged_Sales_Data!C433,PM[Product ID],PM[Product Name])</f>
        <v>LED Monitor 24"</v>
      </c>
      <c r="E433" t="str">
        <f>VLOOKUP(C433,PM[],3,FALSE)</f>
        <v>Electronics</v>
      </c>
      <c r="F433">
        <f>_xlfn.XLOOKUP(C433,PM[Product ID],PM[Unit Price (₹)])</f>
        <v>7700</v>
      </c>
      <c r="G433" t="str">
        <f>_xlfn.XLOOKUP(Sales7[[#This Row],[Order ID]],ST[Order ID],ST[Employee ID])</f>
        <v>E08</v>
      </c>
      <c r="H433" t="str">
        <f>_xlfn.XLOOKUP(G433,SM[Employee ID],SM[Salesperson])</f>
        <v>Neha Joshi</v>
      </c>
      <c r="I433" t="str">
        <f>_xlfn.XLOOKUP(G433,SM[Employee ID],SM[Region])</f>
        <v>West</v>
      </c>
      <c r="J433" t="str">
        <f>_xlfn.XLOOKUP(G433,SM[Employee ID],SM[State/City])</f>
        <v>Ahmedabad</v>
      </c>
      <c r="K433" s="2">
        <f>_xlfn.XLOOKUP(Sales7[[#This Row],[Order ID]],ST[Order ID],ST[Units Sold])</f>
        <v>1</v>
      </c>
      <c r="L433">
        <f t="shared" si="6"/>
        <v>7700</v>
      </c>
    </row>
    <row r="434" spans="1:12" x14ac:dyDescent="0.35">
      <c r="A434" s="7">
        <v>1460</v>
      </c>
      <c r="B434" s="1">
        <v>45385</v>
      </c>
      <c r="C434" s="2" t="s">
        <v>11</v>
      </c>
      <c r="D434" t="str">
        <f>_xlfn.XLOOKUP(Merged_Sales_Data!C434,PM[Product ID],PM[Product Name])</f>
        <v>Bluetooth Speaker</v>
      </c>
      <c r="E434" t="str">
        <f>VLOOKUP(C434,PM[],3,FALSE)</f>
        <v>Electronics</v>
      </c>
      <c r="F434">
        <f>_xlfn.XLOOKUP(C434,PM[Product ID],PM[Unit Price (₹)])</f>
        <v>1430</v>
      </c>
      <c r="G434" t="str">
        <f>_xlfn.XLOOKUP(Sales7[[#This Row],[Order ID]],ST[Order ID],ST[Employee ID])</f>
        <v>E05</v>
      </c>
      <c r="H434" t="str">
        <f>_xlfn.XLOOKUP(G434,SM[Employee ID],SM[Salesperson])</f>
        <v>Karan Malhotra</v>
      </c>
      <c r="I434" t="str">
        <f>_xlfn.XLOOKUP(G434,SM[Employee ID],SM[Region])</f>
        <v>East</v>
      </c>
      <c r="J434" t="str">
        <f>_xlfn.XLOOKUP(G434,SM[Employee ID],SM[State/City])</f>
        <v>Kolkata</v>
      </c>
      <c r="K434" s="2">
        <f>_xlfn.XLOOKUP(Sales7[[#This Row],[Order ID]],ST[Order ID],ST[Units Sold])</f>
        <v>4</v>
      </c>
      <c r="L434">
        <f t="shared" si="6"/>
        <v>5720</v>
      </c>
    </row>
    <row r="435" spans="1:12" x14ac:dyDescent="0.35">
      <c r="A435" s="7">
        <v>1438</v>
      </c>
      <c r="B435" s="1">
        <v>45386</v>
      </c>
      <c r="C435" s="2" t="s">
        <v>14</v>
      </c>
      <c r="D435" t="str">
        <f>_xlfn.XLOOKUP(Merged_Sales_Data!C435,PM[Product ID],PM[Product Name])</f>
        <v>Laptop Backpack</v>
      </c>
      <c r="E435" t="str">
        <f>VLOOKUP(C435,PM[],3,FALSE)</f>
        <v>Accessories</v>
      </c>
      <c r="F435">
        <f>_xlfn.XLOOKUP(C435,PM[Product ID],PM[Unit Price (₹)])</f>
        <v>1110</v>
      </c>
      <c r="G435" t="str">
        <f>_xlfn.XLOOKUP(Sales7[[#This Row],[Order ID]],ST[Order ID],ST[Employee ID])</f>
        <v>E07</v>
      </c>
      <c r="H435" t="str">
        <f>_xlfn.XLOOKUP(G435,SM[Employee ID],SM[Salesperson])</f>
        <v>Aditya Kapoor</v>
      </c>
      <c r="I435" t="str">
        <f>_xlfn.XLOOKUP(G435,SM[Employee ID],SM[Region])</f>
        <v>West</v>
      </c>
      <c r="J435" t="str">
        <f>_xlfn.XLOOKUP(G435,SM[Employee ID],SM[State/City])</f>
        <v>Mumbai</v>
      </c>
      <c r="K435" s="2">
        <f>_xlfn.XLOOKUP(Sales7[[#This Row],[Order ID]],ST[Order ID],ST[Units Sold])</f>
        <v>1</v>
      </c>
      <c r="L435">
        <f t="shared" si="6"/>
        <v>1110</v>
      </c>
    </row>
    <row r="436" spans="1:12" x14ac:dyDescent="0.35">
      <c r="A436" s="7">
        <v>1456</v>
      </c>
      <c r="B436" s="1">
        <v>45386</v>
      </c>
      <c r="C436" s="2" t="s">
        <v>12</v>
      </c>
      <c r="D436" t="str">
        <f>_xlfn.XLOOKUP(Merged_Sales_Data!C436,PM[Product ID],PM[Product Name])</f>
        <v>Bookshelf Unit</v>
      </c>
      <c r="E436" t="str">
        <f>VLOOKUP(C436,PM[],3,FALSE)</f>
        <v>Furniture</v>
      </c>
      <c r="F436">
        <f>_xlfn.XLOOKUP(C436,PM[Product ID],PM[Unit Price (₹)])</f>
        <v>3910</v>
      </c>
      <c r="G436" t="str">
        <f>_xlfn.XLOOKUP(Sales7[[#This Row],[Order ID]],ST[Order ID],ST[Employee ID])</f>
        <v>E01</v>
      </c>
      <c r="H436" t="str">
        <f>_xlfn.XLOOKUP(G436,SM[Employee ID],SM[Salesperson])</f>
        <v>Aarav Sharma</v>
      </c>
      <c r="I436" t="str">
        <f>_xlfn.XLOOKUP(G436,SM[Employee ID],SM[Region])</f>
        <v>North</v>
      </c>
      <c r="J436" t="str">
        <f>_xlfn.XLOOKUP(G436,SM[Employee ID],SM[State/City])</f>
        <v>Lucknow</v>
      </c>
      <c r="K436" s="2">
        <f>_xlfn.XLOOKUP(Sales7[[#This Row],[Order ID]],ST[Order ID],ST[Units Sold])</f>
        <v>2</v>
      </c>
      <c r="L436">
        <f t="shared" si="6"/>
        <v>7820</v>
      </c>
    </row>
    <row r="437" spans="1:12" x14ac:dyDescent="0.35">
      <c r="A437" s="7">
        <v>1431</v>
      </c>
      <c r="B437" s="1">
        <v>45387</v>
      </c>
      <c r="C437" s="2" t="s">
        <v>12</v>
      </c>
      <c r="D437" t="str">
        <f>_xlfn.XLOOKUP(Merged_Sales_Data!C437,PM[Product ID],PM[Product Name])</f>
        <v>Bookshelf Unit</v>
      </c>
      <c r="E437" t="str">
        <f>VLOOKUP(C437,PM[],3,FALSE)</f>
        <v>Furniture</v>
      </c>
      <c r="F437">
        <f>_xlfn.XLOOKUP(C437,PM[Product ID],PM[Unit Price (₹)])</f>
        <v>3910</v>
      </c>
      <c r="G437" t="str">
        <f>_xlfn.XLOOKUP(Sales7[[#This Row],[Order ID]],ST[Order ID],ST[Employee ID])</f>
        <v>E02</v>
      </c>
      <c r="H437" t="str">
        <f>_xlfn.XLOOKUP(G437,SM[Employee ID],SM[Salesperson])</f>
        <v>Ishita Verma</v>
      </c>
      <c r="I437" t="str">
        <f>_xlfn.XLOOKUP(G437,SM[Employee ID],SM[Region])</f>
        <v>North</v>
      </c>
      <c r="J437" t="str">
        <f>_xlfn.XLOOKUP(G437,SM[Employee ID],SM[State/City])</f>
        <v>Chandigarh</v>
      </c>
      <c r="K437" s="2">
        <f>_xlfn.XLOOKUP(Sales7[[#This Row],[Order ID]],ST[Order ID],ST[Units Sold])</f>
        <v>1</v>
      </c>
      <c r="L437">
        <f t="shared" si="6"/>
        <v>3910</v>
      </c>
    </row>
    <row r="438" spans="1:12" x14ac:dyDescent="0.35">
      <c r="A438" s="7">
        <v>1458</v>
      </c>
      <c r="B438" s="1">
        <v>45388</v>
      </c>
      <c r="C438" s="2" t="s">
        <v>10</v>
      </c>
      <c r="D438" t="str">
        <f>_xlfn.XLOOKUP(Merged_Sales_Data!C438,PM[Product ID],PM[Product Name])</f>
        <v>Filing Cabinet</v>
      </c>
      <c r="E438" t="str">
        <f>VLOOKUP(C438,PM[],3,FALSE)</f>
        <v>Furniture</v>
      </c>
      <c r="F438">
        <f>_xlfn.XLOOKUP(C438,PM[Product ID],PM[Unit Price (₹)])</f>
        <v>4070</v>
      </c>
      <c r="G438" t="str">
        <f>_xlfn.XLOOKUP(Sales7[[#This Row],[Order ID]],ST[Order ID],ST[Employee ID])</f>
        <v>E08</v>
      </c>
      <c r="H438" t="str">
        <f>_xlfn.XLOOKUP(G438,SM[Employee ID],SM[Salesperson])</f>
        <v>Neha Joshi</v>
      </c>
      <c r="I438" t="str">
        <f>_xlfn.XLOOKUP(G438,SM[Employee ID],SM[Region])</f>
        <v>West</v>
      </c>
      <c r="J438" t="str">
        <f>_xlfn.XLOOKUP(G438,SM[Employee ID],SM[State/City])</f>
        <v>Ahmedabad</v>
      </c>
      <c r="K438" s="2">
        <f>_xlfn.XLOOKUP(Sales7[[#This Row],[Order ID]],ST[Order ID],ST[Units Sold])</f>
        <v>3</v>
      </c>
      <c r="L438">
        <f t="shared" si="6"/>
        <v>12210</v>
      </c>
    </row>
    <row r="439" spans="1:12" x14ac:dyDescent="0.35">
      <c r="A439" s="7">
        <v>1451</v>
      </c>
      <c r="B439" s="1">
        <v>45389</v>
      </c>
      <c r="C439" s="2" t="s">
        <v>21</v>
      </c>
      <c r="D439" t="str">
        <f>_xlfn.XLOOKUP(Merged_Sales_Data!C439,PM[Product ID],PM[Product Name])</f>
        <v>Wireless Mouse</v>
      </c>
      <c r="E439" t="str">
        <f>VLOOKUP(C439,PM[],3,FALSE)</f>
        <v>Electronics</v>
      </c>
      <c r="F439">
        <f>_xlfn.XLOOKUP(C439,PM[Product ID],PM[Unit Price (₹)])</f>
        <v>780</v>
      </c>
      <c r="G439" t="str">
        <f>_xlfn.XLOOKUP(Sales7[[#This Row],[Order ID]],ST[Order ID],ST[Employee ID])</f>
        <v>E08</v>
      </c>
      <c r="H439" t="str">
        <f>_xlfn.XLOOKUP(G439,SM[Employee ID],SM[Salesperson])</f>
        <v>Neha Joshi</v>
      </c>
      <c r="I439" t="str">
        <f>_xlfn.XLOOKUP(G439,SM[Employee ID],SM[Region])</f>
        <v>West</v>
      </c>
      <c r="J439" t="str">
        <f>_xlfn.XLOOKUP(G439,SM[Employee ID],SM[State/City])</f>
        <v>Ahmedabad</v>
      </c>
      <c r="K439" s="2">
        <f>_xlfn.XLOOKUP(Sales7[[#This Row],[Order ID]],ST[Order ID],ST[Units Sold])</f>
        <v>2</v>
      </c>
      <c r="L439">
        <f t="shared" si="6"/>
        <v>1560</v>
      </c>
    </row>
    <row r="440" spans="1:12" x14ac:dyDescent="0.35">
      <c r="A440" s="7">
        <v>1436</v>
      </c>
      <c r="B440" s="1">
        <v>45390</v>
      </c>
      <c r="C440" s="2" t="s">
        <v>11</v>
      </c>
      <c r="D440" t="str">
        <f>_xlfn.XLOOKUP(Merged_Sales_Data!C440,PM[Product ID],PM[Product Name])</f>
        <v>Bluetooth Speaker</v>
      </c>
      <c r="E440" t="str">
        <f>VLOOKUP(C440,PM[],3,FALSE)</f>
        <v>Electronics</v>
      </c>
      <c r="F440">
        <f>_xlfn.XLOOKUP(C440,PM[Product ID],PM[Unit Price (₹)])</f>
        <v>1430</v>
      </c>
      <c r="G440" t="str">
        <f>_xlfn.XLOOKUP(Sales7[[#This Row],[Order ID]],ST[Order ID],ST[Employee ID])</f>
        <v>E07</v>
      </c>
      <c r="H440" t="str">
        <f>_xlfn.XLOOKUP(G440,SM[Employee ID],SM[Salesperson])</f>
        <v>Aditya Kapoor</v>
      </c>
      <c r="I440" t="str">
        <f>_xlfn.XLOOKUP(G440,SM[Employee ID],SM[Region])</f>
        <v>West</v>
      </c>
      <c r="J440" t="str">
        <f>_xlfn.XLOOKUP(G440,SM[Employee ID],SM[State/City])</f>
        <v>Mumbai</v>
      </c>
      <c r="K440" s="2">
        <f>_xlfn.XLOOKUP(Sales7[[#This Row],[Order ID]],ST[Order ID],ST[Units Sold])</f>
        <v>2</v>
      </c>
      <c r="L440">
        <f t="shared" si="6"/>
        <v>2860</v>
      </c>
    </row>
    <row r="441" spans="1:12" x14ac:dyDescent="0.35">
      <c r="A441" s="7">
        <v>1437</v>
      </c>
      <c r="B441" s="1">
        <v>45390</v>
      </c>
      <c r="C441" s="2" t="s">
        <v>11</v>
      </c>
      <c r="D441" t="str">
        <f>_xlfn.XLOOKUP(Merged_Sales_Data!C441,PM[Product ID],PM[Product Name])</f>
        <v>Bluetooth Speaker</v>
      </c>
      <c r="E441" t="str">
        <f>VLOOKUP(C441,PM[],3,FALSE)</f>
        <v>Electronics</v>
      </c>
      <c r="F441">
        <f>_xlfn.XLOOKUP(C441,PM[Product ID],PM[Unit Price (₹)])</f>
        <v>1430</v>
      </c>
      <c r="G441" t="str">
        <f>_xlfn.XLOOKUP(Sales7[[#This Row],[Order ID]],ST[Order ID],ST[Employee ID])</f>
        <v>E05</v>
      </c>
      <c r="H441" t="str">
        <f>_xlfn.XLOOKUP(G441,SM[Employee ID],SM[Salesperson])</f>
        <v>Karan Malhotra</v>
      </c>
      <c r="I441" t="str">
        <f>_xlfn.XLOOKUP(G441,SM[Employee ID],SM[Region])</f>
        <v>East</v>
      </c>
      <c r="J441" t="str">
        <f>_xlfn.XLOOKUP(G441,SM[Employee ID],SM[State/City])</f>
        <v>Kolkata</v>
      </c>
      <c r="K441" s="2">
        <f>_xlfn.XLOOKUP(Sales7[[#This Row],[Order ID]],ST[Order ID],ST[Units Sold])</f>
        <v>1</v>
      </c>
      <c r="L441">
        <f t="shared" si="6"/>
        <v>1430</v>
      </c>
    </row>
    <row r="442" spans="1:12" x14ac:dyDescent="0.35">
      <c r="A442" s="7">
        <v>1434</v>
      </c>
      <c r="B442" s="1">
        <v>45391</v>
      </c>
      <c r="C442" s="2" t="s">
        <v>11</v>
      </c>
      <c r="D442" t="str">
        <f>_xlfn.XLOOKUP(Merged_Sales_Data!C442,PM[Product ID],PM[Product Name])</f>
        <v>Bluetooth Speaker</v>
      </c>
      <c r="E442" t="str">
        <f>VLOOKUP(C442,PM[],3,FALSE)</f>
        <v>Electronics</v>
      </c>
      <c r="F442">
        <f>_xlfn.XLOOKUP(C442,PM[Product ID],PM[Unit Price (₹)])</f>
        <v>1430</v>
      </c>
      <c r="G442" t="str">
        <f>_xlfn.XLOOKUP(Sales7[[#This Row],[Order ID]],ST[Order ID],ST[Employee ID])</f>
        <v>E01</v>
      </c>
      <c r="H442" t="str">
        <f>_xlfn.XLOOKUP(G442,SM[Employee ID],SM[Salesperson])</f>
        <v>Aarav Sharma</v>
      </c>
      <c r="I442" t="str">
        <f>_xlfn.XLOOKUP(G442,SM[Employee ID],SM[Region])</f>
        <v>North</v>
      </c>
      <c r="J442" t="str">
        <f>_xlfn.XLOOKUP(G442,SM[Employee ID],SM[State/City])</f>
        <v>Lucknow</v>
      </c>
      <c r="K442" s="2">
        <f>_xlfn.XLOOKUP(Sales7[[#This Row],[Order ID]],ST[Order ID],ST[Units Sold])</f>
        <v>1</v>
      </c>
      <c r="L442">
        <f t="shared" si="6"/>
        <v>1430</v>
      </c>
    </row>
    <row r="443" spans="1:12" x14ac:dyDescent="0.35">
      <c r="A443" s="7">
        <v>1461</v>
      </c>
      <c r="B443" s="1">
        <v>45392</v>
      </c>
      <c r="C443" s="2" t="s">
        <v>18</v>
      </c>
      <c r="D443" t="str">
        <f>_xlfn.XLOOKUP(Merged_Sales_Data!C443,PM[Product ID],PM[Product Name])</f>
        <v>LED Monitor 24"</v>
      </c>
      <c r="E443" t="str">
        <f>VLOOKUP(C443,PM[],3,FALSE)</f>
        <v>Electronics</v>
      </c>
      <c r="F443">
        <f>_xlfn.XLOOKUP(C443,PM[Product ID],PM[Unit Price (₹)])</f>
        <v>7700</v>
      </c>
      <c r="G443" t="str">
        <f>_xlfn.XLOOKUP(Sales7[[#This Row],[Order ID]],ST[Order ID],ST[Employee ID])</f>
        <v>E07</v>
      </c>
      <c r="H443" t="str">
        <f>_xlfn.XLOOKUP(G443,SM[Employee ID],SM[Salesperson])</f>
        <v>Aditya Kapoor</v>
      </c>
      <c r="I443" t="str">
        <f>_xlfn.XLOOKUP(G443,SM[Employee ID],SM[Region])</f>
        <v>West</v>
      </c>
      <c r="J443" t="str">
        <f>_xlfn.XLOOKUP(G443,SM[Employee ID],SM[State/City])</f>
        <v>Mumbai</v>
      </c>
      <c r="K443" s="2">
        <f>_xlfn.XLOOKUP(Sales7[[#This Row],[Order ID]],ST[Order ID],ST[Units Sold])</f>
        <v>6</v>
      </c>
      <c r="L443">
        <f t="shared" si="6"/>
        <v>46200</v>
      </c>
    </row>
    <row r="444" spans="1:12" x14ac:dyDescent="0.35">
      <c r="A444" s="7">
        <v>1430</v>
      </c>
      <c r="B444" s="1">
        <v>45393</v>
      </c>
      <c r="C444" s="2" t="s">
        <v>5</v>
      </c>
      <c r="D444" t="str">
        <f>_xlfn.XLOOKUP(Merged_Sales_Data!C444,PM[Product ID],PM[Product Name])</f>
        <v>Ergo Office Chair</v>
      </c>
      <c r="E444" t="str">
        <f>VLOOKUP(C444,PM[],3,FALSE)</f>
        <v>Office Supplies</v>
      </c>
      <c r="F444">
        <f>_xlfn.XLOOKUP(C444,PM[Product ID],PM[Unit Price (₹)])</f>
        <v>6750</v>
      </c>
      <c r="G444" t="str">
        <f>_xlfn.XLOOKUP(Sales7[[#This Row],[Order ID]],ST[Order ID],ST[Employee ID])</f>
        <v>E06</v>
      </c>
      <c r="H444" t="str">
        <f>_xlfn.XLOOKUP(G444,SM[Employee ID],SM[Salesperson])</f>
        <v>Sneha Roy</v>
      </c>
      <c r="I444" t="str">
        <f>_xlfn.XLOOKUP(G444,SM[Employee ID],SM[Region])</f>
        <v>East</v>
      </c>
      <c r="J444" t="str">
        <f>_xlfn.XLOOKUP(G444,SM[Employee ID],SM[State/City])</f>
        <v>Kolkata</v>
      </c>
      <c r="K444" s="2">
        <f>_xlfn.XLOOKUP(Sales7[[#This Row],[Order ID]],ST[Order ID],ST[Units Sold])</f>
        <v>1</v>
      </c>
      <c r="L444">
        <f t="shared" si="6"/>
        <v>6750</v>
      </c>
    </row>
    <row r="445" spans="1:12" x14ac:dyDescent="0.35">
      <c r="A445" s="7">
        <v>1452</v>
      </c>
      <c r="B445" s="1">
        <v>45393</v>
      </c>
      <c r="C445" s="2" t="s">
        <v>5</v>
      </c>
      <c r="D445" t="str">
        <f>_xlfn.XLOOKUP(Merged_Sales_Data!C445,PM[Product ID],PM[Product Name])</f>
        <v>Ergo Office Chair</v>
      </c>
      <c r="E445" t="str">
        <f>VLOOKUP(C445,PM[],3,FALSE)</f>
        <v>Office Supplies</v>
      </c>
      <c r="F445">
        <f>_xlfn.XLOOKUP(C445,PM[Product ID],PM[Unit Price (₹)])</f>
        <v>6750</v>
      </c>
      <c r="G445" t="str">
        <f>_xlfn.XLOOKUP(Sales7[[#This Row],[Order ID]],ST[Order ID],ST[Employee ID])</f>
        <v>E01</v>
      </c>
      <c r="H445" t="str">
        <f>_xlfn.XLOOKUP(G445,SM[Employee ID],SM[Salesperson])</f>
        <v>Aarav Sharma</v>
      </c>
      <c r="I445" t="str">
        <f>_xlfn.XLOOKUP(G445,SM[Employee ID],SM[Region])</f>
        <v>North</v>
      </c>
      <c r="J445" t="str">
        <f>_xlfn.XLOOKUP(G445,SM[Employee ID],SM[State/City])</f>
        <v>Lucknow</v>
      </c>
      <c r="K445" s="2">
        <f>_xlfn.XLOOKUP(Sales7[[#This Row],[Order ID]],ST[Order ID],ST[Units Sold])</f>
        <v>1</v>
      </c>
      <c r="L445">
        <f t="shared" si="6"/>
        <v>6750</v>
      </c>
    </row>
    <row r="446" spans="1:12" x14ac:dyDescent="0.35">
      <c r="A446" s="7">
        <v>1462</v>
      </c>
      <c r="B446" s="1">
        <v>45393</v>
      </c>
      <c r="C446" s="2" t="s">
        <v>11</v>
      </c>
      <c r="D446" t="str">
        <f>_xlfn.XLOOKUP(Merged_Sales_Data!C446,PM[Product ID],PM[Product Name])</f>
        <v>Bluetooth Speaker</v>
      </c>
      <c r="E446" t="str">
        <f>VLOOKUP(C446,PM[],3,FALSE)</f>
        <v>Electronics</v>
      </c>
      <c r="F446">
        <f>_xlfn.XLOOKUP(C446,PM[Product ID],PM[Unit Price (₹)])</f>
        <v>1430</v>
      </c>
      <c r="G446" t="str">
        <f>_xlfn.XLOOKUP(Sales7[[#This Row],[Order ID]],ST[Order ID],ST[Employee ID])</f>
        <v>E06</v>
      </c>
      <c r="H446" t="str">
        <f>_xlfn.XLOOKUP(G446,SM[Employee ID],SM[Salesperson])</f>
        <v>Sneha Roy</v>
      </c>
      <c r="I446" t="str">
        <f>_xlfn.XLOOKUP(G446,SM[Employee ID],SM[Region])</f>
        <v>East</v>
      </c>
      <c r="J446" t="str">
        <f>_xlfn.XLOOKUP(G446,SM[Employee ID],SM[State/City])</f>
        <v>Kolkata</v>
      </c>
      <c r="K446" s="2">
        <f>_xlfn.XLOOKUP(Sales7[[#This Row],[Order ID]],ST[Order ID],ST[Units Sold])</f>
        <v>1</v>
      </c>
      <c r="L446">
        <f t="shared" si="6"/>
        <v>1430</v>
      </c>
    </row>
    <row r="447" spans="1:12" x14ac:dyDescent="0.35">
      <c r="A447" s="7">
        <v>1446</v>
      </c>
      <c r="B447" s="1">
        <v>45394</v>
      </c>
      <c r="C447" s="2" t="s">
        <v>12</v>
      </c>
      <c r="D447" t="str">
        <f>_xlfn.XLOOKUP(Merged_Sales_Data!C447,PM[Product ID],PM[Product Name])</f>
        <v>Bookshelf Unit</v>
      </c>
      <c r="E447" t="str">
        <f>VLOOKUP(C447,PM[],3,FALSE)</f>
        <v>Furniture</v>
      </c>
      <c r="F447">
        <f>_xlfn.XLOOKUP(C447,PM[Product ID],PM[Unit Price (₹)])</f>
        <v>3910</v>
      </c>
      <c r="G447" t="str">
        <f>_xlfn.XLOOKUP(Sales7[[#This Row],[Order ID]],ST[Order ID],ST[Employee ID])</f>
        <v>E01</v>
      </c>
      <c r="H447" t="str">
        <f>_xlfn.XLOOKUP(G447,SM[Employee ID],SM[Salesperson])</f>
        <v>Aarav Sharma</v>
      </c>
      <c r="I447" t="str">
        <f>_xlfn.XLOOKUP(G447,SM[Employee ID],SM[Region])</f>
        <v>North</v>
      </c>
      <c r="J447" t="str">
        <f>_xlfn.XLOOKUP(G447,SM[Employee ID],SM[State/City])</f>
        <v>Lucknow</v>
      </c>
      <c r="K447" s="2">
        <f>_xlfn.XLOOKUP(Sales7[[#This Row],[Order ID]],ST[Order ID],ST[Units Sold])</f>
        <v>1</v>
      </c>
      <c r="L447">
        <f t="shared" si="6"/>
        <v>3910</v>
      </c>
    </row>
    <row r="448" spans="1:12" x14ac:dyDescent="0.35">
      <c r="A448" s="7">
        <v>1448</v>
      </c>
      <c r="B448" s="1">
        <v>45394</v>
      </c>
      <c r="C448" s="2" t="s">
        <v>18</v>
      </c>
      <c r="D448" t="str">
        <f>_xlfn.XLOOKUP(Merged_Sales_Data!C448,PM[Product ID],PM[Product Name])</f>
        <v>LED Monitor 24"</v>
      </c>
      <c r="E448" t="str">
        <f>VLOOKUP(C448,PM[],3,FALSE)</f>
        <v>Electronics</v>
      </c>
      <c r="F448">
        <f>_xlfn.XLOOKUP(C448,PM[Product ID],PM[Unit Price (₹)])</f>
        <v>7700</v>
      </c>
      <c r="G448" t="str">
        <f>_xlfn.XLOOKUP(Sales7[[#This Row],[Order ID]],ST[Order ID],ST[Employee ID])</f>
        <v>E06</v>
      </c>
      <c r="H448" t="str">
        <f>_xlfn.XLOOKUP(G448,SM[Employee ID],SM[Salesperson])</f>
        <v>Sneha Roy</v>
      </c>
      <c r="I448" t="str">
        <f>_xlfn.XLOOKUP(G448,SM[Employee ID],SM[Region])</f>
        <v>East</v>
      </c>
      <c r="J448" t="str">
        <f>_xlfn.XLOOKUP(G448,SM[Employee ID],SM[State/City])</f>
        <v>Kolkata</v>
      </c>
      <c r="K448" s="2">
        <f>_xlfn.XLOOKUP(Sales7[[#This Row],[Order ID]],ST[Order ID],ST[Units Sold])</f>
        <v>1</v>
      </c>
      <c r="L448">
        <f t="shared" si="6"/>
        <v>7700</v>
      </c>
    </row>
    <row r="449" spans="1:12" x14ac:dyDescent="0.35">
      <c r="A449" s="7">
        <v>1440</v>
      </c>
      <c r="B449" s="1">
        <v>45396</v>
      </c>
      <c r="C449" s="2" t="s">
        <v>18</v>
      </c>
      <c r="D449" t="str">
        <f>_xlfn.XLOOKUP(Merged_Sales_Data!C449,PM[Product ID],PM[Product Name])</f>
        <v>LED Monitor 24"</v>
      </c>
      <c r="E449" t="str">
        <f>VLOOKUP(C449,PM[],3,FALSE)</f>
        <v>Electronics</v>
      </c>
      <c r="F449">
        <f>_xlfn.XLOOKUP(C449,PM[Product ID],PM[Unit Price (₹)])</f>
        <v>7700</v>
      </c>
      <c r="G449" t="str">
        <f>_xlfn.XLOOKUP(Sales7[[#This Row],[Order ID]],ST[Order ID],ST[Employee ID])</f>
        <v>E04</v>
      </c>
      <c r="H449" t="str">
        <f>_xlfn.XLOOKUP(G449,SM[Employee ID],SM[Salesperson])</f>
        <v>Priya Nair</v>
      </c>
      <c r="I449" t="str">
        <f>_xlfn.XLOOKUP(G449,SM[Employee ID],SM[Region])</f>
        <v>South</v>
      </c>
      <c r="J449" t="str">
        <f>_xlfn.XLOOKUP(G449,SM[Employee ID],SM[State/City])</f>
        <v>Bengaluru</v>
      </c>
      <c r="K449" s="2">
        <f>_xlfn.XLOOKUP(Sales7[[#This Row],[Order ID]],ST[Order ID],ST[Units Sold])</f>
        <v>2</v>
      </c>
      <c r="L449">
        <f t="shared" si="6"/>
        <v>15400</v>
      </c>
    </row>
    <row r="450" spans="1:12" x14ac:dyDescent="0.35">
      <c r="A450" s="7">
        <v>1449</v>
      </c>
      <c r="B450" s="1">
        <v>45397</v>
      </c>
      <c r="C450" s="2" t="s">
        <v>18</v>
      </c>
      <c r="D450" t="str">
        <f>_xlfn.XLOOKUP(Merged_Sales_Data!C450,PM[Product ID],PM[Product Name])</f>
        <v>LED Monitor 24"</v>
      </c>
      <c r="E450" t="str">
        <f>VLOOKUP(C450,PM[],3,FALSE)</f>
        <v>Electronics</v>
      </c>
      <c r="F450">
        <f>_xlfn.XLOOKUP(C450,PM[Product ID],PM[Unit Price (₹)])</f>
        <v>7700</v>
      </c>
      <c r="G450" t="str">
        <f>_xlfn.XLOOKUP(Sales7[[#This Row],[Order ID]],ST[Order ID],ST[Employee ID])</f>
        <v>E06</v>
      </c>
      <c r="H450" t="str">
        <f>_xlfn.XLOOKUP(G450,SM[Employee ID],SM[Salesperson])</f>
        <v>Sneha Roy</v>
      </c>
      <c r="I450" t="str">
        <f>_xlfn.XLOOKUP(G450,SM[Employee ID],SM[Region])</f>
        <v>East</v>
      </c>
      <c r="J450" t="str">
        <f>_xlfn.XLOOKUP(G450,SM[Employee ID],SM[State/City])</f>
        <v>Kolkata</v>
      </c>
      <c r="K450" s="2">
        <f>_xlfn.XLOOKUP(Sales7[[#This Row],[Order ID]],ST[Order ID],ST[Units Sold])</f>
        <v>10</v>
      </c>
      <c r="L450">
        <f t="shared" si="6"/>
        <v>77000</v>
      </c>
    </row>
    <row r="451" spans="1:12" x14ac:dyDescent="0.35">
      <c r="A451" s="7">
        <v>1441</v>
      </c>
      <c r="B451" s="1">
        <v>45401</v>
      </c>
      <c r="C451" s="2" t="s">
        <v>12</v>
      </c>
      <c r="D451" t="str">
        <f>_xlfn.XLOOKUP(Merged_Sales_Data!C451,PM[Product ID],PM[Product Name])</f>
        <v>Bookshelf Unit</v>
      </c>
      <c r="E451" t="str">
        <f>VLOOKUP(C451,PM[],3,FALSE)</f>
        <v>Furniture</v>
      </c>
      <c r="F451">
        <f>_xlfn.XLOOKUP(C451,PM[Product ID],PM[Unit Price (₹)])</f>
        <v>3910</v>
      </c>
      <c r="G451" t="str">
        <f>_xlfn.XLOOKUP(Sales7[[#This Row],[Order ID]],ST[Order ID],ST[Employee ID])</f>
        <v>E01</v>
      </c>
      <c r="H451" t="str">
        <f>_xlfn.XLOOKUP(G451,SM[Employee ID],SM[Salesperson])</f>
        <v>Aarav Sharma</v>
      </c>
      <c r="I451" t="str">
        <f>_xlfn.XLOOKUP(G451,SM[Employee ID],SM[Region])</f>
        <v>North</v>
      </c>
      <c r="J451" t="str">
        <f>_xlfn.XLOOKUP(G451,SM[Employee ID],SM[State/City])</f>
        <v>Lucknow</v>
      </c>
      <c r="K451" s="2">
        <f>_xlfn.XLOOKUP(Sales7[[#This Row],[Order ID]],ST[Order ID],ST[Units Sold])</f>
        <v>2</v>
      </c>
      <c r="L451">
        <f t="shared" ref="L451:L514" si="7">F451*K451</f>
        <v>7820</v>
      </c>
    </row>
    <row r="452" spans="1:12" x14ac:dyDescent="0.35">
      <c r="A452" s="7">
        <v>1433</v>
      </c>
      <c r="B452" s="1">
        <v>45402</v>
      </c>
      <c r="C452" s="2" t="s">
        <v>14</v>
      </c>
      <c r="D452" t="str">
        <f>_xlfn.XLOOKUP(Merged_Sales_Data!C452,PM[Product ID],PM[Product Name])</f>
        <v>Laptop Backpack</v>
      </c>
      <c r="E452" t="str">
        <f>VLOOKUP(C452,PM[],3,FALSE)</f>
        <v>Accessories</v>
      </c>
      <c r="F452">
        <f>_xlfn.XLOOKUP(C452,PM[Product ID],PM[Unit Price (₹)])</f>
        <v>1110</v>
      </c>
      <c r="G452" t="str">
        <f>_xlfn.XLOOKUP(Sales7[[#This Row],[Order ID]],ST[Order ID],ST[Employee ID])</f>
        <v>E03</v>
      </c>
      <c r="H452" t="str">
        <f>_xlfn.XLOOKUP(G452,SM[Employee ID],SM[Salesperson])</f>
        <v>Rohan Mehta</v>
      </c>
      <c r="I452" t="str">
        <f>_xlfn.XLOOKUP(G452,SM[Employee ID],SM[Region])</f>
        <v>South</v>
      </c>
      <c r="J452" t="str">
        <f>_xlfn.XLOOKUP(G452,SM[Employee ID],SM[State/City])</f>
        <v>Bengaluru</v>
      </c>
      <c r="K452" s="2">
        <f>_xlfn.XLOOKUP(Sales7[[#This Row],[Order ID]],ST[Order ID],ST[Units Sold])</f>
        <v>5</v>
      </c>
      <c r="L452">
        <f t="shared" si="7"/>
        <v>5550</v>
      </c>
    </row>
    <row r="453" spans="1:12" x14ac:dyDescent="0.35">
      <c r="A453" s="7">
        <v>1463</v>
      </c>
      <c r="B453" s="1">
        <v>45402</v>
      </c>
      <c r="C453" s="2" t="s">
        <v>20</v>
      </c>
      <c r="D453" t="str">
        <f>_xlfn.XLOOKUP(Merged_Sales_Data!C453,PM[Product ID],PM[Product Name])</f>
        <v>Standing Desk</v>
      </c>
      <c r="E453" t="str">
        <f>VLOOKUP(C453,PM[],3,FALSE)</f>
        <v>Office Supplies</v>
      </c>
      <c r="F453">
        <f>_xlfn.XLOOKUP(C453,PM[Product ID],PM[Unit Price (₹)])</f>
        <v>11010</v>
      </c>
      <c r="G453" t="str">
        <f>_xlfn.XLOOKUP(Sales7[[#This Row],[Order ID]],ST[Order ID],ST[Employee ID])</f>
        <v>E05</v>
      </c>
      <c r="H453" t="str">
        <f>_xlfn.XLOOKUP(G453,SM[Employee ID],SM[Salesperson])</f>
        <v>Karan Malhotra</v>
      </c>
      <c r="I453" t="str">
        <f>_xlfn.XLOOKUP(G453,SM[Employee ID],SM[Region])</f>
        <v>East</v>
      </c>
      <c r="J453" t="str">
        <f>_xlfn.XLOOKUP(G453,SM[Employee ID],SM[State/City])</f>
        <v>Kolkata</v>
      </c>
      <c r="K453" s="2">
        <f>_xlfn.XLOOKUP(Sales7[[#This Row],[Order ID]],ST[Order ID],ST[Units Sold])</f>
        <v>5</v>
      </c>
      <c r="L453">
        <f t="shared" si="7"/>
        <v>55050</v>
      </c>
    </row>
    <row r="454" spans="1:12" x14ac:dyDescent="0.35">
      <c r="A454" s="7">
        <v>1439</v>
      </c>
      <c r="B454" s="1">
        <v>45403</v>
      </c>
      <c r="C454" s="2" t="s">
        <v>8</v>
      </c>
      <c r="D454" t="str">
        <f>_xlfn.XLOOKUP(Merged_Sales_Data!C454,PM[Product ID],PM[Product Name])</f>
        <v>USB-C Hub</v>
      </c>
      <c r="E454" t="str">
        <f>VLOOKUP(C454,PM[],3,FALSE)</f>
        <v>Accessories</v>
      </c>
      <c r="F454">
        <f>_xlfn.XLOOKUP(C454,PM[Product ID],PM[Unit Price (₹)])</f>
        <v>880</v>
      </c>
      <c r="G454" t="str">
        <f>_xlfn.XLOOKUP(Sales7[[#This Row],[Order ID]],ST[Order ID],ST[Employee ID])</f>
        <v>E08</v>
      </c>
      <c r="H454" t="str">
        <f>_xlfn.XLOOKUP(G454,SM[Employee ID],SM[Salesperson])</f>
        <v>Neha Joshi</v>
      </c>
      <c r="I454" t="str">
        <f>_xlfn.XLOOKUP(G454,SM[Employee ID],SM[Region])</f>
        <v>West</v>
      </c>
      <c r="J454" t="str">
        <f>_xlfn.XLOOKUP(G454,SM[Employee ID],SM[State/City])</f>
        <v>Ahmedabad</v>
      </c>
      <c r="K454" s="2">
        <f>_xlfn.XLOOKUP(Sales7[[#This Row],[Order ID]],ST[Order ID],ST[Units Sold])</f>
        <v>1</v>
      </c>
      <c r="L454">
        <f t="shared" si="7"/>
        <v>880</v>
      </c>
    </row>
    <row r="455" spans="1:12" x14ac:dyDescent="0.35">
      <c r="A455" s="7">
        <v>1442</v>
      </c>
      <c r="B455" s="1">
        <v>45404</v>
      </c>
      <c r="C455" s="2" t="s">
        <v>18</v>
      </c>
      <c r="D455" t="str">
        <f>_xlfn.XLOOKUP(Merged_Sales_Data!C455,PM[Product ID],PM[Product Name])</f>
        <v>LED Monitor 24"</v>
      </c>
      <c r="E455" t="str">
        <f>VLOOKUP(C455,PM[],3,FALSE)</f>
        <v>Electronics</v>
      </c>
      <c r="F455">
        <f>_xlfn.XLOOKUP(C455,PM[Product ID],PM[Unit Price (₹)])</f>
        <v>7700</v>
      </c>
      <c r="G455" t="str">
        <f>_xlfn.XLOOKUP(Sales7[[#This Row],[Order ID]],ST[Order ID],ST[Employee ID])</f>
        <v>E07</v>
      </c>
      <c r="H455" t="str">
        <f>_xlfn.XLOOKUP(G455,SM[Employee ID],SM[Salesperson])</f>
        <v>Aditya Kapoor</v>
      </c>
      <c r="I455" t="str">
        <f>_xlfn.XLOOKUP(G455,SM[Employee ID],SM[Region])</f>
        <v>West</v>
      </c>
      <c r="J455" t="str">
        <f>_xlfn.XLOOKUP(G455,SM[Employee ID],SM[State/City])</f>
        <v>Mumbai</v>
      </c>
      <c r="K455" s="2">
        <f>_xlfn.XLOOKUP(Sales7[[#This Row],[Order ID]],ST[Order ID],ST[Units Sold])</f>
        <v>10</v>
      </c>
      <c r="L455">
        <f t="shared" si="7"/>
        <v>77000</v>
      </c>
    </row>
    <row r="456" spans="1:12" x14ac:dyDescent="0.35">
      <c r="A456" s="7">
        <v>1432</v>
      </c>
      <c r="B456" s="1">
        <v>45405</v>
      </c>
      <c r="C456" s="2" t="s">
        <v>20</v>
      </c>
      <c r="D456" t="str">
        <f>_xlfn.XLOOKUP(Merged_Sales_Data!C456,PM[Product ID],PM[Product Name])</f>
        <v>Standing Desk</v>
      </c>
      <c r="E456" t="str">
        <f>VLOOKUP(C456,PM[],3,FALSE)</f>
        <v>Office Supplies</v>
      </c>
      <c r="F456">
        <f>_xlfn.XLOOKUP(C456,PM[Product ID],PM[Unit Price (₹)])</f>
        <v>11010</v>
      </c>
      <c r="G456" t="str">
        <f>_xlfn.XLOOKUP(Sales7[[#This Row],[Order ID]],ST[Order ID],ST[Employee ID])</f>
        <v>E01</v>
      </c>
      <c r="H456" t="str">
        <f>_xlfn.XLOOKUP(G456,SM[Employee ID],SM[Salesperson])</f>
        <v>Aarav Sharma</v>
      </c>
      <c r="I456" t="str">
        <f>_xlfn.XLOOKUP(G456,SM[Employee ID],SM[Region])</f>
        <v>North</v>
      </c>
      <c r="J456" t="str">
        <f>_xlfn.XLOOKUP(G456,SM[Employee ID],SM[State/City])</f>
        <v>Lucknow</v>
      </c>
      <c r="K456" s="2">
        <f>_xlfn.XLOOKUP(Sales7[[#This Row],[Order ID]],ST[Order ID],ST[Units Sold])</f>
        <v>5</v>
      </c>
      <c r="L456">
        <f t="shared" si="7"/>
        <v>55050</v>
      </c>
    </row>
    <row r="457" spans="1:12" x14ac:dyDescent="0.35">
      <c r="A457" s="7">
        <v>1435</v>
      </c>
      <c r="B457" s="1">
        <v>45406</v>
      </c>
      <c r="C457" s="2" t="s">
        <v>18</v>
      </c>
      <c r="D457" t="str">
        <f>_xlfn.XLOOKUP(Merged_Sales_Data!C457,PM[Product ID],PM[Product Name])</f>
        <v>LED Monitor 24"</v>
      </c>
      <c r="E457" t="str">
        <f>VLOOKUP(C457,PM[],3,FALSE)</f>
        <v>Electronics</v>
      </c>
      <c r="F457">
        <f>_xlfn.XLOOKUP(C457,PM[Product ID],PM[Unit Price (₹)])</f>
        <v>7700</v>
      </c>
      <c r="G457" t="str">
        <f>_xlfn.XLOOKUP(Sales7[[#This Row],[Order ID]],ST[Order ID],ST[Employee ID])</f>
        <v>E04</v>
      </c>
      <c r="H457" t="str">
        <f>_xlfn.XLOOKUP(G457,SM[Employee ID],SM[Salesperson])</f>
        <v>Priya Nair</v>
      </c>
      <c r="I457" t="str">
        <f>_xlfn.XLOOKUP(G457,SM[Employee ID],SM[Region])</f>
        <v>South</v>
      </c>
      <c r="J457" t="str">
        <f>_xlfn.XLOOKUP(G457,SM[Employee ID],SM[State/City])</f>
        <v>Bengaluru</v>
      </c>
      <c r="K457" s="2">
        <f>_xlfn.XLOOKUP(Sales7[[#This Row],[Order ID]],ST[Order ID],ST[Units Sold])</f>
        <v>6</v>
      </c>
      <c r="L457">
        <f t="shared" si="7"/>
        <v>46200</v>
      </c>
    </row>
    <row r="458" spans="1:12" x14ac:dyDescent="0.35">
      <c r="A458" s="7">
        <v>1445</v>
      </c>
      <c r="B458" s="1">
        <v>45406</v>
      </c>
      <c r="C458" s="2" t="s">
        <v>12</v>
      </c>
      <c r="D458" t="str">
        <f>_xlfn.XLOOKUP(Merged_Sales_Data!C458,PM[Product ID],PM[Product Name])</f>
        <v>Bookshelf Unit</v>
      </c>
      <c r="E458" t="str">
        <f>VLOOKUP(C458,PM[],3,FALSE)</f>
        <v>Furniture</v>
      </c>
      <c r="F458">
        <f>_xlfn.XLOOKUP(C458,PM[Product ID],PM[Unit Price (₹)])</f>
        <v>3910</v>
      </c>
      <c r="G458" t="str">
        <f>_xlfn.XLOOKUP(Sales7[[#This Row],[Order ID]],ST[Order ID],ST[Employee ID])</f>
        <v>E07</v>
      </c>
      <c r="H458" t="str">
        <f>_xlfn.XLOOKUP(G458,SM[Employee ID],SM[Salesperson])</f>
        <v>Aditya Kapoor</v>
      </c>
      <c r="I458" t="str">
        <f>_xlfn.XLOOKUP(G458,SM[Employee ID],SM[Region])</f>
        <v>West</v>
      </c>
      <c r="J458" t="str">
        <f>_xlfn.XLOOKUP(G458,SM[Employee ID],SM[State/City])</f>
        <v>Mumbai</v>
      </c>
      <c r="K458" s="2">
        <f>_xlfn.XLOOKUP(Sales7[[#This Row],[Order ID]],ST[Order ID],ST[Units Sold])</f>
        <v>2</v>
      </c>
      <c r="L458">
        <f t="shared" si="7"/>
        <v>7820</v>
      </c>
    </row>
    <row r="459" spans="1:12" x14ac:dyDescent="0.35">
      <c r="A459" s="7">
        <v>1447</v>
      </c>
      <c r="B459" s="1">
        <v>45406</v>
      </c>
      <c r="C459" s="2" t="s">
        <v>11</v>
      </c>
      <c r="D459" t="str">
        <f>_xlfn.XLOOKUP(Merged_Sales_Data!C459,PM[Product ID],PM[Product Name])</f>
        <v>Bluetooth Speaker</v>
      </c>
      <c r="E459" t="str">
        <f>VLOOKUP(C459,PM[],3,FALSE)</f>
        <v>Electronics</v>
      </c>
      <c r="F459">
        <f>_xlfn.XLOOKUP(C459,PM[Product ID],PM[Unit Price (₹)])</f>
        <v>1430</v>
      </c>
      <c r="G459" t="str">
        <f>_xlfn.XLOOKUP(Sales7[[#This Row],[Order ID]],ST[Order ID],ST[Employee ID])</f>
        <v>E04</v>
      </c>
      <c r="H459" t="str">
        <f>_xlfn.XLOOKUP(G459,SM[Employee ID],SM[Salesperson])</f>
        <v>Priya Nair</v>
      </c>
      <c r="I459" t="str">
        <f>_xlfn.XLOOKUP(G459,SM[Employee ID],SM[Region])</f>
        <v>South</v>
      </c>
      <c r="J459" t="str">
        <f>_xlfn.XLOOKUP(G459,SM[Employee ID],SM[State/City])</f>
        <v>Bengaluru</v>
      </c>
      <c r="K459" s="2">
        <f>_xlfn.XLOOKUP(Sales7[[#This Row],[Order ID]],ST[Order ID],ST[Units Sold])</f>
        <v>8</v>
      </c>
      <c r="L459">
        <f t="shared" si="7"/>
        <v>11440</v>
      </c>
    </row>
    <row r="460" spans="1:12" x14ac:dyDescent="0.35">
      <c r="A460" s="7">
        <v>1457</v>
      </c>
      <c r="B460" s="1">
        <v>45406</v>
      </c>
      <c r="C460" s="2" t="s">
        <v>10</v>
      </c>
      <c r="D460" t="str">
        <f>_xlfn.XLOOKUP(Merged_Sales_Data!C460,PM[Product ID],PM[Product Name])</f>
        <v>Filing Cabinet</v>
      </c>
      <c r="E460" t="str">
        <f>VLOOKUP(C460,PM[],3,FALSE)</f>
        <v>Furniture</v>
      </c>
      <c r="F460">
        <f>_xlfn.XLOOKUP(C460,PM[Product ID],PM[Unit Price (₹)])</f>
        <v>4070</v>
      </c>
      <c r="G460" t="str">
        <f>_xlfn.XLOOKUP(Sales7[[#This Row],[Order ID]],ST[Order ID],ST[Employee ID])</f>
        <v>E06</v>
      </c>
      <c r="H460" t="str">
        <f>_xlfn.XLOOKUP(G460,SM[Employee ID],SM[Salesperson])</f>
        <v>Sneha Roy</v>
      </c>
      <c r="I460" t="str">
        <f>_xlfn.XLOOKUP(G460,SM[Employee ID],SM[Region])</f>
        <v>East</v>
      </c>
      <c r="J460" t="str">
        <f>_xlfn.XLOOKUP(G460,SM[Employee ID],SM[State/City])</f>
        <v>Kolkata</v>
      </c>
      <c r="K460" s="2">
        <f>_xlfn.XLOOKUP(Sales7[[#This Row],[Order ID]],ST[Order ID],ST[Units Sold])</f>
        <v>4</v>
      </c>
      <c r="L460">
        <f t="shared" si="7"/>
        <v>16280</v>
      </c>
    </row>
    <row r="461" spans="1:12" x14ac:dyDescent="0.35">
      <c r="A461" s="7">
        <v>1454</v>
      </c>
      <c r="B461" s="1">
        <v>45407</v>
      </c>
      <c r="C461" s="2" t="s">
        <v>20</v>
      </c>
      <c r="D461" t="str">
        <f>_xlfn.XLOOKUP(Merged_Sales_Data!C461,PM[Product ID],PM[Product Name])</f>
        <v>Standing Desk</v>
      </c>
      <c r="E461" t="str">
        <f>VLOOKUP(C461,PM[],3,FALSE)</f>
        <v>Office Supplies</v>
      </c>
      <c r="F461">
        <f>_xlfn.XLOOKUP(C461,PM[Product ID],PM[Unit Price (₹)])</f>
        <v>11010</v>
      </c>
      <c r="G461" t="str">
        <f>_xlfn.XLOOKUP(Sales7[[#This Row],[Order ID]],ST[Order ID],ST[Employee ID])</f>
        <v>E08</v>
      </c>
      <c r="H461" t="str">
        <f>_xlfn.XLOOKUP(G461,SM[Employee ID],SM[Salesperson])</f>
        <v>Neha Joshi</v>
      </c>
      <c r="I461" t="str">
        <f>_xlfn.XLOOKUP(G461,SM[Employee ID],SM[Region])</f>
        <v>West</v>
      </c>
      <c r="J461" t="str">
        <f>_xlfn.XLOOKUP(G461,SM[Employee ID],SM[State/City])</f>
        <v>Ahmedabad</v>
      </c>
      <c r="K461" s="2">
        <f>_xlfn.XLOOKUP(Sales7[[#This Row],[Order ID]],ST[Order ID],ST[Units Sold])</f>
        <v>1</v>
      </c>
      <c r="L461">
        <f t="shared" si="7"/>
        <v>11010</v>
      </c>
    </row>
    <row r="462" spans="1:12" x14ac:dyDescent="0.35">
      <c r="A462" s="7">
        <v>1453</v>
      </c>
      <c r="B462" s="1">
        <v>45409</v>
      </c>
      <c r="C462" s="2" t="s">
        <v>8</v>
      </c>
      <c r="D462" t="str">
        <f>_xlfn.XLOOKUP(Merged_Sales_Data!C462,PM[Product ID],PM[Product Name])</f>
        <v>USB-C Hub</v>
      </c>
      <c r="E462" t="str">
        <f>VLOOKUP(C462,PM[],3,FALSE)</f>
        <v>Accessories</v>
      </c>
      <c r="F462">
        <f>_xlfn.XLOOKUP(C462,PM[Product ID],PM[Unit Price (₹)])</f>
        <v>880</v>
      </c>
      <c r="G462" t="str">
        <f>_xlfn.XLOOKUP(Sales7[[#This Row],[Order ID]],ST[Order ID],ST[Employee ID])</f>
        <v>E05</v>
      </c>
      <c r="H462" t="str">
        <f>_xlfn.XLOOKUP(G462,SM[Employee ID],SM[Salesperson])</f>
        <v>Karan Malhotra</v>
      </c>
      <c r="I462" t="str">
        <f>_xlfn.XLOOKUP(G462,SM[Employee ID],SM[Region])</f>
        <v>East</v>
      </c>
      <c r="J462" t="str">
        <f>_xlfn.XLOOKUP(G462,SM[Employee ID],SM[State/City])</f>
        <v>Kolkata</v>
      </c>
      <c r="K462" s="2">
        <f>_xlfn.XLOOKUP(Sales7[[#This Row],[Order ID]],ST[Order ID],ST[Units Sold])</f>
        <v>4</v>
      </c>
      <c r="L462">
        <f t="shared" si="7"/>
        <v>3520</v>
      </c>
    </row>
    <row r="463" spans="1:12" x14ac:dyDescent="0.35">
      <c r="A463" s="7">
        <v>1455</v>
      </c>
      <c r="B463" s="1">
        <v>45410</v>
      </c>
      <c r="C463" s="2" t="s">
        <v>20</v>
      </c>
      <c r="D463" t="str">
        <f>_xlfn.XLOOKUP(Merged_Sales_Data!C463,PM[Product ID],PM[Product Name])</f>
        <v>Standing Desk</v>
      </c>
      <c r="E463" t="str">
        <f>VLOOKUP(C463,PM[],3,FALSE)</f>
        <v>Office Supplies</v>
      </c>
      <c r="F463">
        <f>_xlfn.XLOOKUP(C463,PM[Product ID],PM[Unit Price (₹)])</f>
        <v>11010</v>
      </c>
      <c r="G463" t="str">
        <f>_xlfn.XLOOKUP(Sales7[[#This Row],[Order ID]],ST[Order ID],ST[Employee ID])</f>
        <v>E04</v>
      </c>
      <c r="H463" t="str">
        <f>_xlfn.XLOOKUP(G463,SM[Employee ID],SM[Salesperson])</f>
        <v>Priya Nair</v>
      </c>
      <c r="I463" t="str">
        <f>_xlfn.XLOOKUP(G463,SM[Employee ID],SM[Region])</f>
        <v>South</v>
      </c>
      <c r="J463" t="str">
        <f>_xlfn.XLOOKUP(G463,SM[Employee ID],SM[State/City])</f>
        <v>Bengaluru</v>
      </c>
      <c r="K463" s="2">
        <f>_xlfn.XLOOKUP(Sales7[[#This Row],[Order ID]],ST[Order ID],ST[Units Sold])</f>
        <v>3</v>
      </c>
      <c r="L463">
        <f t="shared" si="7"/>
        <v>33030</v>
      </c>
    </row>
    <row r="464" spans="1:12" x14ac:dyDescent="0.35">
      <c r="A464" s="7">
        <v>1459</v>
      </c>
      <c r="B464" s="1">
        <v>45412</v>
      </c>
      <c r="C464" s="2" t="s">
        <v>14</v>
      </c>
      <c r="D464" t="str">
        <f>_xlfn.XLOOKUP(Merged_Sales_Data!C464,PM[Product ID],PM[Product Name])</f>
        <v>Laptop Backpack</v>
      </c>
      <c r="E464" t="str">
        <f>VLOOKUP(C464,PM[],3,FALSE)</f>
        <v>Accessories</v>
      </c>
      <c r="F464">
        <f>_xlfn.XLOOKUP(C464,PM[Product ID],PM[Unit Price (₹)])</f>
        <v>1110</v>
      </c>
      <c r="G464" t="str">
        <f>_xlfn.XLOOKUP(Sales7[[#This Row],[Order ID]],ST[Order ID],ST[Employee ID])</f>
        <v>E08</v>
      </c>
      <c r="H464" t="str">
        <f>_xlfn.XLOOKUP(G464,SM[Employee ID],SM[Salesperson])</f>
        <v>Neha Joshi</v>
      </c>
      <c r="I464" t="str">
        <f>_xlfn.XLOOKUP(G464,SM[Employee ID],SM[Region])</f>
        <v>West</v>
      </c>
      <c r="J464" t="str">
        <f>_xlfn.XLOOKUP(G464,SM[Employee ID],SM[State/City])</f>
        <v>Ahmedabad</v>
      </c>
      <c r="K464" s="2">
        <f>_xlfn.XLOOKUP(Sales7[[#This Row],[Order ID]],ST[Order ID],ST[Units Sold])</f>
        <v>3</v>
      </c>
      <c r="L464">
        <f t="shared" si="7"/>
        <v>3330</v>
      </c>
    </row>
    <row r="465" spans="1:12" x14ac:dyDescent="0.35">
      <c r="A465" s="7">
        <v>1469</v>
      </c>
      <c r="B465" s="1">
        <v>45415</v>
      </c>
      <c r="C465" s="2" t="s">
        <v>21</v>
      </c>
      <c r="D465" t="str">
        <f>_xlfn.XLOOKUP(Merged_Sales_Data!C465,PM[Product ID],PM[Product Name])</f>
        <v>Wireless Mouse</v>
      </c>
      <c r="E465" t="str">
        <f>VLOOKUP(C465,PM[],3,FALSE)</f>
        <v>Electronics</v>
      </c>
      <c r="F465">
        <f>_xlfn.XLOOKUP(C465,PM[Product ID],PM[Unit Price (₹)])</f>
        <v>780</v>
      </c>
      <c r="G465" t="str">
        <f>_xlfn.XLOOKUP(Sales7[[#This Row],[Order ID]],ST[Order ID],ST[Employee ID])</f>
        <v>E08</v>
      </c>
      <c r="H465" t="str">
        <f>_xlfn.XLOOKUP(G465,SM[Employee ID],SM[Salesperson])</f>
        <v>Neha Joshi</v>
      </c>
      <c r="I465" t="str">
        <f>_xlfn.XLOOKUP(G465,SM[Employee ID],SM[Region])</f>
        <v>West</v>
      </c>
      <c r="J465" t="str">
        <f>_xlfn.XLOOKUP(G465,SM[Employee ID],SM[State/City])</f>
        <v>Ahmedabad</v>
      </c>
      <c r="K465" s="2">
        <f>_xlfn.XLOOKUP(Sales7[[#This Row],[Order ID]],ST[Order ID],ST[Units Sold])</f>
        <v>1</v>
      </c>
      <c r="L465">
        <f t="shared" si="7"/>
        <v>780</v>
      </c>
    </row>
    <row r="466" spans="1:12" x14ac:dyDescent="0.35">
      <c r="A466" s="7">
        <v>1479</v>
      </c>
      <c r="B466" s="1">
        <v>45417</v>
      </c>
      <c r="C466" s="2" t="s">
        <v>5</v>
      </c>
      <c r="D466" t="str">
        <f>_xlfn.XLOOKUP(Merged_Sales_Data!C466,PM[Product ID],PM[Product Name])</f>
        <v>Ergo Office Chair</v>
      </c>
      <c r="E466" t="str">
        <f>VLOOKUP(C466,PM[],3,FALSE)</f>
        <v>Office Supplies</v>
      </c>
      <c r="F466">
        <f>_xlfn.XLOOKUP(C466,PM[Product ID],PM[Unit Price (₹)])</f>
        <v>6750</v>
      </c>
      <c r="G466" t="str">
        <f>_xlfn.XLOOKUP(Sales7[[#This Row],[Order ID]],ST[Order ID],ST[Employee ID])</f>
        <v>E08</v>
      </c>
      <c r="H466" t="str">
        <f>_xlfn.XLOOKUP(G466,SM[Employee ID],SM[Salesperson])</f>
        <v>Neha Joshi</v>
      </c>
      <c r="I466" t="str">
        <f>_xlfn.XLOOKUP(G466,SM[Employee ID],SM[Region])</f>
        <v>West</v>
      </c>
      <c r="J466" t="str">
        <f>_xlfn.XLOOKUP(G466,SM[Employee ID],SM[State/City])</f>
        <v>Ahmedabad</v>
      </c>
      <c r="K466" s="2">
        <f>_xlfn.XLOOKUP(Sales7[[#This Row],[Order ID]],ST[Order ID],ST[Units Sold])</f>
        <v>1</v>
      </c>
      <c r="L466">
        <f t="shared" si="7"/>
        <v>6750</v>
      </c>
    </row>
    <row r="467" spans="1:12" x14ac:dyDescent="0.35">
      <c r="A467" s="7">
        <v>1487</v>
      </c>
      <c r="B467" s="1">
        <v>45417</v>
      </c>
      <c r="C467" s="2" t="s">
        <v>14</v>
      </c>
      <c r="D467" t="str">
        <f>_xlfn.XLOOKUP(Merged_Sales_Data!C467,PM[Product ID],PM[Product Name])</f>
        <v>Laptop Backpack</v>
      </c>
      <c r="E467" t="str">
        <f>VLOOKUP(C467,PM[],3,FALSE)</f>
        <v>Accessories</v>
      </c>
      <c r="F467">
        <f>_xlfn.XLOOKUP(C467,PM[Product ID],PM[Unit Price (₹)])</f>
        <v>1110</v>
      </c>
      <c r="G467" t="str">
        <f>_xlfn.XLOOKUP(Sales7[[#This Row],[Order ID]],ST[Order ID],ST[Employee ID])</f>
        <v>E06</v>
      </c>
      <c r="H467" t="str">
        <f>_xlfn.XLOOKUP(G467,SM[Employee ID],SM[Salesperson])</f>
        <v>Sneha Roy</v>
      </c>
      <c r="I467" t="str">
        <f>_xlfn.XLOOKUP(G467,SM[Employee ID],SM[Region])</f>
        <v>East</v>
      </c>
      <c r="J467" t="str">
        <f>_xlfn.XLOOKUP(G467,SM[Employee ID],SM[State/City])</f>
        <v>Kolkata</v>
      </c>
      <c r="K467" s="2">
        <f>_xlfn.XLOOKUP(Sales7[[#This Row],[Order ID]],ST[Order ID],ST[Units Sold])</f>
        <v>6</v>
      </c>
      <c r="L467">
        <f t="shared" si="7"/>
        <v>6660</v>
      </c>
    </row>
    <row r="468" spans="1:12" x14ac:dyDescent="0.35">
      <c r="A468" s="7">
        <v>1484</v>
      </c>
      <c r="B468" s="1">
        <v>45420</v>
      </c>
      <c r="C468" s="2" t="s">
        <v>12</v>
      </c>
      <c r="D468" t="str">
        <f>_xlfn.XLOOKUP(Merged_Sales_Data!C468,PM[Product ID],PM[Product Name])</f>
        <v>Bookshelf Unit</v>
      </c>
      <c r="E468" t="str">
        <f>VLOOKUP(C468,PM[],3,FALSE)</f>
        <v>Furniture</v>
      </c>
      <c r="F468">
        <f>_xlfn.XLOOKUP(C468,PM[Product ID],PM[Unit Price (₹)])</f>
        <v>3910</v>
      </c>
      <c r="G468" t="str">
        <f>_xlfn.XLOOKUP(Sales7[[#This Row],[Order ID]],ST[Order ID],ST[Employee ID])</f>
        <v>E03</v>
      </c>
      <c r="H468" t="str">
        <f>_xlfn.XLOOKUP(G468,SM[Employee ID],SM[Salesperson])</f>
        <v>Rohan Mehta</v>
      </c>
      <c r="I468" t="str">
        <f>_xlfn.XLOOKUP(G468,SM[Employee ID],SM[Region])</f>
        <v>South</v>
      </c>
      <c r="J468" t="str">
        <f>_xlfn.XLOOKUP(G468,SM[Employee ID],SM[State/City])</f>
        <v>Bengaluru</v>
      </c>
      <c r="K468" s="2">
        <f>_xlfn.XLOOKUP(Sales7[[#This Row],[Order ID]],ST[Order ID],ST[Units Sold])</f>
        <v>6</v>
      </c>
      <c r="L468">
        <f t="shared" si="7"/>
        <v>23460</v>
      </c>
    </row>
    <row r="469" spans="1:12" x14ac:dyDescent="0.35">
      <c r="A469" s="7">
        <v>1485</v>
      </c>
      <c r="B469" s="1">
        <v>45420</v>
      </c>
      <c r="C469" s="2" t="s">
        <v>5</v>
      </c>
      <c r="D469" t="str">
        <f>_xlfn.XLOOKUP(Merged_Sales_Data!C469,PM[Product ID],PM[Product Name])</f>
        <v>Ergo Office Chair</v>
      </c>
      <c r="E469" t="str">
        <f>VLOOKUP(C469,PM[],3,FALSE)</f>
        <v>Office Supplies</v>
      </c>
      <c r="F469">
        <f>_xlfn.XLOOKUP(C469,PM[Product ID],PM[Unit Price (₹)])</f>
        <v>6750</v>
      </c>
      <c r="G469" t="str">
        <f>_xlfn.XLOOKUP(Sales7[[#This Row],[Order ID]],ST[Order ID],ST[Employee ID])</f>
        <v>E02</v>
      </c>
      <c r="H469" t="str">
        <f>_xlfn.XLOOKUP(G469,SM[Employee ID],SM[Salesperson])</f>
        <v>Ishita Verma</v>
      </c>
      <c r="I469" t="str">
        <f>_xlfn.XLOOKUP(G469,SM[Employee ID],SM[Region])</f>
        <v>North</v>
      </c>
      <c r="J469" t="str">
        <f>_xlfn.XLOOKUP(G469,SM[Employee ID],SM[State/City])</f>
        <v>Chandigarh</v>
      </c>
      <c r="K469" s="2">
        <f>_xlfn.XLOOKUP(Sales7[[#This Row],[Order ID]],ST[Order ID],ST[Units Sold])</f>
        <v>1</v>
      </c>
      <c r="L469">
        <f t="shared" si="7"/>
        <v>6750</v>
      </c>
    </row>
    <row r="470" spans="1:12" x14ac:dyDescent="0.35">
      <c r="A470" s="7">
        <v>1474</v>
      </c>
      <c r="B470" s="1">
        <v>45421</v>
      </c>
      <c r="C470" s="2" t="s">
        <v>12</v>
      </c>
      <c r="D470" t="str">
        <f>_xlfn.XLOOKUP(Merged_Sales_Data!C470,PM[Product ID],PM[Product Name])</f>
        <v>Bookshelf Unit</v>
      </c>
      <c r="E470" t="str">
        <f>VLOOKUP(C470,PM[],3,FALSE)</f>
        <v>Furniture</v>
      </c>
      <c r="F470">
        <f>_xlfn.XLOOKUP(C470,PM[Product ID],PM[Unit Price (₹)])</f>
        <v>3910</v>
      </c>
      <c r="G470" t="str">
        <f>_xlfn.XLOOKUP(Sales7[[#This Row],[Order ID]],ST[Order ID],ST[Employee ID])</f>
        <v>E07</v>
      </c>
      <c r="H470" t="str">
        <f>_xlfn.XLOOKUP(G470,SM[Employee ID],SM[Salesperson])</f>
        <v>Aditya Kapoor</v>
      </c>
      <c r="I470" t="str">
        <f>_xlfn.XLOOKUP(G470,SM[Employee ID],SM[Region])</f>
        <v>West</v>
      </c>
      <c r="J470" t="str">
        <f>_xlfn.XLOOKUP(G470,SM[Employee ID],SM[State/City])</f>
        <v>Mumbai</v>
      </c>
      <c r="K470" s="2">
        <f>_xlfn.XLOOKUP(Sales7[[#This Row],[Order ID]],ST[Order ID],ST[Units Sold])</f>
        <v>10</v>
      </c>
      <c r="L470">
        <f t="shared" si="7"/>
        <v>39100</v>
      </c>
    </row>
    <row r="471" spans="1:12" x14ac:dyDescent="0.35">
      <c r="A471" s="7">
        <v>1478</v>
      </c>
      <c r="B471" s="1">
        <v>45422</v>
      </c>
      <c r="C471" s="2" t="s">
        <v>5</v>
      </c>
      <c r="D471" t="str">
        <f>_xlfn.XLOOKUP(Merged_Sales_Data!C471,PM[Product ID],PM[Product Name])</f>
        <v>Ergo Office Chair</v>
      </c>
      <c r="E471" t="str">
        <f>VLOOKUP(C471,PM[],3,FALSE)</f>
        <v>Office Supplies</v>
      </c>
      <c r="F471">
        <f>_xlfn.XLOOKUP(C471,PM[Product ID],PM[Unit Price (₹)])</f>
        <v>6750</v>
      </c>
      <c r="G471" t="str">
        <f>_xlfn.XLOOKUP(Sales7[[#This Row],[Order ID]],ST[Order ID],ST[Employee ID])</f>
        <v>E08</v>
      </c>
      <c r="H471" t="str">
        <f>_xlfn.XLOOKUP(G471,SM[Employee ID],SM[Salesperson])</f>
        <v>Neha Joshi</v>
      </c>
      <c r="I471" t="str">
        <f>_xlfn.XLOOKUP(G471,SM[Employee ID],SM[Region])</f>
        <v>West</v>
      </c>
      <c r="J471" t="str">
        <f>_xlfn.XLOOKUP(G471,SM[Employee ID],SM[State/City])</f>
        <v>Ahmedabad</v>
      </c>
      <c r="K471" s="2">
        <f>_xlfn.XLOOKUP(Sales7[[#This Row],[Order ID]],ST[Order ID],ST[Units Sold])</f>
        <v>8</v>
      </c>
      <c r="L471">
        <f t="shared" si="7"/>
        <v>54000</v>
      </c>
    </row>
    <row r="472" spans="1:12" x14ac:dyDescent="0.35">
      <c r="A472" s="7">
        <v>1490</v>
      </c>
      <c r="B472" s="1">
        <v>45423</v>
      </c>
      <c r="C472" s="2" t="s">
        <v>11</v>
      </c>
      <c r="D472" t="str">
        <f>_xlfn.XLOOKUP(Merged_Sales_Data!C472,PM[Product ID],PM[Product Name])</f>
        <v>Bluetooth Speaker</v>
      </c>
      <c r="E472" t="str">
        <f>VLOOKUP(C472,PM[],3,FALSE)</f>
        <v>Electronics</v>
      </c>
      <c r="F472">
        <f>_xlfn.XLOOKUP(C472,PM[Product ID],PM[Unit Price (₹)])</f>
        <v>1430</v>
      </c>
      <c r="G472" t="str">
        <f>_xlfn.XLOOKUP(Sales7[[#This Row],[Order ID]],ST[Order ID],ST[Employee ID])</f>
        <v>E07</v>
      </c>
      <c r="H472" t="str">
        <f>_xlfn.XLOOKUP(G472,SM[Employee ID],SM[Salesperson])</f>
        <v>Aditya Kapoor</v>
      </c>
      <c r="I472" t="str">
        <f>_xlfn.XLOOKUP(G472,SM[Employee ID],SM[Region])</f>
        <v>West</v>
      </c>
      <c r="J472" t="str">
        <f>_xlfn.XLOOKUP(G472,SM[Employee ID],SM[State/City])</f>
        <v>Mumbai</v>
      </c>
      <c r="K472" s="2">
        <f>_xlfn.XLOOKUP(Sales7[[#This Row],[Order ID]],ST[Order ID],ST[Units Sold])</f>
        <v>1</v>
      </c>
      <c r="L472">
        <f t="shared" si="7"/>
        <v>1430</v>
      </c>
    </row>
    <row r="473" spans="1:12" x14ac:dyDescent="0.35">
      <c r="A473" s="7">
        <v>1473</v>
      </c>
      <c r="B473" s="1">
        <v>45424</v>
      </c>
      <c r="C473" s="2" t="s">
        <v>18</v>
      </c>
      <c r="D473" t="str">
        <f>_xlfn.XLOOKUP(Merged_Sales_Data!C473,PM[Product ID],PM[Product Name])</f>
        <v>LED Monitor 24"</v>
      </c>
      <c r="E473" t="str">
        <f>VLOOKUP(C473,PM[],3,FALSE)</f>
        <v>Electronics</v>
      </c>
      <c r="F473">
        <f>_xlfn.XLOOKUP(C473,PM[Product ID],PM[Unit Price (₹)])</f>
        <v>7700</v>
      </c>
      <c r="G473" t="str">
        <f>_xlfn.XLOOKUP(Sales7[[#This Row],[Order ID]],ST[Order ID],ST[Employee ID])</f>
        <v>E02</v>
      </c>
      <c r="H473" t="str">
        <f>_xlfn.XLOOKUP(G473,SM[Employee ID],SM[Salesperson])</f>
        <v>Ishita Verma</v>
      </c>
      <c r="I473" t="str">
        <f>_xlfn.XLOOKUP(G473,SM[Employee ID],SM[Region])</f>
        <v>North</v>
      </c>
      <c r="J473" t="str">
        <f>_xlfn.XLOOKUP(G473,SM[Employee ID],SM[State/City])</f>
        <v>Chandigarh</v>
      </c>
      <c r="K473" s="2">
        <f>_xlfn.XLOOKUP(Sales7[[#This Row],[Order ID]],ST[Order ID],ST[Units Sold])</f>
        <v>6</v>
      </c>
      <c r="L473">
        <f t="shared" si="7"/>
        <v>46200</v>
      </c>
    </row>
    <row r="474" spans="1:12" x14ac:dyDescent="0.35">
      <c r="A474" s="7">
        <v>1470</v>
      </c>
      <c r="B474" s="1">
        <v>45425</v>
      </c>
      <c r="C474" s="2" t="s">
        <v>12</v>
      </c>
      <c r="D474" t="str">
        <f>_xlfn.XLOOKUP(Merged_Sales_Data!C474,PM[Product ID],PM[Product Name])</f>
        <v>Bookshelf Unit</v>
      </c>
      <c r="E474" t="str">
        <f>VLOOKUP(C474,PM[],3,FALSE)</f>
        <v>Furniture</v>
      </c>
      <c r="F474">
        <f>_xlfn.XLOOKUP(C474,PM[Product ID],PM[Unit Price (₹)])</f>
        <v>3910</v>
      </c>
      <c r="G474" t="str">
        <f>_xlfn.XLOOKUP(Sales7[[#This Row],[Order ID]],ST[Order ID],ST[Employee ID])</f>
        <v>E04</v>
      </c>
      <c r="H474" t="str">
        <f>_xlfn.XLOOKUP(G474,SM[Employee ID],SM[Salesperson])</f>
        <v>Priya Nair</v>
      </c>
      <c r="I474" t="str">
        <f>_xlfn.XLOOKUP(G474,SM[Employee ID],SM[Region])</f>
        <v>South</v>
      </c>
      <c r="J474" t="str">
        <f>_xlfn.XLOOKUP(G474,SM[Employee ID],SM[State/City])</f>
        <v>Bengaluru</v>
      </c>
      <c r="K474" s="2">
        <f>_xlfn.XLOOKUP(Sales7[[#This Row],[Order ID]],ST[Order ID],ST[Units Sold])</f>
        <v>3</v>
      </c>
      <c r="L474">
        <f t="shared" si="7"/>
        <v>11730</v>
      </c>
    </row>
    <row r="475" spans="1:12" x14ac:dyDescent="0.35">
      <c r="A475" s="7">
        <v>1476</v>
      </c>
      <c r="B475" s="1">
        <v>45425</v>
      </c>
      <c r="C475" s="2" t="s">
        <v>14</v>
      </c>
      <c r="D475" t="str">
        <f>_xlfn.XLOOKUP(Merged_Sales_Data!C475,PM[Product ID],PM[Product Name])</f>
        <v>Laptop Backpack</v>
      </c>
      <c r="E475" t="str">
        <f>VLOOKUP(C475,PM[],3,FALSE)</f>
        <v>Accessories</v>
      </c>
      <c r="F475">
        <f>_xlfn.XLOOKUP(C475,PM[Product ID],PM[Unit Price (₹)])</f>
        <v>1110</v>
      </c>
      <c r="G475" t="str">
        <f>_xlfn.XLOOKUP(Sales7[[#This Row],[Order ID]],ST[Order ID],ST[Employee ID])</f>
        <v>E03</v>
      </c>
      <c r="H475" t="str">
        <f>_xlfn.XLOOKUP(G475,SM[Employee ID],SM[Salesperson])</f>
        <v>Rohan Mehta</v>
      </c>
      <c r="I475" t="str">
        <f>_xlfn.XLOOKUP(G475,SM[Employee ID],SM[Region])</f>
        <v>South</v>
      </c>
      <c r="J475" t="str">
        <f>_xlfn.XLOOKUP(G475,SM[Employee ID],SM[State/City])</f>
        <v>Bengaluru</v>
      </c>
      <c r="K475" s="2">
        <f>_xlfn.XLOOKUP(Sales7[[#This Row],[Order ID]],ST[Order ID],ST[Units Sold])</f>
        <v>6</v>
      </c>
      <c r="L475">
        <f t="shared" si="7"/>
        <v>6660</v>
      </c>
    </row>
    <row r="476" spans="1:12" x14ac:dyDescent="0.35">
      <c r="A476" s="7">
        <v>1488</v>
      </c>
      <c r="B476" s="1">
        <v>45425</v>
      </c>
      <c r="C476" s="2" t="s">
        <v>11</v>
      </c>
      <c r="D476" t="str">
        <f>_xlfn.XLOOKUP(Merged_Sales_Data!C476,PM[Product ID],PM[Product Name])</f>
        <v>Bluetooth Speaker</v>
      </c>
      <c r="E476" t="str">
        <f>VLOOKUP(C476,PM[],3,FALSE)</f>
        <v>Electronics</v>
      </c>
      <c r="F476">
        <f>_xlfn.XLOOKUP(C476,PM[Product ID],PM[Unit Price (₹)])</f>
        <v>1430</v>
      </c>
      <c r="G476" t="str">
        <f>_xlfn.XLOOKUP(Sales7[[#This Row],[Order ID]],ST[Order ID],ST[Employee ID])</f>
        <v>E02</v>
      </c>
      <c r="H476" t="str">
        <f>_xlfn.XLOOKUP(G476,SM[Employee ID],SM[Salesperson])</f>
        <v>Ishita Verma</v>
      </c>
      <c r="I476" t="str">
        <f>_xlfn.XLOOKUP(G476,SM[Employee ID],SM[Region])</f>
        <v>North</v>
      </c>
      <c r="J476" t="str">
        <f>_xlfn.XLOOKUP(G476,SM[Employee ID],SM[State/City])</f>
        <v>Chandigarh</v>
      </c>
      <c r="K476" s="2">
        <f>_xlfn.XLOOKUP(Sales7[[#This Row],[Order ID]],ST[Order ID],ST[Units Sold])</f>
        <v>2</v>
      </c>
      <c r="L476">
        <f t="shared" si="7"/>
        <v>2860</v>
      </c>
    </row>
    <row r="477" spans="1:12" x14ac:dyDescent="0.35">
      <c r="A477" s="7">
        <v>1465</v>
      </c>
      <c r="B477" s="1">
        <v>45426</v>
      </c>
      <c r="C477" s="2" t="s">
        <v>12</v>
      </c>
      <c r="D477" t="str">
        <f>_xlfn.XLOOKUP(Merged_Sales_Data!C477,PM[Product ID],PM[Product Name])</f>
        <v>Bookshelf Unit</v>
      </c>
      <c r="E477" t="str">
        <f>VLOOKUP(C477,PM[],3,FALSE)</f>
        <v>Furniture</v>
      </c>
      <c r="F477">
        <f>_xlfn.XLOOKUP(C477,PM[Product ID],PM[Unit Price (₹)])</f>
        <v>3910</v>
      </c>
      <c r="G477" t="str">
        <f>_xlfn.XLOOKUP(Sales7[[#This Row],[Order ID]],ST[Order ID],ST[Employee ID])</f>
        <v>E01</v>
      </c>
      <c r="H477" t="str">
        <f>_xlfn.XLOOKUP(G477,SM[Employee ID],SM[Salesperson])</f>
        <v>Aarav Sharma</v>
      </c>
      <c r="I477" t="str">
        <f>_xlfn.XLOOKUP(G477,SM[Employee ID],SM[Region])</f>
        <v>North</v>
      </c>
      <c r="J477" t="str">
        <f>_xlfn.XLOOKUP(G477,SM[Employee ID],SM[State/City])</f>
        <v>Lucknow</v>
      </c>
      <c r="K477" s="2">
        <f>_xlfn.XLOOKUP(Sales7[[#This Row],[Order ID]],ST[Order ID],ST[Units Sold])</f>
        <v>8</v>
      </c>
      <c r="L477">
        <f t="shared" si="7"/>
        <v>31280</v>
      </c>
    </row>
    <row r="478" spans="1:12" x14ac:dyDescent="0.35">
      <c r="A478" s="7">
        <v>1464</v>
      </c>
      <c r="B478" s="1">
        <v>45427</v>
      </c>
      <c r="C478" s="2" t="s">
        <v>14</v>
      </c>
      <c r="D478" t="str">
        <f>_xlfn.XLOOKUP(Merged_Sales_Data!C478,PM[Product ID],PM[Product Name])</f>
        <v>Laptop Backpack</v>
      </c>
      <c r="E478" t="str">
        <f>VLOOKUP(C478,PM[],3,FALSE)</f>
        <v>Accessories</v>
      </c>
      <c r="F478">
        <f>_xlfn.XLOOKUP(C478,PM[Product ID],PM[Unit Price (₹)])</f>
        <v>1110</v>
      </c>
      <c r="G478" t="str">
        <f>_xlfn.XLOOKUP(Sales7[[#This Row],[Order ID]],ST[Order ID],ST[Employee ID])</f>
        <v>E03</v>
      </c>
      <c r="H478" t="str">
        <f>_xlfn.XLOOKUP(G478,SM[Employee ID],SM[Salesperson])</f>
        <v>Rohan Mehta</v>
      </c>
      <c r="I478" t="str">
        <f>_xlfn.XLOOKUP(G478,SM[Employee ID],SM[Region])</f>
        <v>South</v>
      </c>
      <c r="J478" t="str">
        <f>_xlfn.XLOOKUP(G478,SM[Employee ID],SM[State/City])</f>
        <v>Bengaluru</v>
      </c>
      <c r="K478" s="2">
        <f>_xlfn.XLOOKUP(Sales7[[#This Row],[Order ID]],ST[Order ID],ST[Units Sold])</f>
        <v>3</v>
      </c>
      <c r="L478">
        <f t="shared" si="7"/>
        <v>3330</v>
      </c>
    </row>
    <row r="479" spans="1:12" x14ac:dyDescent="0.35">
      <c r="A479" s="7">
        <v>1471</v>
      </c>
      <c r="B479" s="1">
        <v>45427</v>
      </c>
      <c r="C479" s="2" t="s">
        <v>18</v>
      </c>
      <c r="D479" t="str">
        <f>_xlfn.XLOOKUP(Merged_Sales_Data!C479,PM[Product ID],PM[Product Name])</f>
        <v>LED Monitor 24"</v>
      </c>
      <c r="E479" t="str">
        <f>VLOOKUP(C479,PM[],3,FALSE)</f>
        <v>Electronics</v>
      </c>
      <c r="F479">
        <f>_xlfn.XLOOKUP(C479,PM[Product ID],PM[Unit Price (₹)])</f>
        <v>7700</v>
      </c>
      <c r="G479" t="str">
        <f>_xlfn.XLOOKUP(Sales7[[#This Row],[Order ID]],ST[Order ID],ST[Employee ID])</f>
        <v>E01</v>
      </c>
      <c r="H479" t="str">
        <f>_xlfn.XLOOKUP(G479,SM[Employee ID],SM[Salesperson])</f>
        <v>Aarav Sharma</v>
      </c>
      <c r="I479" t="str">
        <f>_xlfn.XLOOKUP(G479,SM[Employee ID],SM[Region])</f>
        <v>North</v>
      </c>
      <c r="J479" t="str">
        <f>_xlfn.XLOOKUP(G479,SM[Employee ID],SM[State/City])</f>
        <v>Lucknow</v>
      </c>
      <c r="K479" s="2">
        <f>_xlfn.XLOOKUP(Sales7[[#This Row],[Order ID]],ST[Order ID],ST[Units Sold])</f>
        <v>10</v>
      </c>
      <c r="L479">
        <f t="shared" si="7"/>
        <v>77000</v>
      </c>
    </row>
    <row r="480" spans="1:12" x14ac:dyDescent="0.35">
      <c r="A480" s="7">
        <v>1482</v>
      </c>
      <c r="B480" s="1">
        <v>45430</v>
      </c>
      <c r="C480" s="2" t="s">
        <v>12</v>
      </c>
      <c r="D480" t="str">
        <f>_xlfn.XLOOKUP(Merged_Sales_Data!C480,PM[Product ID],PM[Product Name])</f>
        <v>Bookshelf Unit</v>
      </c>
      <c r="E480" t="str">
        <f>VLOOKUP(C480,PM[],3,FALSE)</f>
        <v>Furniture</v>
      </c>
      <c r="F480">
        <f>_xlfn.XLOOKUP(C480,PM[Product ID],PM[Unit Price (₹)])</f>
        <v>3910</v>
      </c>
      <c r="G480" t="str">
        <f>_xlfn.XLOOKUP(Sales7[[#This Row],[Order ID]],ST[Order ID],ST[Employee ID])</f>
        <v>E06</v>
      </c>
      <c r="H480" t="str">
        <f>_xlfn.XLOOKUP(G480,SM[Employee ID],SM[Salesperson])</f>
        <v>Sneha Roy</v>
      </c>
      <c r="I480" t="str">
        <f>_xlfn.XLOOKUP(G480,SM[Employee ID],SM[Region])</f>
        <v>East</v>
      </c>
      <c r="J480" t="str">
        <f>_xlfn.XLOOKUP(G480,SM[Employee ID],SM[State/City])</f>
        <v>Kolkata</v>
      </c>
      <c r="K480" s="2">
        <f>_xlfn.XLOOKUP(Sales7[[#This Row],[Order ID]],ST[Order ID],ST[Units Sold])</f>
        <v>1</v>
      </c>
      <c r="L480">
        <f t="shared" si="7"/>
        <v>3910</v>
      </c>
    </row>
    <row r="481" spans="1:12" x14ac:dyDescent="0.35">
      <c r="A481" s="7">
        <v>1486</v>
      </c>
      <c r="B481" s="1">
        <v>45430</v>
      </c>
      <c r="C481" s="2" t="s">
        <v>21</v>
      </c>
      <c r="D481" t="str">
        <f>_xlfn.XLOOKUP(Merged_Sales_Data!C481,PM[Product ID],PM[Product Name])</f>
        <v>Wireless Mouse</v>
      </c>
      <c r="E481" t="str">
        <f>VLOOKUP(C481,PM[],3,FALSE)</f>
        <v>Electronics</v>
      </c>
      <c r="F481">
        <f>_xlfn.XLOOKUP(C481,PM[Product ID],PM[Unit Price (₹)])</f>
        <v>780</v>
      </c>
      <c r="G481" t="str">
        <f>_xlfn.XLOOKUP(Sales7[[#This Row],[Order ID]],ST[Order ID],ST[Employee ID])</f>
        <v>E08</v>
      </c>
      <c r="H481" t="str">
        <f>_xlfn.XLOOKUP(G481,SM[Employee ID],SM[Salesperson])</f>
        <v>Neha Joshi</v>
      </c>
      <c r="I481" t="str">
        <f>_xlfn.XLOOKUP(G481,SM[Employee ID],SM[Region])</f>
        <v>West</v>
      </c>
      <c r="J481" t="str">
        <f>_xlfn.XLOOKUP(G481,SM[Employee ID],SM[State/City])</f>
        <v>Ahmedabad</v>
      </c>
      <c r="K481" s="2">
        <f>_xlfn.XLOOKUP(Sales7[[#This Row],[Order ID]],ST[Order ID],ST[Units Sold])</f>
        <v>3</v>
      </c>
      <c r="L481">
        <f t="shared" si="7"/>
        <v>2340</v>
      </c>
    </row>
    <row r="482" spans="1:12" x14ac:dyDescent="0.35">
      <c r="A482" s="7">
        <v>1466</v>
      </c>
      <c r="B482" s="1">
        <v>45434</v>
      </c>
      <c r="C482" s="2" t="s">
        <v>21</v>
      </c>
      <c r="D482" t="str">
        <f>_xlfn.XLOOKUP(Merged_Sales_Data!C482,PM[Product ID],PM[Product Name])</f>
        <v>Wireless Mouse</v>
      </c>
      <c r="E482" t="str">
        <f>VLOOKUP(C482,PM[],3,FALSE)</f>
        <v>Electronics</v>
      </c>
      <c r="F482">
        <f>_xlfn.XLOOKUP(C482,PM[Product ID],PM[Unit Price (₹)])</f>
        <v>780</v>
      </c>
      <c r="G482" t="str">
        <f>_xlfn.XLOOKUP(Sales7[[#This Row],[Order ID]],ST[Order ID],ST[Employee ID])</f>
        <v>E05</v>
      </c>
      <c r="H482" t="str">
        <f>_xlfn.XLOOKUP(G482,SM[Employee ID],SM[Salesperson])</f>
        <v>Karan Malhotra</v>
      </c>
      <c r="I482" t="str">
        <f>_xlfn.XLOOKUP(G482,SM[Employee ID],SM[Region])</f>
        <v>East</v>
      </c>
      <c r="J482" t="str">
        <f>_xlfn.XLOOKUP(G482,SM[Employee ID],SM[State/City])</f>
        <v>Kolkata</v>
      </c>
      <c r="K482" s="2">
        <f>_xlfn.XLOOKUP(Sales7[[#This Row],[Order ID]],ST[Order ID],ST[Units Sold])</f>
        <v>1</v>
      </c>
      <c r="L482">
        <f t="shared" si="7"/>
        <v>780</v>
      </c>
    </row>
    <row r="483" spans="1:12" x14ac:dyDescent="0.35">
      <c r="A483" s="7">
        <v>1491</v>
      </c>
      <c r="B483" s="1">
        <v>45434</v>
      </c>
      <c r="C483" s="2" t="s">
        <v>14</v>
      </c>
      <c r="D483" t="str">
        <f>_xlfn.XLOOKUP(Merged_Sales_Data!C483,PM[Product ID],PM[Product Name])</f>
        <v>Laptop Backpack</v>
      </c>
      <c r="E483" t="str">
        <f>VLOOKUP(C483,PM[],3,FALSE)</f>
        <v>Accessories</v>
      </c>
      <c r="F483">
        <f>_xlfn.XLOOKUP(C483,PM[Product ID],PM[Unit Price (₹)])</f>
        <v>1110</v>
      </c>
      <c r="G483" t="str">
        <f>_xlfn.XLOOKUP(Sales7[[#This Row],[Order ID]],ST[Order ID],ST[Employee ID])</f>
        <v>E02</v>
      </c>
      <c r="H483" t="str">
        <f>_xlfn.XLOOKUP(G483,SM[Employee ID],SM[Salesperson])</f>
        <v>Ishita Verma</v>
      </c>
      <c r="I483" t="str">
        <f>_xlfn.XLOOKUP(G483,SM[Employee ID],SM[Region])</f>
        <v>North</v>
      </c>
      <c r="J483" t="str">
        <f>_xlfn.XLOOKUP(G483,SM[Employee ID],SM[State/City])</f>
        <v>Chandigarh</v>
      </c>
      <c r="K483" s="2">
        <f>_xlfn.XLOOKUP(Sales7[[#This Row],[Order ID]],ST[Order ID],ST[Units Sold])</f>
        <v>5</v>
      </c>
      <c r="L483">
        <f t="shared" si="7"/>
        <v>5550</v>
      </c>
    </row>
    <row r="484" spans="1:12" x14ac:dyDescent="0.35">
      <c r="A484" s="7">
        <v>1477</v>
      </c>
      <c r="B484" s="1">
        <v>45435</v>
      </c>
      <c r="C484" s="2" t="s">
        <v>20</v>
      </c>
      <c r="D484" t="str">
        <f>_xlfn.XLOOKUP(Merged_Sales_Data!C484,PM[Product ID],PM[Product Name])</f>
        <v>Standing Desk</v>
      </c>
      <c r="E484" t="str">
        <f>VLOOKUP(C484,PM[],3,FALSE)</f>
        <v>Office Supplies</v>
      </c>
      <c r="F484">
        <f>_xlfn.XLOOKUP(C484,PM[Product ID],PM[Unit Price (₹)])</f>
        <v>11010</v>
      </c>
      <c r="G484" t="str">
        <f>_xlfn.XLOOKUP(Sales7[[#This Row],[Order ID]],ST[Order ID],ST[Employee ID])</f>
        <v>E02</v>
      </c>
      <c r="H484" t="str">
        <f>_xlfn.XLOOKUP(G484,SM[Employee ID],SM[Salesperson])</f>
        <v>Ishita Verma</v>
      </c>
      <c r="I484" t="str">
        <f>_xlfn.XLOOKUP(G484,SM[Employee ID],SM[Region])</f>
        <v>North</v>
      </c>
      <c r="J484" t="str">
        <f>_xlfn.XLOOKUP(G484,SM[Employee ID],SM[State/City])</f>
        <v>Chandigarh</v>
      </c>
      <c r="K484" s="2">
        <f>_xlfn.XLOOKUP(Sales7[[#This Row],[Order ID]],ST[Order ID],ST[Units Sold])</f>
        <v>2</v>
      </c>
      <c r="L484">
        <f t="shared" si="7"/>
        <v>22020</v>
      </c>
    </row>
    <row r="485" spans="1:12" x14ac:dyDescent="0.35">
      <c r="A485" s="7">
        <v>1483</v>
      </c>
      <c r="B485" s="1">
        <v>45435</v>
      </c>
      <c r="C485" s="2" t="s">
        <v>20</v>
      </c>
      <c r="D485" t="str">
        <f>_xlfn.XLOOKUP(Merged_Sales_Data!C485,PM[Product ID],PM[Product Name])</f>
        <v>Standing Desk</v>
      </c>
      <c r="E485" t="str">
        <f>VLOOKUP(C485,PM[],3,FALSE)</f>
        <v>Office Supplies</v>
      </c>
      <c r="F485">
        <f>_xlfn.XLOOKUP(C485,PM[Product ID],PM[Unit Price (₹)])</f>
        <v>11010</v>
      </c>
      <c r="G485" t="str">
        <f>_xlfn.XLOOKUP(Sales7[[#This Row],[Order ID]],ST[Order ID],ST[Employee ID])</f>
        <v>E05</v>
      </c>
      <c r="H485" t="str">
        <f>_xlfn.XLOOKUP(G485,SM[Employee ID],SM[Salesperson])</f>
        <v>Karan Malhotra</v>
      </c>
      <c r="I485" t="str">
        <f>_xlfn.XLOOKUP(G485,SM[Employee ID],SM[Region])</f>
        <v>East</v>
      </c>
      <c r="J485" t="str">
        <f>_xlfn.XLOOKUP(G485,SM[Employee ID],SM[State/City])</f>
        <v>Kolkata</v>
      </c>
      <c r="K485" s="2">
        <f>_xlfn.XLOOKUP(Sales7[[#This Row],[Order ID]],ST[Order ID],ST[Units Sold])</f>
        <v>1</v>
      </c>
      <c r="L485">
        <f t="shared" si="7"/>
        <v>11010</v>
      </c>
    </row>
    <row r="486" spans="1:12" x14ac:dyDescent="0.35">
      <c r="A486" s="7">
        <v>1475</v>
      </c>
      <c r="B486" s="1">
        <v>45436</v>
      </c>
      <c r="C486" s="2" t="s">
        <v>11</v>
      </c>
      <c r="D486" t="str">
        <f>_xlfn.XLOOKUP(Merged_Sales_Data!C486,PM[Product ID],PM[Product Name])</f>
        <v>Bluetooth Speaker</v>
      </c>
      <c r="E486" t="str">
        <f>VLOOKUP(C486,PM[],3,FALSE)</f>
        <v>Electronics</v>
      </c>
      <c r="F486">
        <f>_xlfn.XLOOKUP(C486,PM[Product ID],PM[Unit Price (₹)])</f>
        <v>1430</v>
      </c>
      <c r="G486" t="str">
        <f>_xlfn.XLOOKUP(Sales7[[#This Row],[Order ID]],ST[Order ID],ST[Employee ID])</f>
        <v>E04</v>
      </c>
      <c r="H486" t="str">
        <f>_xlfn.XLOOKUP(G486,SM[Employee ID],SM[Salesperson])</f>
        <v>Priya Nair</v>
      </c>
      <c r="I486" t="str">
        <f>_xlfn.XLOOKUP(G486,SM[Employee ID],SM[Region])</f>
        <v>South</v>
      </c>
      <c r="J486" t="str">
        <f>_xlfn.XLOOKUP(G486,SM[Employee ID],SM[State/City])</f>
        <v>Bengaluru</v>
      </c>
      <c r="K486" s="2">
        <f>_xlfn.XLOOKUP(Sales7[[#This Row],[Order ID]],ST[Order ID],ST[Units Sold])</f>
        <v>1</v>
      </c>
      <c r="L486">
        <f t="shared" si="7"/>
        <v>1430</v>
      </c>
    </row>
    <row r="487" spans="1:12" x14ac:dyDescent="0.35">
      <c r="A487" s="7">
        <v>1472</v>
      </c>
      <c r="B487" s="1">
        <v>45437</v>
      </c>
      <c r="C487" s="2" t="s">
        <v>12</v>
      </c>
      <c r="D487" t="str">
        <f>_xlfn.XLOOKUP(Merged_Sales_Data!C487,PM[Product ID],PM[Product Name])</f>
        <v>Bookshelf Unit</v>
      </c>
      <c r="E487" t="str">
        <f>VLOOKUP(C487,PM[],3,FALSE)</f>
        <v>Furniture</v>
      </c>
      <c r="F487">
        <f>_xlfn.XLOOKUP(C487,PM[Product ID],PM[Unit Price (₹)])</f>
        <v>3910</v>
      </c>
      <c r="G487" t="str">
        <f>_xlfn.XLOOKUP(Sales7[[#This Row],[Order ID]],ST[Order ID],ST[Employee ID])</f>
        <v>E06</v>
      </c>
      <c r="H487" t="str">
        <f>_xlfn.XLOOKUP(G487,SM[Employee ID],SM[Salesperson])</f>
        <v>Sneha Roy</v>
      </c>
      <c r="I487" t="str">
        <f>_xlfn.XLOOKUP(G487,SM[Employee ID],SM[Region])</f>
        <v>East</v>
      </c>
      <c r="J487" t="str">
        <f>_xlfn.XLOOKUP(G487,SM[Employee ID],SM[State/City])</f>
        <v>Kolkata</v>
      </c>
      <c r="K487" s="2">
        <f>_xlfn.XLOOKUP(Sales7[[#This Row],[Order ID]],ST[Order ID],ST[Units Sold])</f>
        <v>5</v>
      </c>
      <c r="L487">
        <f t="shared" si="7"/>
        <v>19550</v>
      </c>
    </row>
    <row r="488" spans="1:12" x14ac:dyDescent="0.35">
      <c r="A488" s="7">
        <v>1489</v>
      </c>
      <c r="B488" s="1">
        <v>45437</v>
      </c>
      <c r="C488" s="2" t="s">
        <v>8</v>
      </c>
      <c r="D488" t="str">
        <f>_xlfn.XLOOKUP(Merged_Sales_Data!C488,PM[Product ID],PM[Product Name])</f>
        <v>USB-C Hub</v>
      </c>
      <c r="E488" t="str">
        <f>VLOOKUP(C488,PM[],3,FALSE)</f>
        <v>Accessories</v>
      </c>
      <c r="F488">
        <f>_xlfn.XLOOKUP(C488,PM[Product ID],PM[Unit Price (₹)])</f>
        <v>880</v>
      </c>
      <c r="G488" t="str">
        <f>_xlfn.XLOOKUP(Sales7[[#This Row],[Order ID]],ST[Order ID],ST[Employee ID])</f>
        <v>E08</v>
      </c>
      <c r="H488" t="str">
        <f>_xlfn.XLOOKUP(G488,SM[Employee ID],SM[Salesperson])</f>
        <v>Neha Joshi</v>
      </c>
      <c r="I488" t="str">
        <f>_xlfn.XLOOKUP(G488,SM[Employee ID],SM[Region])</f>
        <v>West</v>
      </c>
      <c r="J488" t="str">
        <f>_xlfn.XLOOKUP(G488,SM[Employee ID],SM[State/City])</f>
        <v>Ahmedabad</v>
      </c>
      <c r="K488" s="2">
        <f>_xlfn.XLOOKUP(Sales7[[#This Row],[Order ID]],ST[Order ID],ST[Units Sold])</f>
        <v>4</v>
      </c>
      <c r="L488">
        <f t="shared" si="7"/>
        <v>3520</v>
      </c>
    </row>
    <row r="489" spans="1:12" x14ac:dyDescent="0.35">
      <c r="A489" s="7">
        <v>1467</v>
      </c>
      <c r="B489" s="1">
        <v>45438</v>
      </c>
      <c r="C489" s="2" t="s">
        <v>12</v>
      </c>
      <c r="D489" t="str">
        <f>_xlfn.XLOOKUP(Merged_Sales_Data!C489,PM[Product ID],PM[Product Name])</f>
        <v>Bookshelf Unit</v>
      </c>
      <c r="E489" t="str">
        <f>VLOOKUP(C489,PM[],3,FALSE)</f>
        <v>Furniture</v>
      </c>
      <c r="F489">
        <f>_xlfn.XLOOKUP(C489,PM[Product ID],PM[Unit Price (₹)])</f>
        <v>3910</v>
      </c>
      <c r="G489" t="str">
        <f>_xlfn.XLOOKUP(Sales7[[#This Row],[Order ID]],ST[Order ID],ST[Employee ID])</f>
        <v>E07</v>
      </c>
      <c r="H489" t="str">
        <f>_xlfn.XLOOKUP(G489,SM[Employee ID],SM[Salesperson])</f>
        <v>Aditya Kapoor</v>
      </c>
      <c r="I489" t="str">
        <f>_xlfn.XLOOKUP(G489,SM[Employee ID],SM[Region])</f>
        <v>West</v>
      </c>
      <c r="J489" t="str">
        <f>_xlfn.XLOOKUP(G489,SM[Employee ID],SM[State/City])</f>
        <v>Mumbai</v>
      </c>
      <c r="K489" s="2">
        <f>_xlfn.XLOOKUP(Sales7[[#This Row],[Order ID]],ST[Order ID],ST[Units Sold])</f>
        <v>6</v>
      </c>
      <c r="L489">
        <f t="shared" si="7"/>
        <v>23460</v>
      </c>
    </row>
    <row r="490" spans="1:12" x14ac:dyDescent="0.35">
      <c r="A490" s="7">
        <v>1468</v>
      </c>
      <c r="B490" s="1">
        <v>45440</v>
      </c>
      <c r="C490" s="2" t="s">
        <v>21</v>
      </c>
      <c r="D490" t="str">
        <f>_xlfn.XLOOKUP(Merged_Sales_Data!C490,PM[Product ID],PM[Product Name])</f>
        <v>Wireless Mouse</v>
      </c>
      <c r="E490" t="str">
        <f>VLOOKUP(C490,PM[],3,FALSE)</f>
        <v>Electronics</v>
      </c>
      <c r="F490">
        <f>_xlfn.XLOOKUP(C490,PM[Product ID],PM[Unit Price (₹)])</f>
        <v>780</v>
      </c>
      <c r="G490" t="str">
        <f>_xlfn.XLOOKUP(Sales7[[#This Row],[Order ID]],ST[Order ID],ST[Employee ID])</f>
        <v>E03</v>
      </c>
      <c r="H490" t="str">
        <f>_xlfn.XLOOKUP(G490,SM[Employee ID],SM[Salesperson])</f>
        <v>Rohan Mehta</v>
      </c>
      <c r="I490" t="str">
        <f>_xlfn.XLOOKUP(G490,SM[Employee ID],SM[Region])</f>
        <v>South</v>
      </c>
      <c r="J490" t="str">
        <f>_xlfn.XLOOKUP(G490,SM[Employee ID],SM[State/City])</f>
        <v>Bengaluru</v>
      </c>
      <c r="K490" s="2">
        <f>_xlfn.XLOOKUP(Sales7[[#This Row],[Order ID]],ST[Order ID],ST[Units Sold])</f>
        <v>1</v>
      </c>
      <c r="L490">
        <f t="shared" si="7"/>
        <v>780</v>
      </c>
    </row>
    <row r="491" spans="1:12" x14ac:dyDescent="0.35">
      <c r="A491" s="7">
        <v>1480</v>
      </c>
      <c r="B491" s="1">
        <v>45441</v>
      </c>
      <c r="C491" s="2" t="s">
        <v>14</v>
      </c>
      <c r="D491" t="str">
        <f>_xlfn.XLOOKUP(Merged_Sales_Data!C491,PM[Product ID],PM[Product Name])</f>
        <v>Laptop Backpack</v>
      </c>
      <c r="E491" t="str">
        <f>VLOOKUP(C491,PM[],3,FALSE)</f>
        <v>Accessories</v>
      </c>
      <c r="F491">
        <f>_xlfn.XLOOKUP(C491,PM[Product ID],PM[Unit Price (₹)])</f>
        <v>1110</v>
      </c>
      <c r="G491" t="str">
        <f>_xlfn.XLOOKUP(Sales7[[#This Row],[Order ID]],ST[Order ID],ST[Employee ID])</f>
        <v>E02</v>
      </c>
      <c r="H491" t="str">
        <f>_xlfn.XLOOKUP(G491,SM[Employee ID],SM[Salesperson])</f>
        <v>Ishita Verma</v>
      </c>
      <c r="I491" t="str">
        <f>_xlfn.XLOOKUP(G491,SM[Employee ID],SM[Region])</f>
        <v>North</v>
      </c>
      <c r="J491" t="str">
        <f>_xlfn.XLOOKUP(G491,SM[Employee ID],SM[State/City])</f>
        <v>Chandigarh</v>
      </c>
      <c r="K491" s="2">
        <f>_xlfn.XLOOKUP(Sales7[[#This Row],[Order ID]],ST[Order ID],ST[Units Sold])</f>
        <v>1</v>
      </c>
      <c r="L491">
        <f t="shared" si="7"/>
        <v>1110</v>
      </c>
    </row>
    <row r="492" spans="1:12" x14ac:dyDescent="0.35">
      <c r="A492" s="7">
        <v>1481</v>
      </c>
      <c r="B492" s="1">
        <v>45443</v>
      </c>
      <c r="C492" s="2" t="s">
        <v>11</v>
      </c>
      <c r="D492" t="str">
        <f>_xlfn.XLOOKUP(Merged_Sales_Data!C492,PM[Product ID],PM[Product Name])</f>
        <v>Bluetooth Speaker</v>
      </c>
      <c r="E492" t="str">
        <f>VLOOKUP(C492,PM[],3,FALSE)</f>
        <v>Electronics</v>
      </c>
      <c r="F492">
        <f>_xlfn.XLOOKUP(C492,PM[Product ID],PM[Unit Price (₹)])</f>
        <v>1430</v>
      </c>
      <c r="G492" t="str">
        <f>_xlfn.XLOOKUP(Sales7[[#This Row],[Order ID]],ST[Order ID],ST[Employee ID])</f>
        <v>E08</v>
      </c>
      <c r="H492" t="str">
        <f>_xlfn.XLOOKUP(G492,SM[Employee ID],SM[Salesperson])</f>
        <v>Neha Joshi</v>
      </c>
      <c r="I492" t="str">
        <f>_xlfn.XLOOKUP(G492,SM[Employee ID],SM[Region])</f>
        <v>West</v>
      </c>
      <c r="J492" t="str">
        <f>_xlfn.XLOOKUP(G492,SM[Employee ID],SM[State/City])</f>
        <v>Ahmedabad</v>
      </c>
      <c r="K492" s="2">
        <f>_xlfn.XLOOKUP(Sales7[[#This Row],[Order ID]],ST[Order ID],ST[Units Sold])</f>
        <v>10</v>
      </c>
      <c r="L492">
        <f t="shared" si="7"/>
        <v>14300</v>
      </c>
    </row>
    <row r="493" spans="1:12" x14ac:dyDescent="0.35">
      <c r="A493" s="7">
        <v>1517</v>
      </c>
      <c r="B493" s="1">
        <v>45444</v>
      </c>
      <c r="C493" s="2" t="s">
        <v>20</v>
      </c>
      <c r="D493" t="str">
        <f>_xlfn.XLOOKUP(Merged_Sales_Data!C493,PM[Product ID],PM[Product Name])</f>
        <v>Standing Desk</v>
      </c>
      <c r="E493" t="str">
        <f>VLOOKUP(C493,PM[],3,FALSE)</f>
        <v>Office Supplies</v>
      </c>
      <c r="F493">
        <f>_xlfn.XLOOKUP(C493,PM[Product ID],PM[Unit Price (₹)])</f>
        <v>11010</v>
      </c>
      <c r="G493" t="str">
        <f>_xlfn.XLOOKUP(Sales7[[#This Row],[Order ID]],ST[Order ID],ST[Employee ID])</f>
        <v>E08</v>
      </c>
      <c r="H493" t="str">
        <f>_xlfn.XLOOKUP(G493,SM[Employee ID],SM[Salesperson])</f>
        <v>Neha Joshi</v>
      </c>
      <c r="I493" t="str">
        <f>_xlfn.XLOOKUP(G493,SM[Employee ID],SM[Region])</f>
        <v>West</v>
      </c>
      <c r="J493" t="str">
        <f>_xlfn.XLOOKUP(G493,SM[Employee ID],SM[State/City])</f>
        <v>Ahmedabad</v>
      </c>
      <c r="K493" s="2">
        <f>_xlfn.XLOOKUP(Sales7[[#This Row],[Order ID]],ST[Order ID],ST[Units Sold])</f>
        <v>5</v>
      </c>
      <c r="L493">
        <f t="shared" si="7"/>
        <v>55050</v>
      </c>
    </row>
    <row r="494" spans="1:12" x14ac:dyDescent="0.35">
      <c r="A494" s="7">
        <v>1521</v>
      </c>
      <c r="B494" s="1">
        <v>45444</v>
      </c>
      <c r="C494" s="2" t="s">
        <v>20</v>
      </c>
      <c r="D494" t="str">
        <f>_xlfn.XLOOKUP(Merged_Sales_Data!C494,PM[Product ID],PM[Product Name])</f>
        <v>Standing Desk</v>
      </c>
      <c r="E494" t="str">
        <f>VLOOKUP(C494,PM[],3,FALSE)</f>
        <v>Office Supplies</v>
      </c>
      <c r="F494">
        <f>_xlfn.XLOOKUP(C494,PM[Product ID],PM[Unit Price (₹)])</f>
        <v>11010</v>
      </c>
      <c r="G494" t="str">
        <f>_xlfn.XLOOKUP(Sales7[[#This Row],[Order ID]],ST[Order ID],ST[Employee ID])</f>
        <v>E08</v>
      </c>
      <c r="H494" t="str">
        <f>_xlfn.XLOOKUP(G494,SM[Employee ID],SM[Salesperson])</f>
        <v>Neha Joshi</v>
      </c>
      <c r="I494" t="str">
        <f>_xlfn.XLOOKUP(G494,SM[Employee ID],SM[Region])</f>
        <v>West</v>
      </c>
      <c r="J494" t="str">
        <f>_xlfn.XLOOKUP(G494,SM[Employee ID],SM[State/City])</f>
        <v>Ahmedabad</v>
      </c>
      <c r="K494" s="2">
        <f>_xlfn.XLOOKUP(Sales7[[#This Row],[Order ID]],ST[Order ID],ST[Units Sold])</f>
        <v>6</v>
      </c>
      <c r="L494">
        <f t="shared" si="7"/>
        <v>66060</v>
      </c>
    </row>
    <row r="495" spans="1:12" x14ac:dyDescent="0.35">
      <c r="A495" s="7">
        <v>1501</v>
      </c>
      <c r="B495" s="1">
        <v>45446</v>
      </c>
      <c r="C495" s="2" t="s">
        <v>21</v>
      </c>
      <c r="D495" t="str">
        <f>_xlfn.XLOOKUP(Merged_Sales_Data!C495,PM[Product ID],PM[Product Name])</f>
        <v>Wireless Mouse</v>
      </c>
      <c r="E495" t="str">
        <f>VLOOKUP(C495,PM[],3,FALSE)</f>
        <v>Electronics</v>
      </c>
      <c r="F495">
        <f>_xlfn.XLOOKUP(C495,PM[Product ID],PM[Unit Price (₹)])</f>
        <v>780</v>
      </c>
      <c r="G495" t="str">
        <f>_xlfn.XLOOKUP(Sales7[[#This Row],[Order ID]],ST[Order ID],ST[Employee ID])</f>
        <v>E06</v>
      </c>
      <c r="H495" t="str">
        <f>_xlfn.XLOOKUP(G495,SM[Employee ID],SM[Salesperson])</f>
        <v>Sneha Roy</v>
      </c>
      <c r="I495" t="str">
        <f>_xlfn.XLOOKUP(G495,SM[Employee ID],SM[Region])</f>
        <v>East</v>
      </c>
      <c r="J495" t="str">
        <f>_xlfn.XLOOKUP(G495,SM[Employee ID],SM[State/City])</f>
        <v>Kolkata</v>
      </c>
      <c r="K495" s="2">
        <f>_xlfn.XLOOKUP(Sales7[[#This Row],[Order ID]],ST[Order ID],ST[Units Sold])</f>
        <v>1</v>
      </c>
      <c r="L495">
        <f t="shared" si="7"/>
        <v>780</v>
      </c>
    </row>
    <row r="496" spans="1:12" x14ac:dyDescent="0.35">
      <c r="A496" s="7">
        <v>1505</v>
      </c>
      <c r="B496" s="1">
        <v>45446</v>
      </c>
      <c r="C496" s="2" t="s">
        <v>20</v>
      </c>
      <c r="D496" t="str">
        <f>_xlfn.XLOOKUP(Merged_Sales_Data!C496,PM[Product ID],PM[Product Name])</f>
        <v>Standing Desk</v>
      </c>
      <c r="E496" t="str">
        <f>VLOOKUP(C496,PM[],3,FALSE)</f>
        <v>Office Supplies</v>
      </c>
      <c r="F496">
        <f>_xlfn.XLOOKUP(C496,PM[Product ID],PM[Unit Price (₹)])</f>
        <v>11010</v>
      </c>
      <c r="G496" t="str">
        <f>_xlfn.XLOOKUP(Sales7[[#This Row],[Order ID]],ST[Order ID],ST[Employee ID])</f>
        <v>E07</v>
      </c>
      <c r="H496" t="str">
        <f>_xlfn.XLOOKUP(G496,SM[Employee ID],SM[Salesperson])</f>
        <v>Aditya Kapoor</v>
      </c>
      <c r="I496" t="str">
        <f>_xlfn.XLOOKUP(G496,SM[Employee ID],SM[Region])</f>
        <v>West</v>
      </c>
      <c r="J496" t="str">
        <f>_xlfn.XLOOKUP(G496,SM[Employee ID],SM[State/City])</f>
        <v>Mumbai</v>
      </c>
      <c r="K496" s="2">
        <f>_xlfn.XLOOKUP(Sales7[[#This Row],[Order ID]],ST[Order ID],ST[Units Sold])</f>
        <v>5</v>
      </c>
      <c r="L496">
        <f t="shared" si="7"/>
        <v>55050</v>
      </c>
    </row>
    <row r="497" spans="1:12" x14ac:dyDescent="0.35">
      <c r="A497" s="7">
        <v>1510</v>
      </c>
      <c r="B497" s="1">
        <v>45447</v>
      </c>
      <c r="C497" s="2" t="s">
        <v>8</v>
      </c>
      <c r="D497" t="str">
        <f>_xlfn.XLOOKUP(Merged_Sales_Data!C497,PM[Product ID],PM[Product Name])</f>
        <v>USB-C Hub</v>
      </c>
      <c r="E497" t="str">
        <f>VLOOKUP(C497,PM[],3,FALSE)</f>
        <v>Accessories</v>
      </c>
      <c r="F497">
        <f>_xlfn.XLOOKUP(C497,PM[Product ID],PM[Unit Price (₹)])</f>
        <v>880</v>
      </c>
      <c r="G497" t="str">
        <f>_xlfn.XLOOKUP(Sales7[[#This Row],[Order ID]],ST[Order ID],ST[Employee ID])</f>
        <v>E06</v>
      </c>
      <c r="H497" t="str">
        <f>_xlfn.XLOOKUP(G497,SM[Employee ID],SM[Salesperson])</f>
        <v>Sneha Roy</v>
      </c>
      <c r="I497" t="str">
        <f>_xlfn.XLOOKUP(G497,SM[Employee ID],SM[Region])</f>
        <v>East</v>
      </c>
      <c r="J497" t="str">
        <f>_xlfn.XLOOKUP(G497,SM[Employee ID],SM[State/City])</f>
        <v>Kolkata</v>
      </c>
      <c r="K497" s="2">
        <f>_xlfn.XLOOKUP(Sales7[[#This Row],[Order ID]],ST[Order ID],ST[Units Sold])</f>
        <v>6</v>
      </c>
      <c r="L497">
        <f t="shared" si="7"/>
        <v>5280</v>
      </c>
    </row>
    <row r="498" spans="1:12" x14ac:dyDescent="0.35">
      <c r="A498" s="7">
        <v>1511</v>
      </c>
      <c r="B498" s="1">
        <v>45447</v>
      </c>
      <c r="C498" s="2" t="s">
        <v>5</v>
      </c>
      <c r="D498" t="str">
        <f>_xlfn.XLOOKUP(Merged_Sales_Data!C498,PM[Product ID],PM[Product Name])</f>
        <v>Ergo Office Chair</v>
      </c>
      <c r="E498" t="str">
        <f>VLOOKUP(C498,PM[],3,FALSE)</f>
        <v>Office Supplies</v>
      </c>
      <c r="F498">
        <f>_xlfn.XLOOKUP(C498,PM[Product ID],PM[Unit Price (₹)])</f>
        <v>6750</v>
      </c>
      <c r="G498" t="str">
        <f>_xlfn.XLOOKUP(Sales7[[#This Row],[Order ID]],ST[Order ID],ST[Employee ID])</f>
        <v>E06</v>
      </c>
      <c r="H498" t="str">
        <f>_xlfn.XLOOKUP(G498,SM[Employee ID],SM[Salesperson])</f>
        <v>Sneha Roy</v>
      </c>
      <c r="I498" t="str">
        <f>_xlfn.XLOOKUP(G498,SM[Employee ID],SM[Region])</f>
        <v>East</v>
      </c>
      <c r="J498" t="str">
        <f>_xlfn.XLOOKUP(G498,SM[Employee ID],SM[State/City])</f>
        <v>Kolkata</v>
      </c>
      <c r="K498" s="2">
        <f>_xlfn.XLOOKUP(Sales7[[#This Row],[Order ID]],ST[Order ID],ST[Units Sold])</f>
        <v>5</v>
      </c>
      <c r="L498">
        <f t="shared" si="7"/>
        <v>33750</v>
      </c>
    </row>
    <row r="499" spans="1:12" x14ac:dyDescent="0.35">
      <c r="A499" s="7">
        <v>1494</v>
      </c>
      <c r="B499" s="1">
        <v>45448</v>
      </c>
      <c r="C499" s="2" t="s">
        <v>11</v>
      </c>
      <c r="D499" t="str">
        <f>_xlfn.XLOOKUP(Merged_Sales_Data!C499,PM[Product ID],PM[Product Name])</f>
        <v>Bluetooth Speaker</v>
      </c>
      <c r="E499" t="str">
        <f>VLOOKUP(C499,PM[],3,FALSE)</f>
        <v>Electronics</v>
      </c>
      <c r="F499">
        <f>_xlfn.XLOOKUP(C499,PM[Product ID],PM[Unit Price (₹)])</f>
        <v>1430</v>
      </c>
      <c r="G499" t="str">
        <f>_xlfn.XLOOKUP(Sales7[[#This Row],[Order ID]],ST[Order ID],ST[Employee ID])</f>
        <v>E01</v>
      </c>
      <c r="H499" t="str">
        <f>_xlfn.XLOOKUP(G499,SM[Employee ID],SM[Salesperson])</f>
        <v>Aarav Sharma</v>
      </c>
      <c r="I499" t="str">
        <f>_xlfn.XLOOKUP(G499,SM[Employee ID],SM[Region])</f>
        <v>North</v>
      </c>
      <c r="J499" t="str">
        <f>_xlfn.XLOOKUP(G499,SM[Employee ID],SM[State/City])</f>
        <v>Lucknow</v>
      </c>
      <c r="K499" s="2">
        <f>_xlfn.XLOOKUP(Sales7[[#This Row],[Order ID]],ST[Order ID],ST[Units Sold])</f>
        <v>6</v>
      </c>
      <c r="L499">
        <f t="shared" si="7"/>
        <v>8580</v>
      </c>
    </row>
    <row r="500" spans="1:12" x14ac:dyDescent="0.35">
      <c r="A500" s="7">
        <v>1512</v>
      </c>
      <c r="B500" s="1">
        <v>45448</v>
      </c>
      <c r="C500" s="2" t="s">
        <v>14</v>
      </c>
      <c r="D500" t="str">
        <f>_xlfn.XLOOKUP(Merged_Sales_Data!C500,PM[Product ID],PM[Product Name])</f>
        <v>Laptop Backpack</v>
      </c>
      <c r="E500" t="str">
        <f>VLOOKUP(C500,PM[],3,FALSE)</f>
        <v>Accessories</v>
      </c>
      <c r="F500">
        <f>_xlfn.XLOOKUP(C500,PM[Product ID],PM[Unit Price (₹)])</f>
        <v>1110</v>
      </c>
      <c r="G500" t="str">
        <f>_xlfn.XLOOKUP(Sales7[[#This Row],[Order ID]],ST[Order ID],ST[Employee ID])</f>
        <v>E05</v>
      </c>
      <c r="H500" t="str">
        <f>_xlfn.XLOOKUP(G500,SM[Employee ID],SM[Salesperson])</f>
        <v>Karan Malhotra</v>
      </c>
      <c r="I500" t="str">
        <f>_xlfn.XLOOKUP(G500,SM[Employee ID],SM[Region])</f>
        <v>East</v>
      </c>
      <c r="J500" t="str">
        <f>_xlfn.XLOOKUP(G500,SM[Employee ID],SM[State/City])</f>
        <v>Kolkata</v>
      </c>
      <c r="K500" s="2">
        <f>_xlfn.XLOOKUP(Sales7[[#This Row],[Order ID]],ST[Order ID],ST[Units Sold])</f>
        <v>2</v>
      </c>
      <c r="L500">
        <f t="shared" si="7"/>
        <v>2220</v>
      </c>
    </row>
    <row r="501" spans="1:12" x14ac:dyDescent="0.35">
      <c r="A501" s="7">
        <v>1499</v>
      </c>
      <c r="B501" s="1">
        <v>45449</v>
      </c>
      <c r="C501" s="2" t="s">
        <v>8</v>
      </c>
      <c r="D501" t="str">
        <f>_xlfn.XLOOKUP(Merged_Sales_Data!C501,PM[Product ID],PM[Product Name])</f>
        <v>USB-C Hub</v>
      </c>
      <c r="E501" t="str">
        <f>VLOOKUP(C501,PM[],3,FALSE)</f>
        <v>Accessories</v>
      </c>
      <c r="F501">
        <f>_xlfn.XLOOKUP(C501,PM[Product ID],PM[Unit Price (₹)])</f>
        <v>880</v>
      </c>
      <c r="G501" t="str">
        <f>_xlfn.XLOOKUP(Sales7[[#This Row],[Order ID]],ST[Order ID],ST[Employee ID])</f>
        <v>E02</v>
      </c>
      <c r="H501" t="str">
        <f>_xlfn.XLOOKUP(G501,SM[Employee ID],SM[Salesperson])</f>
        <v>Ishita Verma</v>
      </c>
      <c r="I501" t="str">
        <f>_xlfn.XLOOKUP(G501,SM[Employee ID],SM[Region])</f>
        <v>North</v>
      </c>
      <c r="J501" t="str">
        <f>_xlfn.XLOOKUP(G501,SM[Employee ID],SM[State/City])</f>
        <v>Chandigarh</v>
      </c>
      <c r="K501" s="2">
        <f>_xlfn.XLOOKUP(Sales7[[#This Row],[Order ID]],ST[Order ID],ST[Units Sold])</f>
        <v>10</v>
      </c>
      <c r="L501">
        <f t="shared" si="7"/>
        <v>8800</v>
      </c>
    </row>
    <row r="502" spans="1:12" x14ac:dyDescent="0.35">
      <c r="A502" s="7">
        <v>1497</v>
      </c>
      <c r="B502" s="1">
        <v>45450</v>
      </c>
      <c r="C502" s="2" t="s">
        <v>11</v>
      </c>
      <c r="D502" t="str">
        <f>_xlfn.XLOOKUP(Merged_Sales_Data!C502,PM[Product ID],PM[Product Name])</f>
        <v>Bluetooth Speaker</v>
      </c>
      <c r="E502" t="str">
        <f>VLOOKUP(C502,PM[],3,FALSE)</f>
        <v>Electronics</v>
      </c>
      <c r="F502">
        <f>_xlfn.XLOOKUP(C502,PM[Product ID],PM[Unit Price (₹)])</f>
        <v>1430</v>
      </c>
      <c r="G502" t="str">
        <f>_xlfn.XLOOKUP(Sales7[[#This Row],[Order ID]],ST[Order ID],ST[Employee ID])</f>
        <v>E05</v>
      </c>
      <c r="H502" t="str">
        <f>_xlfn.XLOOKUP(G502,SM[Employee ID],SM[Salesperson])</f>
        <v>Karan Malhotra</v>
      </c>
      <c r="I502" t="str">
        <f>_xlfn.XLOOKUP(G502,SM[Employee ID],SM[Region])</f>
        <v>East</v>
      </c>
      <c r="J502" t="str">
        <f>_xlfn.XLOOKUP(G502,SM[Employee ID],SM[State/City])</f>
        <v>Kolkata</v>
      </c>
      <c r="K502" s="2">
        <f>_xlfn.XLOOKUP(Sales7[[#This Row],[Order ID]],ST[Order ID],ST[Units Sold])</f>
        <v>2</v>
      </c>
      <c r="L502">
        <f t="shared" si="7"/>
        <v>2860</v>
      </c>
    </row>
    <row r="503" spans="1:12" x14ac:dyDescent="0.35">
      <c r="A503" s="7">
        <v>1502</v>
      </c>
      <c r="B503" s="1">
        <v>45450</v>
      </c>
      <c r="C503" s="2" t="s">
        <v>20</v>
      </c>
      <c r="D503" t="str">
        <f>_xlfn.XLOOKUP(Merged_Sales_Data!C503,PM[Product ID],PM[Product Name])</f>
        <v>Standing Desk</v>
      </c>
      <c r="E503" t="str">
        <f>VLOOKUP(C503,PM[],3,FALSE)</f>
        <v>Office Supplies</v>
      </c>
      <c r="F503">
        <f>_xlfn.XLOOKUP(C503,PM[Product ID],PM[Unit Price (₹)])</f>
        <v>11010</v>
      </c>
      <c r="G503" t="str">
        <f>_xlfn.XLOOKUP(Sales7[[#This Row],[Order ID]],ST[Order ID],ST[Employee ID])</f>
        <v>E01</v>
      </c>
      <c r="H503" t="str">
        <f>_xlfn.XLOOKUP(G503,SM[Employee ID],SM[Salesperson])</f>
        <v>Aarav Sharma</v>
      </c>
      <c r="I503" t="str">
        <f>_xlfn.XLOOKUP(G503,SM[Employee ID],SM[Region])</f>
        <v>North</v>
      </c>
      <c r="J503" t="str">
        <f>_xlfn.XLOOKUP(G503,SM[Employee ID],SM[State/City])</f>
        <v>Lucknow</v>
      </c>
      <c r="K503" s="2">
        <f>_xlfn.XLOOKUP(Sales7[[#This Row],[Order ID]],ST[Order ID],ST[Units Sold])</f>
        <v>10</v>
      </c>
      <c r="L503">
        <f t="shared" si="7"/>
        <v>110100</v>
      </c>
    </row>
    <row r="504" spans="1:12" x14ac:dyDescent="0.35">
      <c r="A504" s="7">
        <v>1504</v>
      </c>
      <c r="B504" s="1">
        <v>45451</v>
      </c>
      <c r="C504" s="2" t="s">
        <v>20</v>
      </c>
      <c r="D504" t="str">
        <f>_xlfn.XLOOKUP(Merged_Sales_Data!C504,PM[Product ID],PM[Product Name])</f>
        <v>Standing Desk</v>
      </c>
      <c r="E504" t="str">
        <f>VLOOKUP(C504,PM[],3,FALSE)</f>
        <v>Office Supplies</v>
      </c>
      <c r="F504">
        <f>_xlfn.XLOOKUP(C504,PM[Product ID],PM[Unit Price (₹)])</f>
        <v>11010</v>
      </c>
      <c r="G504" t="str">
        <f>_xlfn.XLOOKUP(Sales7[[#This Row],[Order ID]],ST[Order ID],ST[Employee ID])</f>
        <v>E05</v>
      </c>
      <c r="H504" t="str">
        <f>_xlfn.XLOOKUP(G504,SM[Employee ID],SM[Salesperson])</f>
        <v>Karan Malhotra</v>
      </c>
      <c r="I504" t="str">
        <f>_xlfn.XLOOKUP(G504,SM[Employee ID],SM[Region])</f>
        <v>East</v>
      </c>
      <c r="J504" t="str">
        <f>_xlfn.XLOOKUP(G504,SM[Employee ID],SM[State/City])</f>
        <v>Kolkata</v>
      </c>
      <c r="K504" s="2">
        <f>_xlfn.XLOOKUP(Sales7[[#This Row],[Order ID]],ST[Order ID],ST[Units Sold])</f>
        <v>5</v>
      </c>
      <c r="L504">
        <f t="shared" si="7"/>
        <v>55050</v>
      </c>
    </row>
    <row r="505" spans="1:12" x14ac:dyDescent="0.35">
      <c r="A505" s="7">
        <v>1498</v>
      </c>
      <c r="B505" s="1">
        <v>45453</v>
      </c>
      <c r="C505" s="2" t="s">
        <v>18</v>
      </c>
      <c r="D505" t="str">
        <f>_xlfn.XLOOKUP(Merged_Sales_Data!C505,PM[Product ID],PM[Product Name])</f>
        <v>LED Monitor 24"</v>
      </c>
      <c r="E505" t="str">
        <f>VLOOKUP(C505,PM[],3,FALSE)</f>
        <v>Electronics</v>
      </c>
      <c r="F505">
        <f>_xlfn.XLOOKUP(C505,PM[Product ID],PM[Unit Price (₹)])</f>
        <v>7700</v>
      </c>
      <c r="G505" t="str">
        <f>_xlfn.XLOOKUP(Sales7[[#This Row],[Order ID]],ST[Order ID],ST[Employee ID])</f>
        <v>E05</v>
      </c>
      <c r="H505" t="str">
        <f>_xlfn.XLOOKUP(G505,SM[Employee ID],SM[Salesperson])</f>
        <v>Karan Malhotra</v>
      </c>
      <c r="I505" t="str">
        <f>_xlfn.XLOOKUP(G505,SM[Employee ID],SM[Region])</f>
        <v>East</v>
      </c>
      <c r="J505" t="str">
        <f>_xlfn.XLOOKUP(G505,SM[Employee ID],SM[State/City])</f>
        <v>Kolkata</v>
      </c>
      <c r="K505" s="2">
        <f>_xlfn.XLOOKUP(Sales7[[#This Row],[Order ID]],ST[Order ID],ST[Units Sold])</f>
        <v>10</v>
      </c>
      <c r="L505">
        <f t="shared" si="7"/>
        <v>77000</v>
      </c>
    </row>
    <row r="506" spans="1:12" x14ac:dyDescent="0.35">
      <c r="A506" s="7">
        <v>1495</v>
      </c>
      <c r="B506" s="1">
        <v>45454</v>
      </c>
      <c r="C506" s="2" t="s">
        <v>18</v>
      </c>
      <c r="D506" t="str">
        <f>_xlfn.XLOOKUP(Merged_Sales_Data!C506,PM[Product ID],PM[Product Name])</f>
        <v>LED Monitor 24"</v>
      </c>
      <c r="E506" t="str">
        <f>VLOOKUP(C506,PM[],3,FALSE)</f>
        <v>Electronics</v>
      </c>
      <c r="F506">
        <f>_xlfn.XLOOKUP(C506,PM[Product ID],PM[Unit Price (₹)])</f>
        <v>7700</v>
      </c>
      <c r="G506" t="str">
        <f>_xlfn.XLOOKUP(Sales7[[#This Row],[Order ID]],ST[Order ID],ST[Employee ID])</f>
        <v>E05</v>
      </c>
      <c r="H506" t="str">
        <f>_xlfn.XLOOKUP(G506,SM[Employee ID],SM[Salesperson])</f>
        <v>Karan Malhotra</v>
      </c>
      <c r="I506" t="str">
        <f>_xlfn.XLOOKUP(G506,SM[Employee ID],SM[Region])</f>
        <v>East</v>
      </c>
      <c r="J506" t="str">
        <f>_xlfn.XLOOKUP(G506,SM[Employee ID],SM[State/City])</f>
        <v>Kolkata</v>
      </c>
      <c r="K506" s="2">
        <f>_xlfn.XLOOKUP(Sales7[[#This Row],[Order ID]],ST[Order ID],ST[Units Sold])</f>
        <v>1</v>
      </c>
      <c r="L506">
        <f t="shared" si="7"/>
        <v>7700</v>
      </c>
    </row>
    <row r="507" spans="1:12" x14ac:dyDescent="0.35">
      <c r="A507" s="7">
        <v>1507</v>
      </c>
      <c r="B507" s="1">
        <v>45454</v>
      </c>
      <c r="C507" s="2" t="s">
        <v>14</v>
      </c>
      <c r="D507" t="str">
        <f>_xlfn.XLOOKUP(Merged_Sales_Data!C507,PM[Product ID],PM[Product Name])</f>
        <v>Laptop Backpack</v>
      </c>
      <c r="E507" t="str">
        <f>VLOOKUP(C507,PM[],3,FALSE)</f>
        <v>Accessories</v>
      </c>
      <c r="F507">
        <f>_xlfn.XLOOKUP(C507,PM[Product ID],PM[Unit Price (₹)])</f>
        <v>1110</v>
      </c>
      <c r="G507" t="str">
        <f>_xlfn.XLOOKUP(Sales7[[#This Row],[Order ID]],ST[Order ID],ST[Employee ID])</f>
        <v>E08</v>
      </c>
      <c r="H507" t="str">
        <f>_xlfn.XLOOKUP(G507,SM[Employee ID],SM[Salesperson])</f>
        <v>Neha Joshi</v>
      </c>
      <c r="I507" t="str">
        <f>_xlfn.XLOOKUP(G507,SM[Employee ID],SM[Region])</f>
        <v>West</v>
      </c>
      <c r="J507" t="str">
        <f>_xlfn.XLOOKUP(G507,SM[Employee ID],SM[State/City])</f>
        <v>Ahmedabad</v>
      </c>
      <c r="K507" s="2">
        <f>_xlfn.XLOOKUP(Sales7[[#This Row],[Order ID]],ST[Order ID],ST[Units Sold])</f>
        <v>2</v>
      </c>
      <c r="L507">
        <f t="shared" si="7"/>
        <v>2220</v>
      </c>
    </row>
    <row r="508" spans="1:12" x14ac:dyDescent="0.35">
      <c r="A508" s="7">
        <v>1519</v>
      </c>
      <c r="B508" s="1">
        <v>45455</v>
      </c>
      <c r="C508" s="2" t="s">
        <v>5</v>
      </c>
      <c r="D508" t="str">
        <f>_xlfn.XLOOKUP(Merged_Sales_Data!C508,PM[Product ID],PM[Product Name])</f>
        <v>Ergo Office Chair</v>
      </c>
      <c r="E508" t="str">
        <f>VLOOKUP(C508,PM[],3,FALSE)</f>
        <v>Office Supplies</v>
      </c>
      <c r="F508">
        <f>_xlfn.XLOOKUP(C508,PM[Product ID],PM[Unit Price (₹)])</f>
        <v>6750</v>
      </c>
      <c r="G508" t="str">
        <f>_xlfn.XLOOKUP(Sales7[[#This Row],[Order ID]],ST[Order ID],ST[Employee ID])</f>
        <v>E04</v>
      </c>
      <c r="H508" t="str">
        <f>_xlfn.XLOOKUP(G508,SM[Employee ID],SM[Salesperson])</f>
        <v>Priya Nair</v>
      </c>
      <c r="I508" t="str">
        <f>_xlfn.XLOOKUP(G508,SM[Employee ID],SM[Region])</f>
        <v>South</v>
      </c>
      <c r="J508" t="str">
        <f>_xlfn.XLOOKUP(G508,SM[Employee ID],SM[State/City])</f>
        <v>Bengaluru</v>
      </c>
      <c r="K508" s="2">
        <f>_xlfn.XLOOKUP(Sales7[[#This Row],[Order ID]],ST[Order ID],ST[Units Sold])</f>
        <v>8</v>
      </c>
      <c r="L508">
        <f t="shared" si="7"/>
        <v>54000</v>
      </c>
    </row>
    <row r="509" spans="1:12" x14ac:dyDescent="0.35">
      <c r="A509" s="7">
        <v>1513</v>
      </c>
      <c r="B509" s="1">
        <v>45456</v>
      </c>
      <c r="C509" s="2" t="s">
        <v>21</v>
      </c>
      <c r="D509" t="str">
        <f>_xlfn.XLOOKUP(Merged_Sales_Data!C509,PM[Product ID],PM[Product Name])</f>
        <v>Wireless Mouse</v>
      </c>
      <c r="E509" t="str">
        <f>VLOOKUP(C509,PM[],3,FALSE)</f>
        <v>Electronics</v>
      </c>
      <c r="F509">
        <f>_xlfn.XLOOKUP(C509,PM[Product ID],PM[Unit Price (₹)])</f>
        <v>780</v>
      </c>
      <c r="G509" t="str">
        <f>_xlfn.XLOOKUP(Sales7[[#This Row],[Order ID]],ST[Order ID],ST[Employee ID])</f>
        <v>E02</v>
      </c>
      <c r="H509" t="str">
        <f>_xlfn.XLOOKUP(G509,SM[Employee ID],SM[Salesperson])</f>
        <v>Ishita Verma</v>
      </c>
      <c r="I509" t="str">
        <f>_xlfn.XLOOKUP(G509,SM[Employee ID],SM[Region])</f>
        <v>North</v>
      </c>
      <c r="J509" t="str">
        <f>_xlfn.XLOOKUP(G509,SM[Employee ID],SM[State/City])</f>
        <v>Chandigarh</v>
      </c>
      <c r="K509" s="2">
        <f>_xlfn.XLOOKUP(Sales7[[#This Row],[Order ID]],ST[Order ID],ST[Units Sold])</f>
        <v>2</v>
      </c>
      <c r="L509">
        <f t="shared" si="7"/>
        <v>1560</v>
      </c>
    </row>
    <row r="510" spans="1:12" x14ac:dyDescent="0.35">
      <c r="A510" s="7">
        <v>1506</v>
      </c>
      <c r="B510" s="1">
        <v>45457</v>
      </c>
      <c r="C510" s="2" t="s">
        <v>18</v>
      </c>
      <c r="D510" t="str">
        <f>_xlfn.XLOOKUP(Merged_Sales_Data!C510,PM[Product ID],PM[Product Name])</f>
        <v>LED Monitor 24"</v>
      </c>
      <c r="E510" t="str">
        <f>VLOOKUP(C510,PM[],3,FALSE)</f>
        <v>Electronics</v>
      </c>
      <c r="F510">
        <f>_xlfn.XLOOKUP(C510,PM[Product ID],PM[Unit Price (₹)])</f>
        <v>7700</v>
      </c>
      <c r="G510" t="str">
        <f>_xlfn.XLOOKUP(Sales7[[#This Row],[Order ID]],ST[Order ID],ST[Employee ID])</f>
        <v>E01</v>
      </c>
      <c r="H510" t="str">
        <f>_xlfn.XLOOKUP(G510,SM[Employee ID],SM[Salesperson])</f>
        <v>Aarav Sharma</v>
      </c>
      <c r="I510" t="str">
        <f>_xlfn.XLOOKUP(G510,SM[Employee ID],SM[Region])</f>
        <v>North</v>
      </c>
      <c r="J510" t="str">
        <f>_xlfn.XLOOKUP(G510,SM[Employee ID],SM[State/City])</f>
        <v>Lucknow</v>
      </c>
      <c r="K510" s="2">
        <f>_xlfn.XLOOKUP(Sales7[[#This Row],[Order ID]],ST[Order ID],ST[Units Sold])</f>
        <v>5</v>
      </c>
      <c r="L510">
        <f t="shared" si="7"/>
        <v>38500</v>
      </c>
    </row>
    <row r="511" spans="1:12" x14ac:dyDescent="0.35">
      <c r="A511" s="7">
        <v>1516</v>
      </c>
      <c r="B511" s="1">
        <v>45458</v>
      </c>
      <c r="C511" s="2" t="s">
        <v>14</v>
      </c>
      <c r="D511" t="str">
        <f>_xlfn.XLOOKUP(Merged_Sales_Data!C511,PM[Product ID],PM[Product Name])</f>
        <v>Laptop Backpack</v>
      </c>
      <c r="E511" t="str">
        <f>VLOOKUP(C511,PM[],3,FALSE)</f>
        <v>Accessories</v>
      </c>
      <c r="F511">
        <f>_xlfn.XLOOKUP(C511,PM[Product ID],PM[Unit Price (₹)])</f>
        <v>1110</v>
      </c>
      <c r="G511" t="str">
        <f>_xlfn.XLOOKUP(Sales7[[#This Row],[Order ID]],ST[Order ID],ST[Employee ID])</f>
        <v>E03</v>
      </c>
      <c r="H511" t="str">
        <f>_xlfn.XLOOKUP(G511,SM[Employee ID],SM[Salesperson])</f>
        <v>Rohan Mehta</v>
      </c>
      <c r="I511" t="str">
        <f>_xlfn.XLOOKUP(G511,SM[Employee ID],SM[Region])</f>
        <v>South</v>
      </c>
      <c r="J511" t="str">
        <f>_xlfn.XLOOKUP(G511,SM[Employee ID],SM[State/City])</f>
        <v>Bengaluru</v>
      </c>
      <c r="K511" s="2">
        <f>_xlfn.XLOOKUP(Sales7[[#This Row],[Order ID]],ST[Order ID],ST[Units Sold])</f>
        <v>6</v>
      </c>
      <c r="L511">
        <f t="shared" si="7"/>
        <v>6660</v>
      </c>
    </row>
    <row r="512" spans="1:12" x14ac:dyDescent="0.35">
      <c r="A512" s="7">
        <v>1518</v>
      </c>
      <c r="B512" s="1">
        <v>45458</v>
      </c>
      <c r="C512" s="2" t="s">
        <v>10</v>
      </c>
      <c r="D512" t="str">
        <f>_xlfn.XLOOKUP(Merged_Sales_Data!C512,PM[Product ID],PM[Product Name])</f>
        <v>Filing Cabinet</v>
      </c>
      <c r="E512" t="str">
        <f>VLOOKUP(C512,PM[],3,FALSE)</f>
        <v>Furniture</v>
      </c>
      <c r="F512">
        <f>_xlfn.XLOOKUP(C512,PM[Product ID],PM[Unit Price (₹)])</f>
        <v>4070</v>
      </c>
      <c r="G512" t="str">
        <f>_xlfn.XLOOKUP(Sales7[[#This Row],[Order ID]],ST[Order ID],ST[Employee ID])</f>
        <v>E02</v>
      </c>
      <c r="H512" t="str">
        <f>_xlfn.XLOOKUP(G512,SM[Employee ID],SM[Salesperson])</f>
        <v>Ishita Verma</v>
      </c>
      <c r="I512" t="str">
        <f>_xlfn.XLOOKUP(G512,SM[Employee ID],SM[Region])</f>
        <v>North</v>
      </c>
      <c r="J512" t="str">
        <f>_xlfn.XLOOKUP(G512,SM[Employee ID],SM[State/City])</f>
        <v>Chandigarh</v>
      </c>
      <c r="K512" s="2">
        <f>_xlfn.XLOOKUP(Sales7[[#This Row],[Order ID]],ST[Order ID],ST[Units Sold])</f>
        <v>6</v>
      </c>
      <c r="L512">
        <f t="shared" si="7"/>
        <v>24420</v>
      </c>
    </row>
    <row r="513" spans="1:12" x14ac:dyDescent="0.35">
      <c r="A513" s="7">
        <v>1520</v>
      </c>
      <c r="B513" s="1">
        <v>45459</v>
      </c>
      <c r="C513" s="2" t="s">
        <v>21</v>
      </c>
      <c r="D513" t="str">
        <f>_xlfn.XLOOKUP(Merged_Sales_Data!C513,PM[Product ID],PM[Product Name])</f>
        <v>Wireless Mouse</v>
      </c>
      <c r="E513" t="str">
        <f>VLOOKUP(C513,PM[],3,FALSE)</f>
        <v>Electronics</v>
      </c>
      <c r="F513">
        <f>_xlfn.XLOOKUP(C513,PM[Product ID],PM[Unit Price (₹)])</f>
        <v>780</v>
      </c>
      <c r="G513" t="str">
        <f>_xlfn.XLOOKUP(Sales7[[#This Row],[Order ID]],ST[Order ID],ST[Employee ID])</f>
        <v>E01</v>
      </c>
      <c r="H513" t="str">
        <f>_xlfn.XLOOKUP(G513,SM[Employee ID],SM[Salesperson])</f>
        <v>Aarav Sharma</v>
      </c>
      <c r="I513" t="str">
        <f>_xlfn.XLOOKUP(G513,SM[Employee ID],SM[Region])</f>
        <v>North</v>
      </c>
      <c r="J513" t="str">
        <f>_xlfn.XLOOKUP(G513,SM[Employee ID],SM[State/City])</f>
        <v>Lucknow</v>
      </c>
      <c r="K513" s="2">
        <f>_xlfn.XLOOKUP(Sales7[[#This Row],[Order ID]],ST[Order ID],ST[Units Sold])</f>
        <v>2</v>
      </c>
      <c r="L513">
        <f t="shared" si="7"/>
        <v>1560</v>
      </c>
    </row>
    <row r="514" spans="1:12" x14ac:dyDescent="0.35">
      <c r="A514" s="7">
        <v>1493</v>
      </c>
      <c r="B514" s="1">
        <v>45460</v>
      </c>
      <c r="C514" s="2" t="s">
        <v>18</v>
      </c>
      <c r="D514" t="str">
        <f>_xlfn.XLOOKUP(Merged_Sales_Data!C514,PM[Product ID],PM[Product Name])</f>
        <v>LED Monitor 24"</v>
      </c>
      <c r="E514" t="str">
        <f>VLOOKUP(C514,PM[],3,FALSE)</f>
        <v>Electronics</v>
      </c>
      <c r="F514">
        <f>_xlfn.XLOOKUP(C514,PM[Product ID],PM[Unit Price (₹)])</f>
        <v>7700</v>
      </c>
      <c r="G514" t="str">
        <f>_xlfn.XLOOKUP(Sales7[[#This Row],[Order ID]],ST[Order ID],ST[Employee ID])</f>
        <v>E03</v>
      </c>
      <c r="H514" t="str">
        <f>_xlfn.XLOOKUP(G514,SM[Employee ID],SM[Salesperson])</f>
        <v>Rohan Mehta</v>
      </c>
      <c r="I514" t="str">
        <f>_xlfn.XLOOKUP(G514,SM[Employee ID],SM[Region])</f>
        <v>South</v>
      </c>
      <c r="J514" t="str">
        <f>_xlfn.XLOOKUP(G514,SM[Employee ID],SM[State/City])</f>
        <v>Bengaluru</v>
      </c>
      <c r="K514" s="2">
        <f>_xlfn.XLOOKUP(Sales7[[#This Row],[Order ID]],ST[Order ID],ST[Units Sold])</f>
        <v>4</v>
      </c>
      <c r="L514">
        <f t="shared" si="7"/>
        <v>30800</v>
      </c>
    </row>
    <row r="515" spans="1:12" x14ac:dyDescent="0.35">
      <c r="A515" s="7">
        <v>1500</v>
      </c>
      <c r="B515" s="1">
        <v>45463</v>
      </c>
      <c r="C515" s="2" t="s">
        <v>18</v>
      </c>
      <c r="D515" t="str">
        <f>_xlfn.XLOOKUP(Merged_Sales_Data!C515,PM[Product ID],PM[Product Name])</f>
        <v>LED Monitor 24"</v>
      </c>
      <c r="E515" t="str">
        <f>VLOOKUP(C515,PM[],3,FALSE)</f>
        <v>Electronics</v>
      </c>
      <c r="F515">
        <f>_xlfn.XLOOKUP(C515,PM[Product ID],PM[Unit Price (₹)])</f>
        <v>7700</v>
      </c>
      <c r="G515" t="str">
        <f>_xlfn.XLOOKUP(Sales7[[#This Row],[Order ID]],ST[Order ID],ST[Employee ID])</f>
        <v>E03</v>
      </c>
      <c r="H515" t="str">
        <f>_xlfn.XLOOKUP(G515,SM[Employee ID],SM[Salesperson])</f>
        <v>Rohan Mehta</v>
      </c>
      <c r="I515" t="str">
        <f>_xlfn.XLOOKUP(G515,SM[Employee ID],SM[Region])</f>
        <v>South</v>
      </c>
      <c r="J515" t="str">
        <f>_xlfn.XLOOKUP(G515,SM[Employee ID],SM[State/City])</f>
        <v>Bengaluru</v>
      </c>
      <c r="K515" s="2">
        <f>_xlfn.XLOOKUP(Sales7[[#This Row],[Order ID]],ST[Order ID],ST[Units Sold])</f>
        <v>10</v>
      </c>
      <c r="L515">
        <f t="shared" ref="L515:L578" si="8">F515*K515</f>
        <v>77000</v>
      </c>
    </row>
    <row r="516" spans="1:12" x14ac:dyDescent="0.35">
      <c r="A516" s="7">
        <v>1492</v>
      </c>
      <c r="B516" s="1">
        <v>45464</v>
      </c>
      <c r="C516" s="2" t="s">
        <v>18</v>
      </c>
      <c r="D516" t="str">
        <f>_xlfn.XLOOKUP(Merged_Sales_Data!C516,PM[Product ID],PM[Product Name])</f>
        <v>LED Monitor 24"</v>
      </c>
      <c r="E516" t="str">
        <f>VLOOKUP(C516,PM[],3,FALSE)</f>
        <v>Electronics</v>
      </c>
      <c r="F516">
        <f>_xlfn.XLOOKUP(C516,PM[Product ID],PM[Unit Price (₹)])</f>
        <v>7700</v>
      </c>
      <c r="G516" t="str">
        <f>_xlfn.XLOOKUP(Sales7[[#This Row],[Order ID]],ST[Order ID],ST[Employee ID])</f>
        <v>E06</v>
      </c>
      <c r="H516" t="str">
        <f>_xlfn.XLOOKUP(G516,SM[Employee ID],SM[Salesperson])</f>
        <v>Sneha Roy</v>
      </c>
      <c r="I516" t="str">
        <f>_xlfn.XLOOKUP(G516,SM[Employee ID],SM[Region])</f>
        <v>East</v>
      </c>
      <c r="J516" t="str">
        <f>_xlfn.XLOOKUP(G516,SM[Employee ID],SM[State/City])</f>
        <v>Kolkata</v>
      </c>
      <c r="K516" s="2">
        <f>_xlfn.XLOOKUP(Sales7[[#This Row],[Order ID]],ST[Order ID],ST[Units Sold])</f>
        <v>6</v>
      </c>
      <c r="L516">
        <f t="shared" si="8"/>
        <v>46200</v>
      </c>
    </row>
    <row r="517" spans="1:12" x14ac:dyDescent="0.35">
      <c r="A517" s="7">
        <v>1508</v>
      </c>
      <c r="B517" s="1">
        <v>45467</v>
      </c>
      <c r="C517" s="2" t="s">
        <v>12</v>
      </c>
      <c r="D517" t="str">
        <f>_xlfn.XLOOKUP(Merged_Sales_Data!C517,PM[Product ID],PM[Product Name])</f>
        <v>Bookshelf Unit</v>
      </c>
      <c r="E517" t="str">
        <f>VLOOKUP(C517,PM[],3,FALSE)</f>
        <v>Furniture</v>
      </c>
      <c r="F517">
        <f>_xlfn.XLOOKUP(C517,PM[Product ID],PM[Unit Price (₹)])</f>
        <v>3910</v>
      </c>
      <c r="G517" t="str">
        <f>_xlfn.XLOOKUP(Sales7[[#This Row],[Order ID]],ST[Order ID],ST[Employee ID])</f>
        <v>E03</v>
      </c>
      <c r="H517" t="str">
        <f>_xlfn.XLOOKUP(G517,SM[Employee ID],SM[Salesperson])</f>
        <v>Rohan Mehta</v>
      </c>
      <c r="I517" t="str">
        <f>_xlfn.XLOOKUP(G517,SM[Employee ID],SM[Region])</f>
        <v>South</v>
      </c>
      <c r="J517" t="str">
        <f>_xlfn.XLOOKUP(G517,SM[Employee ID],SM[State/City])</f>
        <v>Bengaluru</v>
      </c>
      <c r="K517" s="2">
        <f>_xlfn.XLOOKUP(Sales7[[#This Row],[Order ID]],ST[Order ID],ST[Units Sold])</f>
        <v>3</v>
      </c>
      <c r="L517">
        <f t="shared" si="8"/>
        <v>11730</v>
      </c>
    </row>
    <row r="518" spans="1:12" x14ac:dyDescent="0.35">
      <c r="A518" s="7">
        <v>1509</v>
      </c>
      <c r="B518" s="1">
        <v>45468</v>
      </c>
      <c r="C518" s="2" t="s">
        <v>10</v>
      </c>
      <c r="D518" t="str">
        <f>_xlfn.XLOOKUP(Merged_Sales_Data!C518,PM[Product ID],PM[Product Name])</f>
        <v>Filing Cabinet</v>
      </c>
      <c r="E518" t="str">
        <f>VLOOKUP(C518,PM[],3,FALSE)</f>
        <v>Furniture</v>
      </c>
      <c r="F518">
        <f>_xlfn.XLOOKUP(C518,PM[Product ID],PM[Unit Price (₹)])</f>
        <v>4070</v>
      </c>
      <c r="G518" t="str">
        <f>_xlfn.XLOOKUP(Sales7[[#This Row],[Order ID]],ST[Order ID],ST[Employee ID])</f>
        <v>E06</v>
      </c>
      <c r="H518" t="str">
        <f>_xlfn.XLOOKUP(G518,SM[Employee ID],SM[Salesperson])</f>
        <v>Sneha Roy</v>
      </c>
      <c r="I518" t="str">
        <f>_xlfn.XLOOKUP(G518,SM[Employee ID],SM[Region])</f>
        <v>East</v>
      </c>
      <c r="J518" t="str">
        <f>_xlfn.XLOOKUP(G518,SM[Employee ID],SM[State/City])</f>
        <v>Kolkata</v>
      </c>
      <c r="K518" s="2">
        <f>_xlfn.XLOOKUP(Sales7[[#This Row],[Order ID]],ST[Order ID],ST[Units Sold])</f>
        <v>1</v>
      </c>
      <c r="L518">
        <f t="shared" si="8"/>
        <v>4070</v>
      </c>
    </row>
    <row r="519" spans="1:12" x14ac:dyDescent="0.35">
      <c r="A519" s="7">
        <v>1515</v>
      </c>
      <c r="B519" s="1">
        <v>45468</v>
      </c>
      <c r="C519" s="2" t="s">
        <v>12</v>
      </c>
      <c r="D519" t="str">
        <f>_xlfn.XLOOKUP(Merged_Sales_Data!C519,PM[Product ID],PM[Product Name])</f>
        <v>Bookshelf Unit</v>
      </c>
      <c r="E519" t="str">
        <f>VLOOKUP(C519,PM[],3,FALSE)</f>
        <v>Furniture</v>
      </c>
      <c r="F519">
        <f>_xlfn.XLOOKUP(C519,PM[Product ID],PM[Unit Price (₹)])</f>
        <v>3910</v>
      </c>
      <c r="G519" t="str">
        <f>_xlfn.XLOOKUP(Sales7[[#This Row],[Order ID]],ST[Order ID],ST[Employee ID])</f>
        <v>E06</v>
      </c>
      <c r="H519" t="str">
        <f>_xlfn.XLOOKUP(G519,SM[Employee ID],SM[Salesperson])</f>
        <v>Sneha Roy</v>
      </c>
      <c r="I519" t="str">
        <f>_xlfn.XLOOKUP(G519,SM[Employee ID],SM[Region])</f>
        <v>East</v>
      </c>
      <c r="J519" t="str">
        <f>_xlfn.XLOOKUP(G519,SM[Employee ID],SM[State/City])</f>
        <v>Kolkata</v>
      </c>
      <c r="K519" s="2">
        <f>_xlfn.XLOOKUP(Sales7[[#This Row],[Order ID]],ST[Order ID],ST[Units Sold])</f>
        <v>2</v>
      </c>
      <c r="L519">
        <f t="shared" si="8"/>
        <v>7820</v>
      </c>
    </row>
    <row r="520" spans="1:12" x14ac:dyDescent="0.35">
      <c r="A520" s="7">
        <v>1514</v>
      </c>
      <c r="B520" s="1">
        <v>45470</v>
      </c>
      <c r="C520" s="2" t="s">
        <v>5</v>
      </c>
      <c r="D520" t="str">
        <f>_xlfn.XLOOKUP(Merged_Sales_Data!C520,PM[Product ID],PM[Product Name])</f>
        <v>Ergo Office Chair</v>
      </c>
      <c r="E520" t="str">
        <f>VLOOKUP(C520,PM[],3,FALSE)</f>
        <v>Office Supplies</v>
      </c>
      <c r="F520">
        <f>_xlfn.XLOOKUP(C520,PM[Product ID],PM[Unit Price (₹)])</f>
        <v>6750</v>
      </c>
      <c r="G520" t="str">
        <f>_xlfn.XLOOKUP(Sales7[[#This Row],[Order ID]],ST[Order ID],ST[Employee ID])</f>
        <v>E07</v>
      </c>
      <c r="H520" t="str">
        <f>_xlfn.XLOOKUP(G520,SM[Employee ID],SM[Salesperson])</f>
        <v>Aditya Kapoor</v>
      </c>
      <c r="I520" t="str">
        <f>_xlfn.XLOOKUP(G520,SM[Employee ID],SM[Region])</f>
        <v>West</v>
      </c>
      <c r="J520" t="str">
        <f>_xlfn.XLOOKUP(G520,SM[Employee ID],SM[State/City])</f>
        <v>Mumbai</v>
      </c>
      <c r="K520" s="2">
        <f>_xlfn.XLOOKUP(Sales7[[#This Row],[Order ID]],ST[Order ID],ST[Units Sold])</f>
        <v>1</v>
      </c>
      <c r="L520">
        <f t="shared" si="8"/>
        <v>6750</v>
      </c>
    </row>
    <row r="521" spans="1:12" x14ac:dyDescent="0.35">
      <c r="A521" s="7">
        <v>1496</v>
      </c>
      <c r="B521" s="1">
        <v>45472</v>
      </c>
      <c r="C521" s="2" t="s">
        <v>12</v>
      </c>
      <c r="D521" t="str">
        <f>_xlfn.XLOOKUP(Merged_Sales_Data!C521,PM[Product ID],PM[Product Name])</f>
        <v>Bookshelf Unit</v>
      </c>
      <c r="E521" t="str">
        <f>VLOOKUP(C521,PM[],3,FALSE)</f>
        <v>Furniture</v>
      </c>
      <c r="F521">
        <f>_xlfn.XLOOKUP(C521,PM[Product ID],PM[Unit Price (₹)])</f>
        <v>3910</v>
      </c>
      <c r="G521" t="str">
        <f>_xlfn.XLOOKUP(Sales7[[#This Row],[Order ID]],ST[Order ID],ST[Employee ID])</f>
        <v>E04</v>
      </c>
      <c r="H521" t="str">
        <f>_xlfn.XLOOKUP(G521,SM[Employee ID],SM[Salesperson])</f>
        <v>Priya Nair</v>
      </c>
      <c r="I521" t="str">
        <f>_xlfn.XLOOKUP(G521,SM[Employee ID],SM[Region])</f>
        <v>South</v>
      </c>
      <c r="J521" t="str">
        <f>_xlfn.XLOOKUP(G521,SM[Employee ID],SM[State/City])</f>
        <v>Bengaluru</v>
      </c>
      <c r="K521" s="2">
        <f>_xlfn.XLOOKUP(Sales7[[#This Row],[Order ID]],ST[Order ID],ST[Units Sold])</f>
        <v>6</v>
      </c>
      <c r="L521">
        <f t="shared" si="8"/>
        <v>23460</v>
      </c>
    </row>
    <row r="522" spans="1:12" x14ac:dyDescent="0.35">
      <c r="A522" s="7">
        <v>1503</v>
      </c>
      <c r="B522" s="1">
        <v>45472</v>
      </c>
      <c r="C522" s="2" t="s">
        <v>21</v>
      </c>
      <c r="D522" t="str">
        <f>_xlfn.XLOOKUP(Merged_Sales_Data!C522,PM[Product ID],PM[Product Name])</f>
        <v>Wireless Mouse</v>
      </c>
      <c r="E522" t="str">
        <f>VLOOKUP(C522,PM[],3,FALSE)</f>
        <v>Electronics</v>
      </c>
      <c r="F522">
        <f>_xlfn.XLOOKUP(C522,PM[Product ID],PM[Unit Price (₹)])</f>
        <v>780</v>
      </c>
      <c r="G522" t="str">
        <f>_xlfn.XLOOKUP(Sales7[[#This Row],[Order ID]],ST[Order ID],ST[Employee ID])</f>
        <v>E07</v>
      </c>
      <c r="H522" t="str">
        <f>_xlfn.XLOOKUP(G522,SM[Employee ID],SM[Salesperson])</f>
        <v>Aditya Kapoor</v>
      </c>
      <c r="I522" t="str">
        <f>_xlfn.XLOOKUP(G522,SM[Employee ID],SM[Region])</f>
        <v>West</v>
      </c>
      <c r="J522" t="str">
        <f>_xlfn.XLOOKUP(G522,SM[Employee ID],SM[State/City])</f>
        <v>Mumbai</v>
      </c>
      <c r="K522" s="2">
        <f>_xlfn.XLOOKUP(Sales7[[#This Row],[Order ID]],ST[Order ID],ST[Units Sold])</f>
        <v>5</v>
      </c>
      <c r="L522">
        <f t="shared" si="8"/>
        <v>3900</v>
      </c>
    </row>
    <row r="523" spans="1:12" x14ac:dyDescent="0.35">
      <c r="A523" s="7">
        <v>1543</v>
      </c>
      <c r="B523" s="1">
        <v>45474</v>
      </c>
      <c r="C523" s="2" t="s">
        <v>11</v>
      </c>
      <c r="D523" t="str">
        <f>_xlfn.XLOOKUP(Merged_Sales_Data!C523,PM[Product ID],PM[Product Name])</f>
        <v>Bluetooth Speaker</v>
      </c>
      <c r="E523" t="str">
        <f>VLOOKUP(C523,PM[],3,FALSE)</f>
        <v>Electronics</v>
      </c>
      <c r="F523">
        <f>_xlfn.XLOOKUP(C523,PM[Product ID],PM[Unit Price (₹)])</f>
        <v>1430</v>
      </c>
      <c r="G523" t="str">
        <f>_xlfn.XLOOKUP(Sales7[[#This Row],[Order ID]],ST[Order ID],ST[Employee ID])</f>
        <v>E01</v>
      </c>
      <c r="H523" t="str">
        <f>_xlfn.XLOOKUP(G523,SM[Employee ID],SM[Salesperson])</f>
        <v>Aarav Sharma</v>
      </c>
      <c r="I523" t="str">
        <f>_xlfn.XLOOKUP(G523,SM[Employee ID],SM[Region])</f>
        <v>North</v>
      </c>
      <c r="J523" t="str">
        <f>_xlfn.XLOOKUP(G523,SM[Employee ID],SM[State/City])</f>
        <v>Lucknow</v>
      </c>
      <c r="K523" s="2">
        <f>_xlfn.XLOOKUP(Sales7[[#This Row],[Order ID]],ST[Order ID],ST[Units Sold])</f>
        <v>2</v>
      </c>
      <c r="L523">
        <f t="shared" si="8"/>
        <v>2860</v>
      </c>
    </row>
    <row r="524" spans="1:12" x14ac:dyDescent="0.35">
      <c r="A524" s="7">
        <v>1523</v>
      </c>
      <c r="B524" s="1">
        <v>45475</v>
      </c>
      <c r="C524" s="2" t="s">
        <v>10</v>
      </c>
      <c r="D524" t="str">
        <f>_xlfn.XLOOKUP(Merged_Sales_Data!C524,PM[Product ID],PM[Product Name])</f>
        <v>Filing Cabinet</v>
      </c>
      <c r="E524" t="str">
        <f>VLOOKUP(C524,PM[],3,FALSE)</f>
        <v>Furniture</v>
      </c>
      <c r="F524">
        <f>_xlfn.XLOOKUP(C524,PM[Product ID],PM[Unit Price (₹)])</f>
        <v>4070</v>
      </c>
      <c r="G524" t="str">
        <f>_xlfn.XLOOKUP(Sales7[[#This Row],[Order ID]],ST[Order ID],ST[Employee ID])</f>
        <v>E06</v>
      </c>
      <c r="H524" t="str">
        <f>_xlfn.XLOOKUP(G524,SM[Employee ID],SM[Salesperson])</f>
        <v>Sneha Roy</v>
      </c>
      <c r="I524" t="str">
        <f>_xlfn.XLOOKUP(G524,SM[Employee ID],SM[Region])</f>
        <v>East</v>
      </c>
      <c r="J524" t="str">
        <f>_xlfn.XLOOKUP(G524,SM[Employee ID],SM[State/City])</f>
        <v>Kolkata</v>
      </c>
      <c r="K524" s="2">
        <f>_xlfn.XLOOKUP(Sales7[[#This Row],[Order ID]],ST[Order ID],ST[Units Sold])</f>
        <v>3</v>
      </c>
      <c r="L524">
        <f t="shared" si="8"/>
        <v>12210</v>
      </c>
    </row>
    <row r="525" spans="1:12" x14ac:dyDescent="0.35">
      <c r="A525" s="7">
        <v>1530</v>
      </c>
      <c r="B525" s="1">
        <v>45475</v>
      </c>
      <c r="C525" s="2" t="s">
        <v>8</v>
      </c>
      <c r="D525" t="str">
        <f>_xlfn.XLOOKUP(Merged_Sales_Data!C525,PM[Product ID],PM[Product Name])</f>
        <v>USB-C Hub</v>
      </c>
      <c r="E525" t="str">
        <f>VLOOKUP(C525,PM[],3,FALSE)</f>
        <v>Accessories</v>
      </c>
      <c r="F525">
        <f>_xlfn.XLOOKUP(C525,PM[Product ID],PM[Unit Price (₹)])</f>
        <v>880</v>
      </c>
      <c r="G525" t="str">
        <f>_xlfn.XLOOKUP(Sales7[[#This Row],[Order ID]],ST[Order ID],ST[Employee ID])</f>
        <v>E07</v>
      </c>
      <c r="H525" t="str">
        <f>_xlfn.XLOOKUP(G525,SM[Employee ID],SM[Salesperson])</f>
        <v>Aditya Kapoor</v>
      </c>
      <c r="I525" t="str">
        <f>_xlfn.XLOOKUP(G525,SM[Employee ID],SM[Region])</f>
        <v>West</v>
      </c>
      <c r="J525" t="str">
        <f>_xlfn.XLOOKUP(G525,SM[Employee ID],SM[State/City])</f>
        <v>Mumbai</v>
      </c>
      <c r="K525" s="2">
        <f>_xlfn.XLOOKUP(Sales7[[#This Row],[Order ID]],ST[Order ID],ST[Units Sold])</f>
        <v>1</v>
      </c>
      <c r="L525">
        <f t="shared" si="8"/>
        <v>880</v>
      </c>
    </row>
    <row r="526" spans="1:12" x14ac:dyDescent="0.35">
      <c r="A526" s="7">
        <v>1527</v>
      </c>
      <c r="B526" s="1">
        <v>45477</v>
      </c>
      <c r="C526" s="2" t="s">
        <v>11</v>
      </c>
      <c r="D526" t="str">
        <f>_xlfn.XLOOKUP(Merged_Sales_Data!C526,PM[Product ID],PM[Product Name])</f>
        <v>Bluetooth Speaker</v>
      </c>
      <c r="E526" t="str">
        <f>VLOOKUP(C526,PM[],3,FALSE)</f>
        <v>Electronics</v>
      </c>
      <c r="F526">
        <f>_xlfn.XLOOKUP(C526,PM[Product ID],PM[Unit Price (₹)])</f>
        <v>1430</v>
      </c>
      <c r="G526" t="str">
        <f>_xlfn.XLOOKUP(Sales7[[#This Row],[Order ID]],ST[Order ID],ST[Employee ID])</f>
        <v>E05</v>
      </c>
      <c r="H526" t="str">
        <f>_xlfn.XLOOKUP(G526,SM[Employee ID],SM[Salesperson])</f>
        <v>Karan Malhotra</v>
      </c>
      <c r="I526" t="str">
        <f>_xlfn.XLOOKUP(G526,SM[Employee ID],SM[Region])</f>
        <v>East</v>
      </c>
      <c r="J526" t="str">
        <f>_xlfn.XLOOKUP(G526,SM[Employee ID],SM[State/City])</f>
        <v>Kolkata</v>
      </c>
      <c r="K526" s="2">
        <f>_xlfn.XLOOKUP(Sales7[[#This Row],[Order ID]],ST[Order ID],ST[Units Sold])</f>
        <v>1</v>
      </c>
      <c r="L526">
        <f t="shared" si="8"/>
        <v>1430</v>
      </c>
    </row>
    <row r="527" spans="1:12" x14ac:dyDescent="0.35">
      <c r="A527" s="7">
        <v>1532</v>
      </c>
      <c r="B527" s="1">
        <v>45478</v>
      </c>
      <c r="C527" s="2" t="s">
        <v>8</v>
      </c>
      <c r="D527" t="str">
        <f>_xlfn.XLOOKUP(Merged_Sales_Data!C527,PM[Product ID],PM[Product Name])</f>
        <v>USB-C Hub</v>
      </c>
      <c r="E527" t="str">
        <f>VLOOKUP(C527,PM[],3,FALSE)</f>
        <v>Accessories</v>
      </c>
      <c r="F527">
        <f>_xlfn.XLOOKUP(C527,PM[Product ID],PM[Unit Price (₹)])</f>
        <v>880</v>
      </c>
      <c r="G527" t="str">
        <f>_xlfn.XLOOKUP(Sales7[[#This Row],[Order ID]],ST[Order ID],ST[Employee ID])</f>
        <v>E08</v>
      </c>
      <c r="H527" t="str">
        <f>_xlfn.XLOOKUP(G527,SM[Employee ID],SM[Salesperson])</f>
        <v>Neha Joshi</v>
      </c>
      <c r="I527" t="str">
        <f>_xlfn.XLOOKUP(G527,SM[Employee ID],SM[Region])</f>
        <v>West</v>
      </c>
      <c r="J527" t="str">
        <f>_xlfn.XLOOKUP(G527,SM[Employee ID],SM[State/City])</f>
        <v>Ahmedabad</v>
      </c>
      <c r="K527" s="2">
        <f>_xlfn.XLOOKUP(Sales7[[#This Row],[Order ID]],ST[Order ID],ST[Units Sold])</f>
        <v>5</v>
      </c>
      <c r="L527">
        <f t="shared" si="8"/>
        <v>4400</v>
      </c>
    </row>
    <row r="528" spans="1:12" x14ac:dyDescent="0.35">
      <c r="A528" s="7">
        <v>1544</v>
      </c>
      <c r="B528" s="1">
        <v>45478</v>
      </c>
      <c r="C528" s="2" t="s">
        <v>12</v>
      </c>
      <c r="D528" t="str">
        <f>_xlfn.XLOOKUP(Merged_Sales_Data!C528,PM[Product ID],PM[Product Name])</f>
        <v>Bookshelf Unit</v>
      </c>
      <c r="E528" t="str">
        <f>VLOOKUP(C528,PM[],3,FALSE)</f>
        <v>Furniture</v>
      </c>
      <c r="F528">
        <f>_xlfn.XLOOKUP(C528,PM[Product ID],PM[Unit Price (₹)])</f>
        <v>3910</v>
      </c>
      <c r="G528" t="str">
        <f>_xlfn.XLOOKUP(Sales7[[#This Row],[Order ID]],ST[Order ID],ST[Employee ID])</f>
        <v>E08</v>
      </c>
      <c r="H528" t="str">
        <f>_xlfn.XLOOKUP(G528,SM[Employee ID],SM[Salesperson])</f>
        <v>Neha Joshi</v>
      </c>
      <c r="I528" t="str">
        <f>_xlfn.XLOOKUP(G528,SM[Employee ID],SM[Region])</f>
        <v>West</v>
      </c>
      <c r="J528" t="str">
        <f>_xlfn.XLOOKUP(G528,SM[Employee ID],SM[State/City])</f>
        <v>Ahmedabad</v>
      </c>
      <c r="K528" s="2">
        <f>_xlfn.XLOOKUP(Sales7[[#This Row],[Order ID]],ST[Order ID],ST[Units Sold])</f>
        <v>4</v>
      </c>
      <c r="L528">
        <f t="shared" si="8"/>
        <v>15640</v>
      </c>
    </row>
    <row r="529" spans="1:12" x14ac:dyDescent="0.35">
      <c r="A529" s="7">
        <v>1542</v>
      </c>
      <c r="B529" s="1">
        <v>45481</v>
      </c>
      <c r="C529" s="2" t="s">
        <v>18</v>
      </c>
      <c r="D529" t="str">
        <f>_xlfn.XLOOKUP(Merged_Sales_Data!C529,PM[Product ID],PM[Product Name])</f>
        <v>LED Monitor 24"</v>
      </c>
      <c r="E529" t="str">
        <f>VLOOKUP(C529,PM[],3,FALSE)</f>
        <v>Electronics</v>
      </c>
      <c r="F529">
        <f>_xlfn.XLOOKUP(C529,PM[Product ID],PM[Unit Price (₹)])</f>
        <v>7700</v>
      </c>
      <c r="G529" t="str">
        <f>_xlfn.XLOOKUP(Sales7[[#This Row],[Order ID]],ST[Order ID],ST[Employee ID])</f>
        <v>E07</v>
      </c>
      <c r="H529" t="str">
        <f>_xlfn.XLOOKUP(G529,SM[Employee ID],SM[Salesperson])</f>
        <v>Aditya Kapoor</v>
      </c>
      <c r="I529" t="str">
        <f>_xlfn.XLOOKUP(G529,SM[Employee ID],SM[Region])</f>
        <v>West</v>
      </c>
      <c r="J529" t="str">
        <f>_xlfn.XLOOKUP(G529,SM[Employee ID],SM[State/City])</f>
        <v>Mumbai</v>
      </c>
      <c r="K529" s="2">
        <f>_xlfn.XLOOKUP(Sales7[[#This Row],[Order ID]],ST[Order ID],ST[Units Sold])</f>
        <v>10</v>
      </c>
      <c r="L529">
        <f t="shared" si="8"/>
        <v>77000</v>
      </c>
    </row>
    <row r="530" spans="1:12" x14ac:dyDescent="0.35">
      <c r="A530" s="7">
        <v>1525</v>
      </c>
      <c r="B530" s="1">
        <v>45483</v>
      </c>
      <c r="C530" s="2" t="s">
        <v>12</v>
      </c>
      <c r="D530" t="str">
        <f>_xlfn.XLOOKUP(Merged_Sales_Data!C530,PM[Product ID],PM[Product Name])</f>
        <v>Bookshelf Unit</v>
      </c>
      <c r="E530" t="str">
        <f>VLOOKUP(C530,PM[],3,FALSE)</f>
        <v>Furniture</v>
      </c>
      <c r="F530">
        <f>_xlfn.XLOOKUP(C530,PM[Product ID],PM[Unit Price (₹)])</f>
        <v>3910</v>
      </c>
      <c r="G530" t="str">
        <f>_xlfn.XLOOKUP(Sales7[[#This Row],[Order ID]],ST[Order ID],ST[Employee ID])</f>
        <v>E04</v>
      </c>
      <c r="H530" t="str">
        <f>_xlfn.XLOOKUP(G530,SM[Employee ID],SM[Salesperson])</f>
        <v>Priya Nair</v>
      </c>
      <c r="I530" t="str">
        <f>_xlfn.XLOOKUP(G530,SM[Employee ID],SM[Region])</f>
        <v>South</v>
      </c>
      <c r="J530" t="str">
        <f>_xlfn.XLOOKUP(G530,SM[Employee ID],SM[State/City])</f>
        <v>Bengaluru</v>
      </c>
      <c r="K530" s="2">
        <f>_xlfn.XLOOKUP(Sales7[[#This Row],[Order ID]],ST[Order ID],ST[Units Sold])</f>
        <v>6</v>
      </c>
      <c r="L530">
        <f t="shared" si="8"/>
        <v>23460</v>
      </c>
    </row>
    <row r="531" spans="1:12" x14ac:dyDescent="0.35">
      <c r="A531" s="7">
        <v>1538</v>
      </c>
      <c r="B531" s="1">
        <v>45483</v>
      </c>
      <c r="C531" s="2" t="s">
        <v>10</v>
      </c>
      <c r="D531" t="str">
        <f>_xlfn.XLOOKUP(Merged_Sales_Data!C531,PM[Product ID],PM[Product Name])</f>
        <v>Filing Cabinet</v>
      </c>
      <c r="E531" t="str">
        <f>VLOOKUP(C531,PM[],3,FALSE)</f>
        <v>Furniture</v>
      </c>
      <c r="F531">
        <f>_xlfn.XLOOKUP(C531,PM[Product ID],PM[Unit Price (₹)])</f>
        <v>4070</v>
      </c>
      <c r="G531" t="str">
        <f>_xlfn.XLOOKUP(Sales7[[#This Row],[Order ID]],ST[Order ID],ST[Employee ID])</f>
        <v>E02</v>
      </c>
      <c r="H531" t="str">
        <f>_xlfn.XLOOKUP(G531,SM[Employee ID],SM[Salesperson])</f>
        <v>Ishita Verma</v>
      </c>
      <c r="I531" t="str">
        <f>_xlfn.XLOOKUP(G531,SM[Employee ID],SM[Region])</f>
        <v>North</v>
      </c>
      <c r="J531" t="str">
        <f>_xlfn.XLOOKUP(G531,SM[Employee ID],SM[State/City])</f>
        <v>Chandigarh</v>
      </c>
      <c r="K531" s="2">
        <f>_xlfn.XLOOKUP(Sales7[[#This Row],[Order ID]],ST[Order ID],ST[Units Sold])</f>
        <v>8</v>
      </c>
      <c r="L531">
        <f t="shared" si="8"/>
        <v>32560</v>
      </c>
    </row>
    <row r="532" spans="1:12" x14ac:dyDescent="0.35">
      <c r="A532" s="7">
        <v>1533</v>
      </c>
      <c r="B532" s="1">
        <v>45484</v>
      </c>
      <c r="C532" s="2" t="s">
        <v>12</v>
      </c>
      <c r="D532" t="str">
        <f>_xlfn.XLOOKUP(Merged_Sales_Data!C532,PM[Product ID],PM[Product Name])</f>
        <v>Bookshelf Unit</v>
      </c>
      <c r="E532" t="str">
        <f>VLOOKUP(C532,PM[],3,FALSE)</f>
        <v>Furniture</v>
      </c>
      <c r="F532">
        <f>_xlfn.XLOOKUP(C532,PM[Product ID],PM[Unit Price (₹)])</f>
        <v>3910</v>
      </c>
      <c r="G532" t="str">
        <f>_xlfn.XLOOKUP(Sales7[[#This Row],[Order ID]],ST[Order ID],ST[Employee ID])</f>
        <v>E03</v>
      </c>
      <c r="H532" t="str">
        <f>_xlfn.XLOOKUP(G532,SM[Employee ID],SM[Salesperson])</f>
        <v>Rohan Mehta</v>
      </c>
      <c r="I532" t="str">
        <f>_xlfn.XLOOKUP(G532,SM[Employee ID],SM[Region])</f>
        <v>South</v>
      </c>
      <c r="J532" t="str">
        <f>_xlfn.XLOOKUP(G532,SM[Employee ID],SM[State/City])</f>
        <v>Bengaluru</v>
      </c>
      <c r="K532" s="2">
        <f>_xlfn.XLOOKUP(Sales7[[#This Row],[Order ID]],ST[Order ID],ST[Units Sold])</f>
        <v>8</v>
      </c>
      <c r="L532">
        <f t="shared" si="8"/>
        <v>31280</v>
      </c>
    </row>
    <row r="533" spans="1:12" x14ac:dyDescent="0.35">
      <c r="A533" s="7">
        <v>1548</v>
      </c>
      <c r="B533" s="1">
        <v>45484</v>
      </c>
      <c r="C533" s="2" t="s">
        <v>8</v>
      </c>
      <c r="D533" t="str">
        <f>_xlfn.XLOOKUP(Merged_Sales_Data!C533,PM[Product ID],PM[Product Name])</f>
        <v>USB-C Hub</v>
      </c>
      <c r="E533" t="str">
        <f>VLOOKUP(C533,PM[],3,FALSE)</f>
        <v>Accessories</v>
      </c>
      <c r="F533">
        <f>_xlfn.XLOOKUP(C533,PM[Product ID],PM[Unit Price (₹)])</f>
        <v>880</v>
      </c>
      <c r="G533" t="str">
        <f>_xlfn.XLOOKUP(Sales7[[#This Row],[Order ID]],ST[Order ID],ST[Employee ID])</f>
        <v>E08</v>
      </c>
      <c r="H533" t="str">
        <f>_xlfn.XLOOKUP(G533,SM[Employee ID],SM[Salesperson])</f>
        <v>Neha Joshi</v>
      </c>
      <c r="I533" t="str">
        <f>_xlfn.XLOOKUP(G533,SM[Employee ID],SM[Region])</f>
        <v>West</v>
      </c>
      <c r="J533" t="str">
        <f>_xlfn.XLOOKUP(G533,SM[Employee ID],SM[State/City])</f>
        <v>Ahmedabad</v>
      </c>
      <c r="K533" s="2">
        <f>_xlfn.XLOOKUP(Sales7[[#This Row],[Order ID]],ST[Order ID],ST[Units Sold])</f>
        <v>4</v>
      </c>
      <c r="L533">
        <f t="shared" si="8"/>
        <v>3520</v>
      </c>
    </row>
    <row r="534" spans="1:12" x14ac:dyDescent="0.35">
      <c r="A534" s="7">
        <v>1526</v>
      </c>
      <c r="B534" s="1">
        <v>45488</v>
      </c>
      <c r="C534" s="2" t="s">
        <v>10</v>
      </c>
      <c r="D534" t="str">
        <f>_xlfn.XLOOKUP(Merged_Sales_Data!C534,PM[Product ID],PM[Product Name])</f>
        <v>Filing Cabinet</v>
      </c>
      <c r="E534" t="str">
        <f>VLOOKUP(C534,PM[],3,FALSE)</f>
        <v>Furniture</v>
      </c>
      <c r="F534">
        <f>_xlfn.XLOOKUP(C534,PM[Product ID],PM[Unit Price (₹)])</f>
        <v>4070</v>
      </c>
      <c r="G534" t="str">
        <f>_xlfn.XLOOKUP(Sales7[[#This Row],[Order ID]],ST[Order ID],ST[Employee ID])</f>
        <v>E02</v>
      </c>
      <c r="H534" t="str">
        <f>_xlfn.XLOOKUP(G534,SM[Employee ID],SM[Salesperson])</f>
        <v>Ishita Verma</v>
      </c>
      <c r="I534" t="str">
        <f>_xlfn.XLOOKUP(G534,SM[Employee ID],SM[Region])</f>
        <v>North</v>
      </c>
      <c r="J534" t="str">
        <f>_xlfn.XLOOKUP(G534,SM[Employee ID],SM[State/City])</f>
        <v>Chandigarh</v>
      </c>
      <c r="K534" s="2">
        <f>_xlfn.XLOOKUP(Sales7[[#This Row],[Order ID]],ST[Order ID],ST[Units Sold])</f>
        <v>6</v>
      </c>
      <c r="L534">
        <f t="shared" si="8"/>
        <v>24420</v>
      </c>
    </row>
    <row r="535" spans="1:12" x14ac:dyDescent="0.35">
      <c r="A535" s="7">
        <v>1540</v>
      </c>
      <c r="B535" s="1">
        <v>45489</v>
      </c>
      <c r="C535" s="2" t="s">
        <v>21</v>
      </c>
      <c r="D535" t="str">
        <f>_xlfn.XLOOKUP(Merged_Sales_Data!C535,PM[Product ID],PM[Product Name])</f>
        <v>Wireless Mouse</v>
      </c>
      <c r="E535" t="str">
        <f>VLOOKUP(C535,PM[],3,FALSE)</f>
        <v>Electronics</v>
      </c>
      <c r="F535">
        <f>_xlfn.XLOOKUP(C535,PM[Product ID],PM[Unit Price (₹)])</f>
        <v>780</v>
      </c>
      <c r="G535" t="str">
        <f>_xlfn.XLOOKUP(Sales7[[#This Row],[Order ID]],ST[Order ID],ST[Employee ID])</f>
        <v>E04</v>
      </c>
      <c r="H535" t="str">
        <f>_xlfn.XLOOKUP(G535,SM[Employee ID],SM[Salesperson])</f>
        <v>Priya Nair</v>
      </c>
      <c r="I535" t="str">
        <f>_xlfn.XLOOKUP(G535,SM[Employee ID],SM[Region])</f>
        <v>South</v>
      </c>
      <c r="J535" t="str">
        <f>_xlfn.XLOOKUP(G535,SM[Employee ID],SM[State/City])</f>
        <v>Bengaluru</v>
      </c>
      <c r="K535" s="2">
        <f>_xlfn.XLOOKUP(Sales7[[#This Row],[Order ID]],ST[Order ID],ST[Units Sold])</f>
        <v>8</v>
      </c>
      <c r="L535">
        <f t="shared" si="8"/>
        <v>6240</v>
      </c>
    </row>
    <row r="536" spans="1:12" x14ac:dyDescent="0.35">
      <c r="A536" s="7">
        <v>1545</v>
      </c>
      <c r="B536" s="1">
        <v>45490</v>
      </c>
      <c r="C536" s="2" t="s">
        <v>5</v>
      </c>
      <c r="D536" t="str">
        <f>_xlfn.XLOOKUP(Merged_Sales_Data!C536,PM[Product ID],PM[Product Name])</f>
        <v>Ergo Office Chair</v>
      </c>
      <c r="E536" t="str">
        <f>VLOOKUP(C536,PM[],3,FALSE)</f>
        <v>Office Supplies</v>
      </c>
      <c r="F536">
        <f>_xlfn.XLOOKUP(C536,PM[Product ID],PM[Unit Price (₹)])</f>
        <v>6750</v>
      </c>
      <c r="G536" t="str">
        <f>_xlfn.XLOOKUP(Sales7[[#This Row],[Order ID]],ST[Order ID],ST[Employee ID])</f>
        <v>E07</v>
      </c>
      <c r="H536" t="str">
        <f>_xlfn.XLOOKUP(G536,SM[Employee ID],SM[Salesperson])</f>
        <v>Aditya Kapoor</v>
      </c>
      <c r="I536" t="str">
        <f>_xlfn.XLOOKUP(G536,SM[Employee ID],SM[Region])</f>
        <v>West</v>
      </c>
      <c r="J536" t="str">
        <f>_xlfn.XLOOKUP(G536,SM[Employee ID],SM[State/City])</f>
        <v>Mumbai</v>
      </c>
      <c r="K536" s="2">
        <f>_xlfn.XLOOKUP(Sales7[[#This Row],[Order ID]],ST[Order ID],ST[Units Sold])</f>
        <v>4</v>
      </c>
      <c r="L536">
        <f t="shared" si="8"/>
        <v>27000</v>
      </c>
    </row>
    <row r="537" spans="1:12" x14ac:dyDescent="0.35">
      <c r="A537" s="7">
        <v>1546</v>
      </c>
      <c r="B537" s="1">
        <v>45490</v>
      </c>
      <c r="C537" s="2" t="s">
        <v>21</v>
      </c>
      <c r="D537" t="str">
        <f>_xlfn.XLOOKUP(Merged_Sales_Data!C537,PM[Product ID],PM[Product Name])</f>
        <v>Wireless Mouse</v>
      </c>
      <c r="E537" t="str">
        <f>VLOOKUP(C537,PM[],3,FALSE)</f>
        <v>Electronics</v>
      </c>
      <c r="F537">
        <f>_xlfn.XLOOKUP(C537,PM[Product ID],PM[Unit Price (₹)])</f>
        <v>780</v>
      </c>
      <c r="G537" t="str">
        <f>_xlfn.XLOOKUP(Sales7[[#This Row],[Order ID]],ST[Order ID],ST[Employee ID])</f>
        <v>E08</v>
      </c>
      <c r="H537" t="str">
        <f>_xlfn.XLOOKUP(G537,SM[Employee ID],SM[Salesperson])</f>
        <v>Neha Joshi</v>
      </c>
      <c r="I537" t="str">
        <f>_xlfn.XLOOKUP(G537,SM[Employee ID],SM[Region])</f>
        <v>West</v>
      </c>
      <c r="J537" t="str">
        <f>_xlfn.XLOOKUP(G537,SM[Employee ID],SM[State/City])</f>
        <v>Ahmedabad</v>
      </c>
      <c r="K537" s="2">
        <f>_xlfn.XLOOKUP(Sales7[[#This Row],[Order ID]],ST[Order ID],ST[Units Sold])</f>
        <v>1</v>
      </c>
      <c r="L537">
        <f t="shared" si="8"/>
        <v>780</v>
      </c>
    </row>
    <row r="538" spans="1:12" x14ac:dyDescent="0.35">
      <c r="A538" s="7">
        <v>1524</v>
      </c>
      <c r="B538" s="1">
        <v>45491</v>
      </c>
      <c r="C538" s="2" t="s">
        <v>21</v>
      </c>
      <c r="D538" t="str">
        <f>_xlfn.XLOOKUP(Merged_Sales_Data!C538,PM[Product ID],PM[Product Name])</f>
        <v>Wireless Mouse</v>
      </c>
      <c r="E538" t="str">
        <f>VLOOKUP(C538,PM[],3,FALSE)</f>
        <v>Electronics</v>
      </c>
      <c r="F538">
        <f>_xlfn.XLOOKUP(C538,PM[Product ID],PM[Unit Price (₹)])</f>
        <v>780</v>
      </c>
      <c r="G538" t="str">
        <f>_xlfn.XLOOKUP(Sales7[[#This Row],[Order ID]],ST[Order ID],ST[Employee ID])</f>
        <v>E07</v>
      </c>
      <c r="H538" t="str">
        <f>_xlfn.XLOOKUP(G538,SM[Employee ID],SM[Salesperson])</f>
        <v>Aditya Kapoor</v>
      </c>
      <c r="I538" t="str">
        <f>_xlfn.XLOOKUP(G538,SM[Employee ID],SM[Region])</f>
        <v>West</v>
      </c>
      <c r="J538" t="str">
        <f>_xlfn.XLOOKUP(G538,SM[Employee ID],SM[State/City])</f>
        <v>Mumbai</v>
      </c>
      <c r="K538" s="2">
        <f>_xlfn.XLOOKUP(Sales7[[#This Row],[Order ID]],ST[Order ID],ST[Units Sold])</f>
        <v>8</v>
      </c>
      <c r="L538">
        <f t="shared" si="8"/>
        <v>6240</v>
      </c>
    </row>
    <row r="539" spans="1:12" x14ac:dyDescent="0.35">
      <c r="A539" s="7">
        <v>1528</v>
      </c>
      <c r="B539" s="1">
        <v>45491</v>
      </c>
      <c r="C539" s="2" t="s">
        <v>12</v>
      </c>
      <c r="D539" t="str">
        <f>_xlfn.XLOOKUP(Merged_Sales_Data!C539,PM[Product ID],PM[Product Name])</f>
        <v>Bookshelf Unit</v>
      </c>
      <c r="E539" t="str">
        <f>VLOOKUP(C539,PM[],3,FALSE)</f>
        <v>Furniture</v>
      </c>
      <c r="F539">
        <f>_xlfn.XLOOKUP(C539,PM[Product ID],PM[Unit Price (₹)])</f>
        <v>3910</v>
      </c>
      <c r="G539" t="str">
        <f>_xlfn.XLOOKUP(Sales7[[#This Row],[Order ID]],ST[Order ID],ST[Employee ID])</f>
        <v>E07</v>
      </c>
      <c r="H539" t="str">
        <f>_xlfn.XLOOKUP(G539,SM[Employee ID],SM[Salesperson])</f>
        <v>Aditya Kapoor</v>
      </c>
      <c r="I539" t="str">
        <f>_xlfn.XLOOKUP(G539,SM[Employee ID],SM[Region])</f>
        <v>West</v>
      </c>
      <c r="J539" t="str">
        <f>_xlfn.XLOOKUP(G539,SM[Employee ID],SM[State/City])</f>
        <v>Mumbai</v>
      </c>
      <c r="K539" s="2">
        <f>_xlfn.XLOOKUP(Sales7[[#This Row],[Order ID]],ST[Order ID],ST[Units Sold])</f>
        <v>3</v>
      </c>
      <c r="L539">
        <f t="shared" si="8"/>
        <v>11730</v>
      </c>
    </row>
    <row r="540" spans="1:12" x14ac:dyDescent="0.35">
      <c r="A540" s="7">
        <v>1529</v>
      </c>
      <c r="B540" s="1">
        <v>45493</v>
      </c>
      <c r="C540" s="2" t="s">
        <v>18</v>
      </c>
      <c r="D540" t="str">
        <f>_xlfn.XLOOKUP(Merged_Sales_Data!C540,PM[Product ID],PM[Product Name])</f>
        <v>LED Monitor 24"</v>
      </c>
      <c r="E540" t="str">
        <f>VLOOKUP(C540,PM[],3,FALSE)</f>
        <v>Electronics</v>
      </c>
      <c r="F540">
        <f>_xlfn.XLOOKUP(C540,PM[Product ID],PM[Unit Price (₹)])</f>
        <v>7700</v>
      </c>
      <c r="G540" t="str">
        <f>_xlfn.XLOOKUP(Sales7[[#This Row],[Order ID]],ST[Order ID],ST[Employee ID])</f>
        <v>E06</v>
      </c>
      <c r="H540" t="str">
        <f>_xlfn.XLOOKUP(G540,SM[Employee ID],SM[Salesperson])</f>
        <v>Sneha Roy</v>
      </c>
      <c r="I540" t="str">
        <f>_xlfn.XLOOKUP(G540,SM[Employee ID],SM[Region])</f>
        <v>East</v>
      </c>
      <c r="J540" t="str">
        <f>_xlfn.XLOOKUP(G540,SM[Employee ID],SM[State/City])</f>
        <v>Kolkata</v>
      </c>
      <c r="K540" s="2">
        <f>_xlfn.XLOOKUP(Sales7[[#This Row],[Order ID]],ST[Order ID],ST[Units Sold])</f>
        <v>2</v>
      </c>
      <c r="L540">
        <f t="shared" si="8"/>
        <v>15400</v>
      </c>
    </row>
    <row r="541" spans="1:12" x14ac:dyDescent="0.35">
      <c r="A541" s="7">
        <v>1537</v>
      </c>
      <c r="B541" s="1">
        <v>45495</v>
      </c>
      <c r="C541" s="2" t="s">
        <v>12</v>
      </c>
      <c r="D541" t="str">
        <f>_xlfn.XLOOKUP(Merged_Sales_Data!C541,PM[Product ID],PM[Product Name])</f>
        <v>Bookshelf Unit</v>
      </c>
      <c r="E541" t="str">
        <f>VLOOKUP(C541,PM[],3,FALSE)</f>
        <v>Furniture</v>
      </c>
      <c r="F541">
        <f>_xlfn.XLOOKUP(C541,PM[Product ID],PM[Unit Price (₹)])</f>
        <v>3910</v>
      </c>
      <c r="G541" t="str">
        <f>_xlfn.XLOOKUP(Sales7[[#This Row],[Order ID]],ST[Order ID],ST[Employee ID])</f>
        <v>E01</v>
      </c>
      <c r="H541" t="str">
        <f>_xlfn.XLOOKUP(G541,SM[Employee ID],SM[Salesperson])</f>
        <v>Aarav Sharma</v>
      </c>
      <c r="I541" t="str">
        <f>_xlfn.XLOOKUP(G541,SM[Employee ID],SM[Region])</f>
        <v>North</v>
      </c>
      <c r="J541" t="str">
        <f>_xlfn.XLOOKUP(G541,SM[Employee ID],SM[State/City])</f>
        <v>Lucknow</v>
      </c>
      <c r="K541" s="2">
        <f>_xlfn.XLOOKUP(Sales7[[#This Row],[Order ID]],ST[Order ID],ST[Units Sold])</f>
        <v>3</v>
      </c>
      <c r="L541">
        <f t="shared" si="8"/>
        <v>11730</v>
      </c>
    </row>
    <row r="542" spans="1:12" x14ac:dyDescent="0.35">
      <c r="A542" s="7">
        <v>1547</v>
      </c>
      <c r="B542" s="1">
        <v>45495</v>
      </c>
      <c r="C542" s="2" t="s">
        <v>8</v>
      </c>
      <c r="D542" t="str">
        <f>_xlfn.XLOOKUP(Merged_Sales_Data!C542,PM[Product ID],PM[Product Name])</f>
        <v>USB-C Hub</v>
      </c>
      <c r="E542" t="str">
        <f>VLOOKUP(C542,PM[],3,FALSE)</f>
        <v>Accessories</v>
      </c>
      <c r="F542">
        <f>_xlfn.XLOOKUP(C542,PM[Product ID],PM[Unit Price (₹)])</f>
        <v>880</v>
      </c>
      <c r="G542" t="str">
        <f>_xlfn.XLOOKUP(Sales7[[#This Row],[Order ID]],ST[Order ID],ST[Employee ID])</f>
        <v>E04</v>
      </c>
      <c r="H542" t="str">
        <f>_xlfn.XLOOKUP(G542,SM[Employee ID],SM[Salesperson])</f>
        <v>Priya Nair</v>
      </c>
      <c r="I542" t="str">
        <f>_xlfn.XLOOKUP(G542,SM[Employee ID],SM[Region])</f>
        <v>South</v>
      </c>
      <c r="J542" t="str">
        <f>_xlfn.XLOOKUP(G542,SM[Employee ID],SM[State/City])</f>
        <v>Bengaluru</v>
      </c>
      <c r="K542" s="2">
        <f>_xlfn.XLOOKUP(Sales7[[#This Row],[Order ID]],ST[Order ID],ST[Units Sold])</f>
        <v>3</v>
      </c>
      <c r="L542">
        <f t="shared" si="8"/>
        <v>2640</v>
      </c>
    </row>
    <row r="543" spans="1:12" x14ac:dyDescent="0.35">
      <c r="A543" s="7">
        <v>1522</v>
      </c>
      <c r="B543" s="1">
        <v>45497</v>
      </c>
      <c r="C543" s="2" t="s">
        <v>18</v>
      </c>
      <c r="D543" t="str">
        <f>_xlfn.XLOOKUP(Merged_Sales_Data!C543,PM[Product ID],PM[Product Name])</f>
        <v>LED Monitor 24"</v>
      </c>
      <c r="E543" t="str">
        <f>VLOOKUP(C543,PM[],3,FALSE)</f>
        <v>Electronics</v>
      </c>
      <c r="F543">
        <f>_xlfn.XLOOKUP(C543,PM[Product ID],PM[Unit Price (₹)])</f>
        <v>7700</v>
      </c>
      <c r="G543" t="str">
        <f>_xlfn.XLOOKUP(Sales7[[#This Row],[Order ID]],ST[Order ID],ST[Employee ID])</f>
        <v>E07</v>
      </c>
      <c r="H543" t="str">
        <f>_xlfn.XLOOKUP(G543,SM[Employee ID],SM[Salesperson])</f>
        <v>Aditya Kapoor</v>
      </c>
      <c r="I543" t="str">
        <f>_xlfn.XLOOKUP(G543,SM[Employee ID],SM[Region])</f>
        <v>West</v>
      </c>
      <c r="J543" t="str">
        <f>_xlfn.XLOOKUP(G543,SM[Employee ID],SM[State/City])</f>
        <v>Mumbai</v>
      </c>
      <c r="K543" s="2">
        <f>_xlfn.XLOOKUP(Sales7[[#This Row],[Order ID]],ST[Order ID],ST[Units Sold])</f>
        <v>2</v>
      </c>
      <c r="L543">
        <f t="shared" si="8"/>
        <v>15400</v>
      </c>
    </row>
    <row r="544" spans="1:12" x14ac:dyDescent="0.35">
      <c r="A544" s="7">
        <v>1534</v>
      </c>
      <c r="B544" s="1">
        <v>45497</v>
      </c>
      <c r="C544" s="2" t="s">
        <v>10</v>
      </c>
      <c r="D544" t="str">
        <f>_xlfn.XLOOKUP(Merged_Sales_Data!C544,PM[Product ID],PM[Product Name])</f>
        <v>Filing Cabinet</v>
      </c>
      <c r="E544" t="str">
        <f>VLOOKUP(C544,PM[],3,FALSE)</f>
        <v>Furniture</v>
      </c>
      <c r="F544">
        <f>_xlfn.XLOOKUP(C544,PM[Product ID],PM[Unit Price (₹)])</f>
        <v>4070</v>
      </c>
      <c r="G544" t="str">
        <f>_xlfn.XLOOKUP(Sales7[[#This Row],[Order ID]],ST[Order ID],ST[Employee ID])</f>
        <v>E03</v>
      </c>
      <c r="H544" t="str">
        <f>_xlfn.XLOOKUP(G544,SM[Employee ID],SM[Salesperson])</f>
        <v>Rohan Mehta</v>
      </c>
      <c r="I544" t="str">
        <f>_xlfn.XLOOKUP(G544,SM[Employee ID],SM[Region])</f>
        <v>South</v>
      </c>
      <c r="J544" t="str">
        <f>_xlfn.XLOOKUP(G544,SM[Employee ID],SM[State/City])</f>
        <v>Bengaluru</v>
      </c>
      <c r="K544" s="2">
        <f>_xlfn.XLOOKUP(Sales7[[#This Row],[Order ID]],ST[Order ID],ST[Units Sold])</f>
        <v>8</v>
      </c>
      <c r="L544">
        <f t="shared" si="8"/>
        <v>32560</v>
      </c>
    </row>
    <row r="545" spans="1:12" x14ac:dyDescent="0.35">
      <c r="A545" s="7">
        <v>1541</v>
      </c>
      <c r="B545" s="1">
        <v>45497</v>
      </c>
      <c r="C545" s="2" t="s">
        <v>8</v>
      </c>
      <c r="D545" t="str">
        <f>_xlfn.XLOOKUP(Merged_Sales_Data!C545,PM[Product ID],PM[Product Name])</f>
        <v>USB-C Hub</v>
      </c>
      <c r="E545" t="str">
        <f>VLOOKUP(C545,PM[],3,FALSE)</f>
        <v>Accessories</v>
      </c>
      <c r="F545">
        <f>_xlfn.XLOOKUP(C545,PM[Product ID],PM[Unit Price (₹)])</f>
        <v>880</v>
      </c>
      <c r="G545" t="str">
        <f>_xlfn.XLOOKUP(Sales7[[#This Row],[Order ID]],ST[Order ID],ST[Employee ID])</f>
        <v>E03</v>
      </c>
      <c r="H545" t="str">
        <f>_xlfn.XLOOKUP(G545,SM[Employee ID],SM[Salesperson])</f>
        <v>Rohan Mehta</v>
      </c>
      <c r="I545" t="str">
        <f>_xlfn.XLOOKUP(G545,SM[Employee ID],SM[Region])</f>
        <v>South</v>
      </c>
      <c r="J545" t="str">
        <f>_xlfn.XLOOKUP(G545,SM[Employee ID],SM[State/City])</f>
        <v>Bengaluru</v>
      </c>
      <c r="K545" s="2">
        <f>_xlfn.XLOOKUP(Sales7[[#This Row],[Order ID]],ST[Order ID],ST[Units Sold])</f>
        <v>10</v>
      </c>
      <c r="L545">
        <f t="shared" si="8"/>
        <v>8800</v>
      </c>
    </row>
    <row r="546" spans="1:12" x14ac:dyDescent="0.35">
      <c r="A546" s="7">
        <v>1531</v>
      </c>
      <c r="B546" s="1">
        <v>45499</v>
      </c>
      <c r="C546" s="2" t="s">
        <v>18</v>
      </c>
      <c r="D546" t="str">
        <f>_xlfn.XLOOKUP(Merged_Sales_Data!C546,PM[Product ID],PM[Product Name])</f>
        <v>LED Monitor 24"</v>
      </c>
      <c r="E546" t="str">
        <f>VLOOKUP(C546,PM[],3,FALSE)</f>
        <v>Electronics</v>
      </c>
      <c r="F546">
        <f>_xlfn.XLOOKUP(C546,PM[Product ID],PM[Unit Price (₹)])</f>
        <v>7700</v>
      </c>
      <c r="G546" t="str">
        <f>_xlfn.XLOOKUP(Sales7[[#This Row],[Order ID]],ST[Order ID],ST[Employee ID])</f>
        <v>E01</v>
      </c>
      <c r="H546" t="str">
        <f>_xlfn.XLOOKUP(G546,SM[Employee ID],SM[Salesperson])</f>
        <v>Aarav Sharma</v>
      </c>
      <c r="I546" t="str">
        <f>_xlfn.XLOOKUP(G546,SM[Employee ID],SM[Region])</f>
        <v>North</v>
      </c>
      <c r="J546" t="str">
        <f>_xlfn.XLOOKUP(G546,SM[Employee ID],SM[State/City])</f>
        <v>Lucknow</v>
      </c>
      <c r="K546" s="2">
        <f>_xlfn.XLOOKUP(Sales7[[#This Row],[Order ID]],ST[Order ID],ST[Units Sold])</f>
        <v>3</v>
      </c>
      <c r="L546">
        <f t="shared" si="8"/>
        <v>23100</v>
      </c>
    </row>
    <row r="547" spans="1:12" x14ac:dyDescent="0.35">
      <c r="A547" s="7">
        <v>1535</v>
      </c>
      <c r="B547" s="1">
        <v>45500</v>
      </c>
      <c r="C547" s="2" t="s">
        <v>12</v>
      </c>
      <c r="D547" t="str">
        <f>_xlfn.XLOOKUP(Merged_Sales_Data!C547,PM[Product ID],PM[Product Name])</f>
        <v>Bookshelf Unit</v>
      </c>
      <c r="E547" t="str">
        <f>VLOOKUP(C547,PM[],3,FALSE)</f>
        <v>Furniture</v>
      </c>
      <c r="F547">
        <f>_xlfn.XLOOKUP(C547,PM[Product ID],PM[Unit Price (₹)])</f>
        <v>3910</v>
      </c>
      <c r="G547" t="str">
        <f>_xlfn.XLOOKUP(Sales7[[#This Row],[Order ID]],ST[Order ID],ST[Employee ID])</f>
        <v>E05</v>
      </c>
      <c r="H547" t="str">
        <f>_xlfn.XLOOKUP(G547,SM[Employee ID],SM[Salesperson])</f>
        <v>Karan Malhotra</v>
      </c>
      <c r="I547" t="str">
        <f>_xlfn.XLOOKUP(G547,SM[Employee ID],SM[Region])</f>
        <v>East</v>
      </c>
      <c r="J547" t="str">
        <f>_xlfn.XLOOKUP(G547,SM[Employee ID],SM[State/City])</f>
        <v>Kolkata</v>
      </c>
      <c r="K547" s="2">
        <f>_xlfn.XLOOKUP(Sales7[[#This Row],[Order ID]],ST[Order ID],ST[Units Sold])</f>
        <v>6</v>
      </c>
      <c r="L547">
        <f t="shared" si="8"/>
        <v>23460</v>
      </c>
    </row>
    <row r="548" spans="1:12" x14ac:dyDescent="0.35">
      <c r="A548" s="7">
        <v>1536</v>
      </c>
      <c r="B548" s="1">
        <v>45500</v>
      </c>
      <c r="C548" s="2" t="s">
        <v>20</v>
      </c>
      <c r="D548" t="str">
        <f>_xlfn.XLOOKUP(Merged_Sales_Data!C548,PM[Product ID],PM[Product Name])</f>
        <v>Standing Desk</v>
      </c>
      <c r="E548" t="str">
        <f>VLOOKUP(C548,PM[],3,FALSE)</f>
        <v>Office Supplies</v>
      </c>
      <c r="F548">
        <f>_xlfn.XLOOKUP(C548,PM[Product ID],PM[Unit Price (₹)])</f>
        <v>11010</v>
      </c>
      <c r="G548" t="str">
        <f>_xlfn.XLOOKUP(Sales7[[#This Row],[Order ID]],ST[Order ID],ST[Employee ID])</f>
        <v>E08</v>
      </c>
      <c r="H548" t="str">
        <f>_xlfn.XLOOKUP(G548,SM[Employee ID],SM[Salesperson])</f>
        <v>Neha Joshi</v>
      </c>
      <c r="I548" t="str">
        <f>_xlfn.XLOOKUP(G548,SM[Employee ID],SM[Region])</f>
        <v>West</v>
      </c>
      <c r="J548" t="str">
        <f>_xlfn.XLOOKUP(G548,SM[Employee ID],SM[State/City])</f>
        <v>Ahmedabad</v>
      </c>
      <c r="K548" s="2">
        <f>_xlfn.XLOOKUP(Sales7[[#This Row],[Order ID]],ST[Order ID],ST[Units Sold])</f>
        <v>5</v>
      </c>
      <c r="L548">
        <f t="shared" si="8"/>
        <v>55050</v>
      </c>
    </row>
    <row r="549" spans="1:12" x14ac:dyDescent="0.35">
      <c r="A549" s="7">
        <v>1539</v>
      </c>
      <c r="B549" s="1">
        <v>45504</v>
      </c>
      <c r="C549" s="2" t="s">
        <v>14</v>
      </c>
      <c r="D549" t="str">
        <f>_xlfn.XLOOKUP(Merged_Sales_Data!C549,PM[Product ID],PM[Product Name])</f>
        <v>Laptop Backpack</v>
      </c>
      <c r="E549" t="str">
        <f>VLOOKUP(C549,PM[],3,FALSE)</f>
        <v>Accessories</v>
      </c>
      <c r="F549">
        <f>_xlfn.XLOOKUP(C549,PM[Product ID],PM[Unit Price (₹)])</f>
        <v>1110</v>
      </c>
      <c r="G549" t="str">
        <f>_xlfn.XLOOKUP(Sales7[[#This Row],[Order ID]],ST[Order ID],ST[Employee ID])</f>
        <v>E01</v>
      </c>
      <c r="H549" t="str">
        <f>_xlfn.XLOOKUP(G549,SM[Employee ID],SM[Salesperson])</f>
        <v>Aarav Sharma</v>
      </c>
      <c r="I549" t="str">
        <f>_xlfn.XLOOKUP(G549,SM[Employee ID],SM[Region])</f>
        <v>North</v>
      </c>
      <c r="J549" t="str">
        <f>_xlfn.XLOOKUP(G549,SM[Employee ID],SM[State/City])</f>
        <v>Lucknow</v>
      </c>
      <c r="K549" s="2">
        <f>_xlfn.XLOOKUP(Sales7[[#This Row],[Order ID]],ST[Order ID],ST[Units Sold])</f>
        <v>2</v>
      </c>
      <c r="L549">
        <f t="shared" si="8"/>
        <v>2220</v>
      </c>
    </row>
    <row r="550" spans="1:12" x14ac:dyDescent="0.35">
      <c r="A550" s="7">
        <v>1561</v>
      </c>
      <c r="B550" s="1">
        <v>45506</v>
      </c>
      <c r="C550" s="2" t="s">
        <v>5</v>
      </c>
      <c r="D550" t="str">
        <f>_xlfn.XLOOKUP(Merged_Sales_Data!C550,PM[Product ID],PM[Product Name])</f>
        <v>Ergo Office Chair</v>
      </c>
      <c r="E550" t="str">
        <f>VLOOKUP(C550,PM[],3,FALSE)</f>
        <v>Office Supplies</v>
      </c>
      <c r="F550">
        <f>_xlfn.XLOOKUP(C550,PM[Product ID],PM[Unit Price (₹)])</f>
        <v>6750</v>
      </c>
      <c r="G550" t="str">
        <f>_xlfn.XLOOKUP(Sales7[[#This Row],[Order ID]],ST[Order ID],ST[Employee ID])</f>
        <v>E02</v>
      </c>
      <c r="H550" t="str">
        <f>_xlfn.XLOOKUP(G550,SM[Employee ID],SM[Salesperson])</f>
        <v>Ishita Verma</v>
      </c>
      <c r="I550" t="str">
        <f>_xlfn.XLOOKUP(G550,SM[Employee ID],SM[Region])</f>
        <v>North</v>
      </c>
      <c r="J550" t="str">
        <f>_xlfn.XLOOKUP(G550,SM[Employee ID],SM[State/City])</f>
        <v>Chandigarh</v>
      </c>
      <c r="K550" s="2">
        <f>_xlfn.XLOOKUP(Sales7[[#This Row],[Order ID]],ST[Order ID],ST[Units Sold])</f>
        <v>2</v>
      </c>
      <c r="L550">
        <f t="shared" si="8"/>
        <v>13500</v>
      </c>
    </row>
    <row r="551" spans="1:12" x14ac:dyDescent="0.35">
      <c r="A551" s="7">
        <v>1562</v>
      </c>
      <c r="B551" s="1">
        <v>45508</v>
      </c>
      <c r="C551" s="2" t="s">
        <v>5</v>
      </c>
      <c r="D551" t="str">
        <f>_xlfn.XLOOKUP(Merged_Sales_Data!C551,PM[Product ID],PM[Product Name])</f>
        <v>Ergo Office Chair</v>
      </c>
      <c r="E551" t="str">
        <f>VLOOKUP(C551,PM[],3,FALSE)</f>
        <v>Office Supplies</v>
      </c>
      <c r="F551">
        <f>_xlfn.XLOOKUP(C551,PM[Product ID],PM[Unit Price (₹)])</f>
        <v>6750</v>
      </c>
      <c r="G551" t="str">
        <f>_xlfn.XLOOKUP(Sales7[[#This Row],[Order ID]],ST[Order ID],ST[Employee ID])</f>
        <v>E04</v>
      </c>
      <c r="H551" t="str">
        <f>_xlfn.XLOOKUP(G551,SM[Employee ID],SM[Salesperson])</f>
        <v>Priya Nair</v>
      </c>
      <c r="I551" t="str">
        <f>_xlfn.XLOOKUP(G551,SM[Employee ID],SM[Region])</f>
        <v>South</v>
      </c>
      <c r="J551" t="str">
        <f>_xlfn.XLOOKUP(G551,SM[Employee ID],SM[State/City])</f>
        <v>Bengaluru</v>
      </c>
      <c r="K551" s="2">
        <f>_xlfn.XLOOKUP(Sales7[[#This Row],[Order ID]],ST[Order ID],ST[Units Sold])</f>
        <v>1</v>
      </c>
      <c r="L551">
        <f t="shared" si="8"/>
        <v>6750</v>
      </c>
    </row>
    <row r="552" spans="1:12" x14ac:dyDescent="0.35">
      <c r="A552" s="7">
        <v>1563</v>
      </c>
      <c r="B552" s="1">
        <v>45508</v>
      </c>
      <c r="C552" s="2" t="s">
        <v>12</v>
      </c>
      <c r="D552" t="str">
        <f>_xlfn.XLOOKUP(Merged_Sales_Data!C552,PM[Product ID],PM[Product Name])</f>
        <v>Bookshelf Unit</v>
      </c>
      <c r="E552" t="str">
        <f>VLOOKUP(C552,PM[],3,FALSE)</f>
        <v>Furniture</v>
      </c>
      <c r="F552">
        <f>_xlfn.XLOOKUP(C552,PM[Product ID],PM[Unit Price (₹)])</f>
        <v>3910</v>
      </c>
      <c r="G552" t="str">
        <f>_xlfn.XLOOKUP(Sales7[[#This Row],[Order ID]],ST[Order ID],ST[Employee ID])</f>
        <v>E07</v>
      </c>
      <c r="H552" t="str">
        <f>_xlfn.XLOOKUP(G552,SM[Employee ID],SM[Salesperson])</f>
        <v>Aditya Kapoor</v>
      </c>
      <c r="I552" t="str">
        <f>_xlfn.XLOOKUP(G552,SM[Employee ID],SM[Region])</f>
        <v>West</v>
      </c>
      <c r="J552" t="str">
        <f>_xlfn.XLOOKUP(G552,SM[Employee ID],SM[State/City])</f>
        <v>Mumbai</v>
      </c>
      <c r="K552" s="2">
        <f>_xlfn.XLOOKUP(Sales7[[#This Row],[Order ID]],ST[Order ID],ST[Units Sold])</f>
        <v>5</v>
      </c>
      <c r="L552">
        <f t="shared" si="8"/>
        <v>19550</v>
      </c>
    </row>
    <row r="553" spans="1:12" x14ac:dyDescent="0.35">
      <c r="A553" s="7">
        <v>1560</v>
      </c>
      <c r="B553" s="1">
        <v>45509</v>
      </c>
      <c r="C553" s="2" t="s">
        <v>8</v>
      </c>
      <c r="D553" t="str">
        <f>_xlfn.XLOOKUP(Merged_Sales_Data!C553,PM[Product ID],PM[Product Name])</f>
        <v>USB-C Hub</v>
      </c>
      <c r="E553" t="str">
        <f>VLOOKUP(C553,PM[],3,FALSE)</f>
        <v>Accessories</v>
      </c>
      <c r="F553">
        <f>_xlfn.XLOOKUP(C553,PM[Product ID],PM[Unit Price (₹)])</f>
        <v>880</v>
      </c>
      <c r="G553" t="str">
        <f>_xlfn.XLOOKUP(Sales7[[#This Row],[Order ID]],ST[Order ID],ST[Employee ID])</f>
        <v>E05</v>
      </c>
      <c r="H553" t="str">
        <f>_xlfn.XLOOKUP(G553,SM[Employee ID],SM[Salesperson])</f>
        <v>Karan Malhotra</v>
      </c>
      <c r="I553" t="str">
        <f>_xlfn.XLOOKUP(G553,SM[Employee ID],SM[Region])</f>
        <v>East</v>
      </c>
      <c r="J553" t="str">
        <f>_xlfn.XLOOKUP(G553,SM[Employee ID],SM[State/City])</f>
        <v>Kolkata</v>
      </c>
      <c r="K553" s="2">
        <f>_xlfn.XLOOKUP(Sales7[[#This Row],[Order ID]],ST[Order ID],ST[Units Sold])</f>
        <v>2</v>
      </c>
      <c r="L553">
        <f t="shared" si="8"/>
        <v>1760</v>
      </c>
    </row>
    <row r="554" spans="1:12" x14ac:dyDescent="0.35">
      <c r="A554" s="7">
        <v>1571</v>
      </c>
      <c r="B554" s="1">
        <v>45510</v>
      </c>
      <c r="C554" s="2" t="s">
        <v>10</v>
      </c>
      <c r="D554" t="str">
        <f>_xlfn.XLOOKUP(Merged_Sales_Data!C554,PM[Product ID],PM[Product Name])</f>
        <v>Filing Cabinet</v>
      </c>
      <c r="E554" t="str">
        <f>VLOOKUP(C554,PM[],3,FALSE)</f>
        <v>Furniture</v>
      </c>
      <c r="F554">
        <f>_xlfn.XLOOKUP(C554,PM[Product ID],PM[Unit Price (₹)])</f>
        <v>4070</v>
      </c>
      <c r="G554" t="str">
        <f>_xlfn.XLOOKUP(Sales7[[#This Row],[Order ID]],ST[Order ID],ST[Employee ID])</f>
        <v>E01</v>
      </c>
      <c r="H554" t="str">
        <f>_xlfn.XLOOKUP(G554,SM[Employee ID],SM[Salesperson])</f>
        <v>Aarav Sharma</v>
      </c>
      <c r="I554" t="str">
        <f>_xlfn.XLOOKUP(G554,SM[Employee ID],SM[Region])</f>
        <v>North</v>
      </c>
      <c r="J554" t="str">
        <f>_xlfn.XLOOKUP(G554,SM[Employee ID],SM[State/City])</f>
        <v>Lucknow</v>
      </c>
      <c r="K554" s="2">
        <f>_xlfn.XLOOKUP(Sales7[[#This Row],[Order ID]],ST[Order ID],ST[Units Sold])</f>
        <v>5</v>
      </c>
      <c r="L554">
        <f t="shared" si="8"/>
        <v>20350</v>
      </c>
    </row>
    <row r="555" spans="1:12" x14ac:dyDescent="0.35">
      <c r="A555" s="7">
        <v>1559</v>
      </c>
      <c r="B555" s="1">
        <v>45511</v>
      </c>
      <c r="C555" s="2" t="s">
        <v>14</v>
      </c>
      <c r="D555" t="str">
        <f>_xlfn.XLOOKUP(Merged_Sales_Data!C555,PM[Product ID],PM[Product Name])</f>
        <v>Laptop Backpack</v>
      </c>
      <c r="E555" t="str">
        <f>VLOOKUP(C555,PM[],3,FALSE)</f>
        <v>Accessories</v>
      </c>
      <c r="F555">
        <f>_xlfn.XLOOKUP(C555,PM[Product ID],PM[Unit Price (₹)])</f>
        <v>1110</v>
      </c>
      <c r="G555" t="str">
        <f>_xlfn.XLOOKUP(Sales7[[#This Row],[Order ID]],ST[Order ID],ST[Employee ID])</f>
        <v>E05</v>
      </c>
      <c r="H555" t="str">
        <f>_xlfn.XLOOKUP(G555,SM[Employee ID],SM[Salesperson])</f>
        <v>Karan Malhotra</v>
      </c>
      <c r="I555" t="str">
        <f>_xlfn.XLOOKUP(G555,SM[Employee ID],SM[Region])</f>
        <v>East</v>
      </c>
      <c r="J555" t="str">
        <f>_xlfn.XLOOKUP(G555,SM[Employee ID],SM[State/City])</f>
        <v>Kolkata</v>
      </c>
      <c r="K555" s="2">
        <f>_xlfn.XLOOKUP(Sales7[[#This Row],[Order ID]],ST[Order ID],ST[Units Sold])</f>
        <v>2</v>
      </c>
      <c r="L555">
        <f t="shared" si="8"/>
        <v>2220</v>
      </c>
    </row>
    <row r="556" spans="1:12" x14ac:dyDescent="0.35">
      <c r="A556" s="7">
        <v>1566</v>
      </c>
      <c r="B556" s="1">
        <v>45511</v>
      </c>
      <c r="C556" s="2" t="s">
        <v>14</v>
      </c>
      <c r="D556" t="str">
        <f>_xlfn.XLOOKUP(Merged_Sales_Data!C556,PM[Product ID],PM[Product Name])</f>
        <v>Laptop Backpack</v>
      </c>
      <c r="E556" t="str">
        <f>VLOOKUP(C556,PM[],3,FALSE)</f>
        <v>Accessories</v>
      </c>
      <c r="F556">
        <f>_xlfn.XLOOKUP(C556,PM[Product ID],PM[Unit Price (₹)])</f>
        <v>1110</v>
      </c>
      <c r="G556" t="str">
        <f>_xlfn.XLOOKUP(Sales7[[#This Row],[Order ID]],ST[Order ID],ST[Employee ID])</f>
        <v>E08</v>
      </c>
      <c r="H556" t="str">
        <f>_xlfn.XLOOKUP(G556,SM[Employee ID],SM[Salesperson])</f>
        <v>Neha Joshi</v>
      </c>
      <c r="I556" t="str">
        <f>_xlfn.XLOOKUP(G556,SM[Employee ID],SM[Region])</f>
        <v>West</v>
      </c>
      <c r="J556" t="str">
        <f>_xlfn.XLOOKUP(G556,SM[Employee ID],SM[State/City])</f>
        <v>Ahmedabad</v>
      </c>
      <c r="K556" s="2">
        <f>_xlfn.XLOOKUP(Sales7[[#This Row],[Order ID]],ST[Order ID],ST[Units Sold])</f>
        <v>10</v>
      </c>
      <c r="L556">
        <f t="shared" si="8"/>
        <v>11100</v>
      </c>
    </row>
    <row r="557" spans="1:12" x14ac:dyDescent="0.35">
      <c r="A557" s="7">
        <v>1576</v>
      </c>
      <c r="B557" s="1">
        <v>45513</v>
      </c>
      <c r="C557" s="2" t="s">
        <v>14</v>
      </c>
      <c r="D557" t="str">
        <f>_xlfn.XLOOKUP(Merged_Sales_Data!C557,PM[Product ID],PM[Product Name])</f>
        <v>Laptop Backpack</v>
      </c>
      <c r="E557" t="str">
        <f>VLOOKUP(C557,PM[],3,FALSE)</f>
        <v>Accessories</v>
      </c>
      <c r="F557">
        <f>_xlfn.XLOOKUP(C557,PM[Product ID],PM[Unit Price (₹)])</f>
        <v>1110</v>
      </c>
      <c r="G557" t="str">
        <f>_xlfn.XLOOKUP(Sales7[[#This Row],[Order ID]],ST[Order ID],ST[Employee ID])</f>
        <v>E03</v>
      </c>
      <c r="H557" t="str">
        <f>_xlfn.XLOOKUP(G557,SM[Employee ID],SM[Salesperson])</f>
        <v>Rohan Mehta</v>
      </c>
      <c r="I557" t="str">
        <f>_xlfn.XLOOKUP(G557,SM[Employee ID],SM[Region])</f>
        <v>South</v>
      </c>
      <c r="J557" t="str">
        <f>_xlfn.XLOOKUP(G557,SM[Employee ID],SM[State/City])</f>
        <v>Bengaluru</v>
      </c>
      <c r="K557" s="2">
        <f>_xlfn.XLOOKUP(Sales7[[#This Row],[Order ID]],ST[Order ID],ST[Units Sold])</f>
        <v>10</v>
      </c>
      <c r="L557">
        <f t="shared" si="8"/>
        <v>11100</v>
      </c>
    </row>
    <row r="558" spans="1:12" x14ac:dyDescent="0.35">
      <c r="A558" s="7">
        <v>1557</v>
      </c>
      <c r="B558" s="1">
        <v>45514</v>
      </c>
      <c r="C558" s="2" t="s">
        <v>20</v>
      </c>
      <c r="D558" t="str">
        <f>_xlfn.XLOOKUP(Merged_Sales_Data!C558,PM[Product ID],PM[Product Name])</f>
        <v>Standing Desk</v>
      </c>
      <c r="E558" t="str">
        <f>VLOOKUP(C558,PM[],3,FALSE)</f>
        <v>Office Supplies</v>
      </c>
      <c r="F558">
        <f>_xlfn.XLOOKUP(C558,PM[Product ID],PM[Unit Price (₹)])</f>
        <v>11010</v>
      </c>
      <c r="G558" t="str">
        <f>_xlfn.XLOOKUP(Sales7[[#This Row],[Order ID]],ST[Order ID],ST[Employee ID])</f>
        <v>E03</v>
      </c>
      <c r="H558" t="str">
        <f>_xlfn.XLOOKUP(G558,SM[Employee ID],SM[Salesperson])</f>
        <v>Rohan Mehta</v>
      </c>
      <c r="I558" t="str">
        <f>_xlfn.XLOOKUP(G558,SM[Employee ID],SM[Region])</f>
        <v>South</v>
      </c>
      <c r="J558" t="str">
        <f>_xlfn.XLOOKUP(G558,SM[Employee ID],SM[State/City])</f>
        <v>Bengaluru</v>
      </c>
      <c r="K558" s="2">
        <f>_xlfn.XLOOKUP(Sales7[[#This Row],[Order ID]],ST[Order ID],ST[Units Sold])</f>
        <v>1</v>
      </c>
      <c r="L558">
        <f t="shared" si="8"/>
        <v>11010</v>
      </c>
    </row>
    <row r="559" spans="1:12" x14ac:dyDescent="0.35">
      <c r="A559" s="7">
        <v>1572</v>
      </c>
      <c r="B559" s="1">
        <v>45514</v>
      </c>
      <c r="C559" s="2" t="s">
        <v>21</v>
      </c>
      <c r="D559" t="str">
        <f>_xlfn.XLOOKUP(Merged_Sales_Data!C559,PM[Product ID],PM[Product Name])</f>
        <v>Wireless Mouse</v>
      </c>
      <c r="E559" t="str">
        <f>VLOOKUP(C559,PM[],3,FALSE)</f>
        <v>Electronics</v>
      </c>
      <c r="F559">
        <f>_xlfn.XLOOKUP(C559,PM[Product ID],PM[Unit Price (₹)])</f>
        <v>780</v>
      </c>
      <c r="G559" t="str">
        <f>_xlfn.XLOOKUP(Sales7[[#This Row],[Order ID]],ST[Order ID],ST[Employee ID])</f>
        <v>E05</v>
      </c>
      <c r="H559" t="str">
        <f>_xlfn.XLOOKUP(G559,SM[Employee ID],SM[Salesperson])</f>
        <v>Karan Malhotra</v>
      </c>
      <c r="I559" t="str">
        <f>_xlfn.XLOOKUP(G559,SM[Employee ID],SM[Region])</f>
        <v>East</v>
      </c>
      <c r="J559" t="str">
        <f>_xlfn.XLOOKUP(G559,SM[Employee ID],SM[State/City])</f>
        <v>Kolkata</v>
      </c>
      <c r="K559" s="2">
        <f>_xlfn.XLOOKUP(Sales7[[#This Row],[Order ID]],ST[Order ID],ST[Units Sold])</f>
        <v>1</v>
      </c>
      <c r="L559">
        <f t="shared" si="8"/>
        <v>780</v>
      </c>
    </row>
    <row r="560" spans="1:12" x14ac:dyDescent="0.35">
      <c r="A560" s="7">
        <v>1553</v>
      </c>
      <c r="B560" s="1">
        <v>45515</v>
      </c>
      <c r="C560" s="2" t="s">
        <v>5</v>
      </c>
      <c r="D560" t="str">
        <f>_xlfn.XLOOKUP(Merged_Sales_Data!C560,PM[Product ID],PM[Product Name])</f>
        <v>Ergo Office Chair</v>
      </c>
      <c r="E560" t="str">
        <f>VLOOKUP(C560,PM[],3,FALSE)</f>
        <v>Office Supplies</v>
      </c>
      <c r="F560">
        <f>_xlfn.XLOOKUP(C560,PM[Product ID],PM[Unit Price (₹)])</f>
        <v>6750</v>
      </c>
      <c r="G560" t="str">
        <f>_xlfn.XLOOKUP(Sales7[[#This Row],[Order ID]],ST[Order ID],ST[Employee ID])</f>
        <v>E05</v>
      </c>
      <c r="H560" t="str">
        <f>_xlfn.XLOOKUP(G560,SM[Employee ID],SM[Salesperson])</f>
        <v>Karan Malhotra</v>
      </c>
      <c r="I560" t="str">
        <f>_xlfn.XLOOKUP(G560,SM[Employee ID],SM[Region])</f>
        <v>East</v>
      </c>
      <c r="J560" t="str">
        <f>_xlfn.XLOOKUP(G560,SM[Employee ID],SM[State/City])</f>
        <v>Kolkata</v>
      </c>
      <c r="K560" s="2">
        <f>_xlfn.XLOOKUP(Sales7[[#This Row],[Order ID]],ST[Order ID],ST[Units Sold])</f>
        <v>5</v>
      </c>
      <c r="L560">
        <f t="shared" si="8"/>
        <v>33750</v>
      </c>
    </row>
    <row r="561" spans="1:12" x14ac:dyDescent="0.35">
      <c r="A561" s="7">
        <v>1575</v>
      </c>
      <c r="B561" s="1">
        <v>45515</v>
      </c>
      <c r="C561" s="2" t="s">
        <v>5</v>
      </c>
      <c r="D561" t="str">
        <f>_xlfn.XLOOKUP(Merged_Sales_Data!C561,PM[Product ID],PM[Product Name])</f>
        <v>Ergo Office Chair</v>
      </c>
      <c r="E561" t="str">
        <f>VLOOKUP(C561,PM[],3,FALSE)</f>
        <v>Office Supplies</v>
      </c>
      <c r="F561">
        <f>_xlfn.XLOOKUP(C561,PM[Product ID],PM[Unit Price (₹)])</f>
        <v>6750</v>
      </c>
      <c r="G561" t="str">
        <f>_xlfn.XLOOKUP(Sales7[[#This Row],[Order ID]],ST[Order ID],ST[Employee ID])</f>
        <v>E05</v>
      </c>
      <c r="H561" t="str">
        <f>_xlfn.XLOOKUP(G561,SM[Employee ID],SM[Salesperson])</f>
        <v>Karan Malhotra</v>
      </c>
      <c r="I561" t="str">
        <f>_xlfn.XLOOKUP(G561,SM[Employee ID],SM[Region])</f>
        <v>East</v>
      </c>
      <c r="J561" t="str">
        <f>_xlfn.XLOOKUP(G561,SM[Employee ID],SM[State/City])</f>
        <v>Kolkata</v>
      </c>
      <c r="K561" s="2">
        <f>_xlfn.XLOOKUP(Sales7[[#This Row],[Order ID]],ST[Order ID],ST[Units Sold])</f>
        <v>1</v>
      </c>
      <c r="L561">
        <f t="shared" si="8"/>
        <v>6750</v>
      </c>
    </row>
    <row r="562" spans="1:12" x14ac:dyDescent="0.35">
      <c r="A562" s="7">
        <v>1573</v>
      </c>
      <c r="B562" s="1">
        <v>45519</v>
      </c>
      <c r="C562" s="2" t="s">
        <v>12</v>
      </c>
      <c r="D562" t="str">
        <f>_xlfn.XLOOKUP(Merged_Sales_Data!C562,PM[Product ID],PM[Product Name])</f>
        <v>Bookshelf Unit</v>
      </c>
      <c r="E562" t="str">
        <f>VLOOKUP(C562,PM[],3,FALSE)</f>
        <v>Furniture</v>
      </c>
      <c r="F562">
        <f>_xlfn.XLOOKUP(C562,PM[Product ID],PM[Unit Price (₹)])</f>
        <v>3910</v>
      </c>
      <c r="G562" t="str">
        <f>_xlfn.XLOOKUP(Sales7[[#This Row],[Order ID]],ST[Order ID],ST[Employee ID])</f>
        <v>E02</v>
      </c>
      <c r="H562" t="str">
        <f>_xlfn.XLOOKUP(G562,SM[Employee ID],SM[Salesperson])</f>
        <v>Ishita Verma</v>
      </c>
      <c r="I562" t="str">
        <f>_xlfn.XLOOKUP(G562,SM[Employee ID],SM[Region])</f>
        <v>North</v>
      </c>
      <c r="J562" t="str">
        <f>_xlfn.XLOOKUP(G562,SM[Employee ID],SM[State/City])</f>
        <v>Chandigarh</v>
      </c>
      <c r="K562" s="2">
        <f>_xlfn.XLOOKUP(Sales7[[#This Row],[Order ID]],ST[Order ID],ST[Units Sold])</f>
        <v>2</v>
      </c>
      <c r="L562">
        <f t="shared" si="8"/>
        <v>7820</v>
      </c>
    </row>
    <row r="563" spans="1:12" x14ac:dyDescent="0.35">
      <c r="A563" s="7">
        <v>1574</v>
      </c>
      <c r="B563" s="1">
        <v>45519</v>
      </c>
      <c r="C563" s="2" t="s">
        <v>18</v>
      </c>
      <c r="D563" t="str">
        <f>_xlfn.XLOOKUP(Merged_Sales_Data!C563,PM[Product ID],PM[Product Name])</f>
        <v>LED Monitor 24"</v>
      </c>
      <c r="E563" t="str">
        <f>VLOOKUP(C563,PM[],3,FALSE)</f>
        <v>Electronics</v>
      </c>
      <c r="F563">
        <f>_xlfn.XLOOKUP(C563,PM[Product ID],PM[Unit Price (₹)])</f>
        <v>7700</v>
      </c>
      <c r="G563" t="str">
        <f>_xlfn.XLOOKUP(Sales7[[#This Row],[Order ID]],ST[Order ID],ST[Employee ID])</f>
        <v>E08</v>
      </c>
      <c r="H563" t="str">
        <f>_xlfn.XLOOKUP(G563,SM[Employee ID],SM[Salesperson])</f>
        <v>Neha Joshi</v>
      </c>
      <c r="I563" t="str">
        <f>_xlfn.XLOOKUP(G563,SM[Employee ID],SM[Region])</f>
        <v>West</v>
      </c>
      <c r="J563" t="str">
        <f>_xlfn.XLOOKUP(G563,SM[Employee ID],SM[State/City])</f>
        <v>Ahmedabad</v>
      </c>
      <c r="K563" s="2">
        <f>_xlfn.XLOOKUP(Sales7[[#This Row],[Order ID]],ST[Order ID],ST[Units Sold])</f>
        <v>6</v>
      </c>
      <c r="L563">
        <f t="shared" si="8"/>
        <v>46200</v>
      </c>
    </row>
    <row r="564" spans="1:12" x14ac:dyDescent="0.35">
      <c r="A564" s="7">
        <v>1550</v>
      </c>
      <c r="B564" s="1">
        <v>45520</v>
      </c>
      <c r="C564" s="2" t="s">
        <v>20</v>
      </c>
      <c r="D564" t="str">
        <f>_xlfn.XLOOKUP(Merged_Sales_Data!C564,PM[Product ID],PM[Product Name])</f>
        <v>Standing Desk</v>
      </c>
      <c r="E564" t="str">
        <f>VLOOKUP(C564,PM[],3,FALSE)</f>
        <v>Office Supplies</v>
      </c>
      <c r="F564">
        <f>_xlfn.XLOOKUP(C564,PM[Product ID],PM[Unit Price (₹)])</f>
        <v>11010</v>
      </c>
      <c r="G564" t="str">
        <f>_xlfn.XLOOKUP(Sales7[[#This Row],[Order ID]],ST[Order ID],ST[Employee ID])</f>
        <v>E06</v>
      </c>
      <c r="H564" t="str">
        <f>_xlfn.XLOOKUP(G564,SM[Employee ID],SM[Salesperson])</f>
        <v>Sneha Roy</v>
      </c>
      <c r="I564" t="str">
        <f>_xlfn.XLOOKUP(G564,SM[Employee ID],SM[Region])</f>
        <v>East</v>
      </c>
      <c r="J564" t="str">
        <f>_xlfn.XLOOKUP(G564,SM[Employee ID],SM[State/City])</f>
        <v>Kolkata</v>
      </c>
      <c r="K564" s="2">
        <f>_xlfn.XLOOKUP(Sales7[[#This Row],[Order ID]],ST[Order ID],ST[Units Sold])</f>
        <v>8</v>
      </c>
      <c r="L564">
        <f t="shared" si="8"/>
        <v>88080</v>
      </c>
    </row>
    <row r="565" spans="1:12" x14ac:dyDescent="0.35">
      <c r="A565" s="7">
        <v>1549</v>
      </c>
      <c r="B565" s="1">
        <v>45522</v>
      </c>
      <c r="C565" s="2" t="s">
        <v>8</v>
      </c>
      <c r="D565" t="str">
        <f>_xlfn.XLOOKUP(Merged_Sales_Data!C565,PM[Product ID],PM[Product Name])</f>
        <v>USB-C Hub</v>
      </c>
      <c r="E565" t="str">
        <f>VLOOKUP(C565,PM[],3,FALSE)</f>
        <v>Accessories</v>
      </c>
      <c r="F565">
        <f>_xlfn.XLOOKUP(C565,PM[Product ID],PM[Unit Price (₹)])</f>
        <v>880</v>
      </c>
      <c r="G565" t="str">
        <f>_xlfn.XLOOKUP(Sales7[[#This Row],[Order ID]],ST[Order ID],ST[Employee ID])</f>
        <v>E08</v>
      </c>
      <c r="H565" t="str">
        <f>_xlfn.XLOOKUP(G565,SM[Employee ID],SM[Salesperson])</f>
        <v>Neha Joshi</v>
      </c>
      <c r="I565" t="str">
        <f>_xlfn.XLOOKUP(G565,SM[Employee ID],SM[Region])</f>
        <v>West</v>
      </c>
      <c r="J565" t="str">
        <f>_xlfn.XLOOKUP(G565,SM[Employee ID],SM[State/City])</f>
        <v>Ahmedabad</v>
      </c>
      <c r="K565" s="2">
        <f>_xlfn.XLOOKUP(Sales7[[#This Row],[Order ID]],ST[Order ID],ST[Units Sold])</f>
        <v>3</v>
      </c>
      <c r="L565">
        <f t="shared" si="8"/>
        <v>2640</v>
      </c>
    </row>
    <row r="566" spans="1:12" x14ac:dyDescent="0.35">
      <c r="A566" s="7">
        <v>1551</v>
      </c>
      <c r="B566" s="1">
        <v>45522</v>
      </c>
      <c r="C566" s="2" t="s">
        <v>5</v>
      </c>
      <c r="D566" t="str">
        <f>_xlfn.XLOOKUP(Merged_Sales_Data!C566,PM[Product ID],PM[Product Name])</f>
        <v>Ergo Office Chair</v>
      </c>
      <c r="E566" t="str">
        <f>VLOOKUP(C566,PM[],3,FALSE)</f>
        <v>Office Supplies</v>
      </c>
      <c r="F566">
        <f>_xlfn.XLOOKUP(C566,PM[Product ID],PM[Unit Price (₹)])</f>
        <v>6750</v>
      </c>
      <c r="G566" t="str">
        <f>_xlfn.XLOOKUP(Sales7[[#This Row],[Order ID]],ST[Order ID],ST[Employee ID])</f>
        <v>E04</v>
      </c>
      <c r="H566" t="str">
        <f>_xlfn.XLOOKUP(G566,SM[Employee ID],SM[Salesperson])</f>
        <v>Priya Nair</v>
      </c>
      <c r="I566" t="str">
        <f>_xlfn.XLOOKUP(G566,SM[Employee ID],SM[Region])</f>
        <v>South</v>
      </c>
      <c r="J566" t="str">
        <f>_xlfn.XLOOKUP(G566,SM[Employee ID],SM[State/City])</f>
        <v>Bengaluru</v>
      </c>
      <c r="K566" s="2">
        <f>_xlfn.XLOOKUP(Sales7[[#This Row],[Order ID]],ST[Order ID],ST[Units Sold])</f>
        <v>2</v>
      </c>
      <c r="L566">
        <f t="shared" si="8"/>
        <v>13500</v>
      </c>
    </row>
    <row r="567" spans="1:12" x14ac:dyDescent="0.35">
      <c r="A567" s="7">
        <v>1555</v>
      </c>
      <c r="B567" s="1">
        <v>45523</v>
      </c>
      <c r="C567" s="2" t="s">
        <v>20</v>
      </c>
      <c r="D567" t="str">
        <f>_xlfn.XLOOKUP(Merged_Sales_Data!C567,PM[Product ID],PM[Product Name])</f>
        <v>Standing Desk</v>
      </c>
      <c r="E567" t="str">
        <f>VLOOKUP(C567,PM[],3,FALSE)</f>
        <v>Office Supplies</v>
      </c>
      <c r="F567">
        <f>_xlfn.XLOOKUP(C567,PM[Product ID],PM[Unit Price (₹)])</f>
        <v>11010</v>
      </c>
      <c r="G567" t="str">
        <f>_xlfn.XLOOKUP(Sales7[[#This Row],[Order ID]],ST[Order ID],ST[Employee ID])</f>
        <v>E05</v>
      </c>
      <c r="H567" t="str">
        <f>_xlfn.XLOOKUP(G567,SM[Employee ID],SM[Salesperson])</f>
        <v>Karan Malhotra</v>
      </c>
      <c r="I567" t="str">
        <f>_xlfn.XLOOKUP(G567,SM[Employee ID],SM[Region])</f>
        <v>East</v>
      </c>
      <c r="J567" t="str">
        <f>_xlfn.XLOOKUP(G567,SM[Employee ID],SM[State/City])</f>
        <v>Kolkata</v>
      </c>
      <c r="K567" s="2">
        <f>_xlfn.XLOOKUP(Sales7[[#This Row],[Order ID]],ST[Order ID],ST[Units Sold])</f>
        <v>1</v>
      </c>
      <c r="L567">
        <f t="shared" si="8"/>
        <v>11010</v>
      </c>
    </row>
    <row r="568" spans="1:12" x14ac:dyDescent="0.35">
      <c r="A568" s="7">
        <v>1568</v>
      </c>
      <c r="B568" s="1">
        <v>45523</v>
      </c>
      <c r="C568" s="2" t="s">
        <v>11</v>
      </c>
      <c r="D568" t="str">
        <f>_xlfn.XLOOKUP(Merged_Sales_Data!C568,PM[Product ID],PM[Product Name])</f>
        <v>Bluetooth Speaker</v>
      </c>
      <c r="E568" t="str">
        <f>VLOOKUP(C568,PM[],3,FALSE)</f>
        <v>Electronics</v>
      </c>
      <c r="F568">
        <f>_xlfn.XLOOKUP(C568,PM[Product ID],PM[Unit Price (₹)])</f>
        <v>1430</v>
      </c>
      <c r="G568" t="str">
        <f>_xlfn.XLOOKUP(Sales7[[#This Row],[Order ID]],ST[Order ID],ST[Employee ID])</f>
        <v>E01</v>
      </c>
      <c r="H568" t="str">
        <f>_xlfn.XLOOKUP(G568,SM[Employee ID],SM[Salesperson])</f>
        <v>Aarav Sharma</v>
      </c>
      <c r="I568" t="str">
        <f>_xlfn.XLOOKUP(G568,SM[Employee ID],SM[Region])</f>
        <v>North</v>
      </c>
      <c r="J568" t="str">
        <f>_xlfn.XLOOKUP(G568,SM[Employee ID],SM[State/City])</f>
        <v>Lucknow</v>
      </c>
      <c r="K568" s="2">
        <f>_xlfn.XLOOKUP(Sales7[[#This Row],[Order ID]],ST[Order ID],ST[Units Sold])</f>
        <v>10</v>
      </c>
      <c r="L568">
        <f t="shared" si="8"/>
        <v>14300</v>
      </c>
    </row>
    <row r="569" spans="1:12" x14ac:dyDescent="0.35">
      <c r="A569" s="7">
        <v>1558</v>
      </c>
      <c r="B569" s="1">
        <v>45525</v>
      </c>
      <c r="C569" s="2" t="s">
        <v>12</v>
      </c>
      <c r="D569" t="str">
        <f>_xlfn.XLOOKUP(Merged_Sales_Data!C569,PM[Product ID],PM[Product Name])</f>
        <v>Bookshelf Unit</v>
      </c>
      <c r="E569" t="str">
        <f>VLOOKUP(C569,PM[],3,FALSE)</f>
        <v>Furniture</v>
      </c>
      <c r="F569">
        <f>_xlfn.XLOOKUP(C569,PM[Product ID],PM[Unit Price (₹)])</f>
        <v>3910</v>
      </c>
      <c r="G569" t="str">
        <f>_xlfn.XLOOKUP(Sales7[[#This Row],[Order ID]],ST[Order ID],ST[Employee ID])</f>
        <v>E02</v>
      </c>
      <c r="H569" t="str">
        <f>_xlfn.XLOOKUP(G569,SM[Employee ID],SM[Salesperson])</f>
        <v>Ishita Verma</v>
      </c>
      <c r="I569" t="str">
        <f>_xlfn.XLOOKUP(G569,SM[Employee ID],SM[Region])</f>
        <v>North</v>
      </c>
      <c r="J569" t="str">
        <f>_xlfn.XLOOKUP(G569,SM[Employee ID],SM[State/City])</f>
        <v>Chandigarh</v>
      </c>
      <c r="K569" s="2">
        <f>_xlfn.XLOOKUP(Sales7[[#This Row],[Order ID]],ST[Order ID],ST[Units Sold])</f>
        <v>5</v>
      </c>
      <c r="L569">
        <f t="shared" si="8"/>
        <v>19550</v>
      </c>
    </row>
    <row r="570" spans="1:12" x14ac:dyDescent="0.35">
      <c r="A570" s="7">
        <v>1567</v>
      </c>
      <c r="B570" s="1">
        <v>45525</v>
      </c>
      <c r="C570" s="2" t="s">
        <v>12</v>
      </c>
      <c r="D570" t="str">
        <f>_xlfn.XLOOKUP(Merged_Sales_Data!C570,PM[Product ID],PM[Product Name])</f>
        <v>Bookshelf Unit</v>
      </c>
      <c r="E570" t="str">
        <f>VLOOKUP(C570,PM[],3,FALSE)</f>
        <v>Furniture</v>
      </c>
      <c r="F570">
        <f>_xlfn.XLOOKUP(C570,PM[Product ID],PM[Unit Price (₹)])</f>
        <v>3910</v>
      </c>
      <c r="G570" t="str">
        <f>_xlfn.XLOOKUP(Sales7[[#This Row],[Order ID]],ST[Order ID],ST[Employee ID])</f>
        <v>E05</v>
      </c>
      <c r="H570" t="str">
        <f>_xlfn.XLOOKUP(G570,SM[Employee ID],SM[Salesperson])</f>
        <v>Karan Malhotra</v>
      </c>
      <c r="I570" t="str">
        <f>_xlfn.XLOOKUP(G570,SM[Employee ID],SM[Region])</f>
        <v>East</v>
      </c>
      <c r="J570" t="str">
        <f>_xlfn.XLOOKUP(G570,SM[Employee ID],SM[State/City])</f>
        <v>Kolkata</v>
      </c>
      <c r="K570" s="2">
        <f>_xlfn.XLOOKUP(Sales7[[#This Row],[Order ID]],ST[Order ID],ST[Units Sold])</f>
        <v>2</v>
      </c>
      <c r="L570">
        <f t="shared" si="8"/>
        <v>7820</v>
      </c>
    </row>
    <row r="571" spans="1:12" x14ac:dyDescent="0.35">
      <c r="A571" s="7">
        <v>1552</v>
      </c>
      <c r="B571" s="1">
        <v>45529</v>
      </c>
      <c r="C571" s="2" t="s">
        <v>5</v>
      </c>
      <c r="D571" t="str">
        <f>_xlfn.XLOOKUP(Merged_Sales_Data!C571,PM[Product ID],PM[Product Name])</f>
        <v>Ergo Office Chair</v>
      </c>
      <c r="E571" t="str">
        <f>VLOOKUP(C571,PM[],3,FALSE)</f>
        <v>Office Supplies</v>
      </c>
      <c r="F571">
        <f>_xlfn.XLOOKUP(C571,PM[Product ID],PM[Unit Price (₹)])</f>
        <v>6750</v>
      </c>
      <c r="G571" t="str">
        <f>_xlfn.XLOOKUP(Sales7[[#This Row],[Order ID]],ST[Order ID],ST[Employee ID])</f>
        <v>E05</v>
      </c>
      <c r="H571" t="str">
        <f>_xlfn.XLOOKUP(G571,SM[Employee ID],SM[Salesperson])</f>
        <v>Karan Malhotra</v>
      </c>
      <c r="I571" t="str">
        <f>_xlfn.XLOOKUP(G571,SM[Employee ID],SM[Region])</f>
        <v>East</v>
      </c>
      <c r="J571" t="str">
        <f>_xlfn.XLOOKUP(G571,SM[Employee ID],SM[State/City])</f>
        <v>Kolkata</v>
      </c>
      <c r="K571" s="2">
        <f>_xlfn.XLOOKUP(Sales7[[#This Row],[Order ID]],ST[Order ID],ST[Units Sold])</f>
        <v>2</v>
      </c>
      <c r="L571">
        <f t="shared" si="8"/>
        <v>13500</v>
      </c>
    </row>
    <row r="572" spans="1:12" x14ac:dyDescent="0.35">
      <c r="A572" s="7">
        <v>1577</v>
      </c>
      <c r="B572" s="1">
        <v>45530</v>
      </c>
      <c r="C572" s="2" t="s">
        <v>21</v>
      </c>
      <c r="D572" t="str">
        <f>_xlfn.XLOOKUP(Merged_Sales_Data!C572,PM[Product ID],PM[Product Name])</f>
        <v>Wireless Mouse</v>
      </c>
      <c r="E572" t="str">
        <f>VLOOKUP(C572,PM[],3,FALSE)</f>
        <v>Electronics</v>
      </c>
      <c r="F572">
        <f>_xlfn.XLOOKUP(C572,PM[Product ID],PM[Unit Price (₹)])</f>
        <v>780</v>
      </c>
      <c r="G572" t="str">
        <f>_xlfn.XLOOKUP(Sales7[[#This Row],[Order ID]],ST[Order ID],ST[Employee ID])</f>
        <v>E03</v>
      </c>
      <c r="H572" t="str">
        <f>_xlfn.XLOOKUP(G572,SM[Employee ID],SM[Salesperson])</f>
        <v>Rohan Mehta</v>
      </c>
      <c r="I572" t="str">
        <f>_xlfn.XLOOKUP(G572,SM[Employee ID],SM[Region])</f>
        <v>South</v>
      </c>
      <c r="J572" t="str">
        <f>_xlfn.XLOOKUP(G572,SM[Employee ID],SM[State/City])</f>
        <v>Bengaluru</v>
      </c>
      <c r="K572" s="2">
        <f>_xlfn.XLOOKUP(Sales7[[#This Row],[Order ID]],ST[Order ID],ST[Units Sold])</f>
        <v>3</v>
      </c>
      <c r="L572">
        <f t="shared" si="8"/>
        <v>2340</v>
      </c>
    </row>
    <row r="573" spans="1:12" x14ac:dyDescent="0.35">
      <c r="A573" s="7">
        <v>1554</v>
      </c>
      <c r="B573" s="1">
        <v>45534</v>
      </c>
      <c r="C573" s="2" t="s">
        <v>12</v>
      </c>
      <c r="D573" t="str">
        <f>_xlfn.XLOOKUP(Merged_Sales_Data!C573,PM[Product ID],PM[Product Name])</f>
        <v>Bookshelf Unit</v>
      </c>
      <c r="E573" t="str">
        <f>VLOOKUP(C573,PM[],3,FALSE)</f>
        <v>Furniture</v>
      </c>
      <c r="F573">
        <f>_xlfn.XLOOKUP(C573,PM[Product ID],PM[Unit Price (₹)])</f>
        <v>3910</v>
      </c>
      <c r="G573" t="str">
        <f>_xlfn.XLOOKUP(Sales7[[#This Row],[Order ID]],ST[Order ID],ST[Employee ID])</f>
        <v>E08</v>
      </c>
      <c r="H573" t="str">
        <f>_xlfn.XLOOKUP(G573,SM[Employee ID],SM[Salesperson])</f>
        <v>Neha Joshi</v>
      </c>
      <c r="I573" t="str">
        <f>_xlfn.XLOOKUP(G573,SM[Employee ID],SM[Region])</f>
        <v>West</v>
      </c>
      <c r="J573" t="str">
        <f>_xlfn.XLOOKUP(G573,SM[Employee ID],SM[State/City])</f>
        <v>Ahmedabad</v>
      </c>
      <c r="K573" s="2">
        <f>_xlfn.XLOOKUP(Sales7[[#This Row],[Order ID]],ST[Order ID],ST[Units Sold])</f>
        <v>6</v>
      </c>
      <c r="L573">
        <f t="shared" si="8"/>
        <v>23460</v>
      </c>
    </row>
    <row r="574" spans="1:12" x14ac:dyDescent="0.35">
      <c r="A574" s="7">
        <v>1564</v>
      </c>
      <c r="B574" s="1">
        <v>45534</v>
      </c>
      <c r="C574" s="2" t="s">
        <v>21</v>
      </c>
      <c r="D574" t="str">
        <f>_xlfn.XLOOKUP(Merged_Sales_Data!C574,PM[Product ID],PM[Product Name])</f>
        <v>Wireless Mouse</v>
      </c>
      <c r="E574" t="str">
        <f>VLOOKUP(C574,PM[],3,FALSE)</f>
        <v>Electronics</v>
      </c>
      <c r="F574">
        <f>_xlfn.XLOOKUP(C574,PM[Product ID],PM[Unit Price (₹)])</f>
        <v>780</v>
      </c>
      <c r="G574" t="str">
        <f>_xlfn.XLOOKUP(Sales7[[#This Row],[Order ID]],ST[Order ID],ST[Employee ID])</f>
        <v>E03</v>
      </c>
      <c r="H574" t="str">
        <f>_xlfn.XLOOKUP(G574,SM[Employee ID],SM[Salesperson])</f>
        <v>Rohan Mehta</v>
      </c>
      <c r="I574" t="str">
        <f>_xlfn.XLOOKUP(G574,SM[Employee ID],SM[Region])</f>
        <v>South</v>
      </c>
      <c r="J574" t="str">
        <f>_xlfn.XLOOKUP(G574,SM[Employee ID],SM[State/City])</f>
        <v>Bengaluru</v>
      </c>
      <c r="K574" s="2">
        <f>_xlfn.XLOOKUP(Sales7[[#This Row],[Order ID]],ST[Order ID],ST[Units Sold])</f>
        <v>6</v>
      </c>
      <c r="L574">
        <f t="shared" si="8"/>
        <v>4680</v>
      </c>
    </row>
    <row r="575" spans="1:12" x14ac:dyDescent="0.35">
      <c r="A575" s="7">
        <v>1565</v>
      </c>
      <c r="B575" s="1">
        <v>45534</v>
      </c>
      <c r="C575" s="2" t="s">
        <v>10</v>
      </c>
      <c r="D575" t="str">
        <f>_xlfn.XLOOKUP(Merged_Sales_Data!C575,PM[Product ID],PM[Product Name])</f>
        <v>Filing Cabinet</v>
      </c>
      <c r="E575" t="str">
        <f>VLOOKUP(C575,PM[],3,FALSE)</f>
        <v>Furniture</v>
      </c>
      <c r="F575">
        <f>_xlfn.XLOOKUP(C575,PM[Product ID],PM[Unit Price (₹)])</f>
        <v>4070</v>
      </c>
      <c r="G575" t="str">
        <f>_xlfn.XLOOKUP(Sales7[[#This Row],[Order ID]],ST[Order ID],ST[Employee ID])</f>
        <v>E03</v>
      </c>
      <c r="H575" t="str">
        <f>_xlfn.XLOOKUP(G575,SM[Employee ID],SM[Salesperson])</f>
        <v>Rohan Mehta</v>
      </c>
      <c r="I575" t="str">
        <f>_xlfn.XLOOKUP(G575,SM[Employee ID],SM[Region])</f>
        <v>South</v>
      </c>
      <c r="J575" t="str">
        <f>_xlfn.XLOOKUP(G575,SM[Employee ID],SM[State/City])</f>
        <v>Bengaluru</v>
      </c>
      <c r="K575" s="2">
        <f>_xlfn.XLOOKUP(Sales7[[#This Row],[Order ID]],ST[Order ID],ST[Units Sold])</f>
        <v>10</v>
      </c>
      <c r="L575">
        <f t="shared" si="8"/>
        <v>40700</v>
      </c>
    </row>
    <row r="576" spans="1:12" x14ac:dyDescent="0.35">
      <c r="A576" s="7">
        <v>1569</v>
      </c>
      <c r="B576" s="1">
        <v>45534</v>
      </c>
      <c r="C576" s="2" t="s">
        <v>8</v>
      </c>
      <c r="D576" t="str">
        <f>_xlfn.XLOOKUP(Merged_Sales_Data!C576,PM[Product ID],PM[Product Name])</f>
        <v>USB-C Hub</v>
      </c>
      <c r="E576" t="str">
        <f>VLOOKUP(C576,PM[],3,FALSE)</f>
        <v>Accessories</v>
      </c>
      <c r="F576">
        <f>_xlfn.XLOOKUP(C576,PM[Product ID],PM[Unit Price (₹)])</f>
        <v>880</v>
      </c>
      <c r="G576" t="str">
        <f>_xlfn.XLOOKUP(Sales7[[#This Row],[Order ID]],ST[Order ID],ST[Employee ID])</f>
        <v>E04</v>
      </c>
      <c r="H576" t="str">
        <f>_xlfn.XLOOKUP(G576,SM[Employee ID],SM[Salesperson])</f>
        <v>Priya Nair</v>
      </c>
      <c r="I576" t="str">
        <f>_xlfn.XLOOKUP(G576,SM[Employee ID],SM[Region])</f>
        <v>South</v>
      </c>
      <c r="J576" t="str">
        <f>_xlfn.XLOOKUP(G576,SM[Employee ID],SM[State/City])</f>
        <v>Bengaluru</v>
      </c>
      <c r="K576" s="2">
        <f>_xlfn.XLOOKUP(Sales7[[#This Row],[Order ID]],ST[Order ID],ST[Units Sold])</f>
        <v>1</v>
      </c>
      <c r="L576">
        <f t="shared" si="8"/>
        <v>880</v>
      </c>
    </row>
    <row r="577" spans="1:12" x14ac:dyDescent="0.35">
      <c r="A577" s="7">
        <v>1570</v>
      </c>
      <c r="B577" s="1">
        <v>45534</v>
      </c>
      <c r="C577" s="2" t="s">
        <v>10</v>
      </c>
      <c r="D577" t="str">
        <f>_xlfn.XLOOKUP(Merged_Sales_Data!C577,PM[Product ID],PM[Product Name])</f>
        <v>Filing Cabinet</v>
      </c>
      <c r="E577" t="str">
        <f>VLOOKUP(C577,PM[],3,FALSE)</f>
        <v>Furniture</v>
      </c>
      <c r="F577">
        <f>_xlfn.XLOOKUP(C577,PM[Product ID],PM[Unit Price (₹)])</f>
        <v>4070</v>
      </c>
      <c r="G577" t="str">
        <f>_xlfn.XLOOKUP(Sales7[[#This Row],[Order ID]],ST[Order ID],ST[Employee ID])</f>
        <v>E03</v>
      </c>
      <c r="H577" t="str">
        <f>_xlfn.XLOOKUP(G577,SM[Employee ID],SM[Salesperson])</f>
        <v>Rohan Mehta</v>
      </c>
      <c r="I577" t="str">
        <f>_xlfn.XLOOKUP(G577,SM[Employee ID],SM[Region])</f>
        <v>South</v>
      </c>
      <c r="J577" t="str">
        <f>_xlfn.XLOOKUP(G577,SM[Employee ID],SM[State/City])</f>
        <v>Bengaluru</v>
      </c>
      <c r="K577" s="2">
        <f>_xlfn.XLOOKUP(Sales7[[#This Row],[Order ID]],ST[Order ID],ST[Units Sold])</f>
        <v>1</v>
      </c>
      <c r="L577">
        <f t="shared" si="8"/>
        <v>4070</v>
      </c>
    </row>
    <row r="578" spans="1:12" x14ac:dyDescent="0.35">
      <c r="A578" s="7">
        <v>1556</v>
      </c>
      <c r="B578" s="1">
        <v>45535</v>
      </c>
      <c r="C578" s="2" t="s">
        <v>10</v>
      </c>
      <c r="D578" t="str">
        <f>_xlfn.XLOOKUP(Merged_Sales_Data!C578,PM[Product ID],PM[Product Name])</f>
        <v>Filing Cabinet</v>
      </c>
      <c r="E578" t="str">
        <f>VLOOKUP(C578,PM[],3,FALSE)</f>
        <v>Furniture</v>
      </c>
      <c r="F578">
        <f>_xlfn.XLOOKUP(C578,PM[Product ID],PM[Unit Price (₹)])</f>
        <v>4070</v>
      </c>
      <c r="G578" t="str">
        <f>_xlfn.XLOOKUP(Sales7[[#This Row],[Order ID]],ST[Order ID],ST[Employee ID])</f>
        <v>E07</v>
      </c>
      <c r="H578" t="str">
        <f>_xlfn.XLOOKUP(G578,SM[Employee ID],SM[Salesperson])</f>
        <v>Aditya Kapoor</v>
      </c>
      <c r="I578" t="str">
        <f>_xlfn.XLOOKUP(G578,SM[Employee ID],SM[Region])</f>
        <v>West</v>
      </c>
      <c r="J578" t="str">
        <f>_xlfn.XLOOKUP(G578,SM[Employee ID],SM[State/City])</f>
        <v>Mumbai</v>
      </c>
      <c r="K578" s="2">
        <f>_xlfn.XLOOKUP(Sales7[[#This Row],[Order ID]],ST[Order ID],ST[Units Sold])</f>
        <v>3</v>
      </c>
      <c r="L578">
        <f t="shared" si="8"/>
        <v>12210</v>
      </c>
    </row>
    <row r="579" spans="1:12" x14ac:dyDescent="0.35">
      <c r="A579" s="7">
        <v>1600</v>
      </c>
      <c r="B579" s="1">
        <v>45537</v>
      </c>
      <c r="C579" s="2" t="s">
        <v>14</v>
      </c>
      <c r="D579" t="str">
        <f>_xlfn.XLOOKUP(Merged_Sales_Data!C579,PM[Product ID],PM[Product Name])</f>
        <v>Laptop Backpack</v>
      </c>
      <c r="E579" t="str">
        <f>VLOOKUP(C579,PM[],3,FALSE)</f>
        <v>Accessories</v>
      </c>
      <c r="F579">
        <f>_xlfn.XLOOKUP(C579,PM[Product ID],PM[Unit Price (₹)])</f>
        <v>1110</v>
      </c>
      <c r="G579" t="str">
        <f>_xlfn.XLOOKUP(Sales7[[#This Row],[Order ID]],ST[Order ID],ST[Employee ID])</f>
        <v>E07</v>
      </c>
      <c r="H579" t="str">
        <f>_xlfn.XLOOKUP(G579,SM[Employee ID],SM[Salesperson])</f>
        <v>Aditya Kapoor</v>
      </c>
      <c r="I579" t="str">
        <f>_xlfn.XLOOKUP(G579,SM[Employee ID],SM[Region])</f>
        <v>West</v>
      </c>
      <c r="J579" t="str">
        <f>_xlfn.XLOOKUP(G579,SM[Employee ID],SM[State/City])</f>
        <v>Mumbai</v>
      </c>
      <c r="K579" s="2">
        <f>_xlfn.XLOOKUP(Sales7[[#This Row],[Order ID]],ST[Order ID],ST[Units Sold])</f>
        <v>8</v>
      </c>
      <c r="L579">
        <f t="shared" ref="L579:L642" si="9">F579*K579</f>
        <v>8880</v>
      </c>
    </row>
    <row r="580" spans="1:12" x14ac:dyDescent="0.35">
      <c r="A580" s="7">
        <v>1580</v>
      </c>
      <c r="B580" s="1">
        <v>45539</v>
      </c>
      <c r="C580" s="2" t="s">
        <v>10</v>
      </c>
      <c r="D580" t="str">
        <f>_xlfn.XLOOKUP(Merged_Sales_Data!C580,PM[Product ID],PM[Product Name])</f>
        <v>Filing Cabinet</v>
      </c>
      <c r="E580" t="str">
        <f>VLOOKUP(C580,PM[],3,FALSE)</f>
        <v>Furniture</v>
      </c>
      <c r="F580">
        <f>_xlfn.XLOOKUP(C580,PM[Product ID],PM[Unit Price (₹)])</f>
        <v>4070</v>
      </c>
      <c r="G580" t="str">
        <f>_xlfn.XLOOKUP(Sales7[[#This Row],[Order ID]],ST[Order ID],ST[Employee ID])</f>
        <v>E02</v>
      </c>
      <c r="H580" t="str">
        <f>_xlfn.XLOOKUP(G580,SM[Employee ID],SM[Salesperson])</f>
        <v>Ishita Verma</v>
      </c>
      <c r="I580" t="str">
        <f>_xlfn.XLOOKUP(G580,SM[Employee ID],SM[Region])</f>
        <v>North</v>
      </c>
      <c r="J580" t="str">
        <f>_xlfn.XLOOKUP(G580,SM[Employee ID],SM[State/City])</f>
        <v>Chandigarh</v>
      </c>
      <c r="K580" s="2">
        <f>_xlfn.XLOOKUP(Sales7[[#This Row],[Order ID]],ST[Order ID],ST[Units Sold])</f>
        <v>10</v>
      </c>
      <c r="L580">
        <f t="shared" si="9"/>
        <v>40700</v>
      </c>
    </row>
    <row r="581" spans="1:12" x14ac:dyDescent="0.35">
      <c r="A581" s="7">
        <v>1594</v>
      </c>
      <c r="B581" s="1">
        <v>45539</v>
      </c>
      <c r="C581" s="2" t="s">
        <v>11</v>
      </c>
      <c r="D581" t="str">
        <f>_xlfn.XLOOKUP(Merged_Sales_Data!C581,PM[Product ID],PM[Product Name])</f>
        <v>Bluetooth Speaker</v>
      </c>
      <c r="E581" t="str">
        <f>VLOOKUP(C581,PM[],3,FALSE)</f>
        <v>Electronics</v>
      </c>
      <c r="F581">
        <f>_xlfn.XLOOKUP(C581,PM[Product ID],PM[Unit Price (₹)])</f>
        <v>1430</v>
      </c>
      <c r="G581" t="str">
        <f>_xlfn.XLOOKUP(Sales7[[#This Row],[Order ID]],ST[Order ID],ST[Employee ID])</f>
        <v>E06</v>
      </c>
      <c r="H581" t="str">
        <f>_xlfn.XLOOKUP(G581,SM[Employee ID],SM[Salesperson])</f>
        <v>Sneha Roy</v>
      </c>
      <c r="I581" t="str">
        <f>_xlfn.XLOOKUP(G581,SM[Employee ID],SM[Region])</f>
        <v>East</v>
      </c>
      <c r="J581" t="str">
        <f>_xlfn.XLOOKUP(G581,SM[Employee ID],SM[State/City])</f>
        <v>Kolkata</v>
      </c>
      <c r="K581" s="2">
        <f>_xlfn.XLOOKUP(Sales7[[#This Row],[Order ID]],ST[Order ID],ST[Units Sold])</f>
        <v>8</v>
      </c>
      <c r="L581">
        <f t="shared" si="9"/>
        <v>11440</v>
      </c>
    </row>
    <row r="582" spans="1:12" x14ac:dyDescent="0.35">
      <c r="A582" s="7">
        <v>1586</v>
      </c>
      <c r="B582" s="1">
        <v>45541</v>
      </c>
      <c r="C582" s="2" t="s">
        <v>14</v>
      </c>
      <c r="D582" t="str">
        <f>_xlfn.XLOOKUP(Merged_Sales_Data!C582,PM[Product ID],PM[Product Name])</f>
        <v>Laptop Backpack</v>
      </c>
      <c r="E582" t="str">
        <f>VLOOKUP(C582,PM[],3,FALSE)</f>
        <v>Accessories</v>
      </c>
      <c r="F582">
        <f>_xlfn.XLOOKUP(C582,PM[Product ID],PM[Unit Price (₹)])</f>
        <v>1110</v>
      </c>
      <c r="G582" t="str">
        <f>_xlfn.XLOOKUP(Sales7[[#This Row],[Order ID]],ST[Order ID],ST[Employee ID])</f>
        <v>E02</v>
      </c>
      <c r="H582" t="str">
        <f>_xlfn.XLOOKUP(G582,SM[Employee ID],SM[Salesperson])</f>
        <v>Ishita Verma</v>
      </c>
      <c r="I582" t="str">
        <f>_xlfn.XLOOKUP(G582,SM[Employee ID],SM[Region])</f>
        <v>North</v>
      </c>
      <c r="J582" t="str">
        <f>_xlfn.XLOOKUP(G582,SM[Employee ID],SM[State/City])</f>
        <v>Chandigarh</v>
      </c>
      <c r="K582" s="2">
        <f>_xlfn.XLOOKUP(Sales7[[#This Row],[Order ID]],ST[Order ID],ST[Units Sold])</f>
        <v>2</v>
      </c>
      <c r="L582">
        <f t="shared" si="9"/>
        <v>2220</v>
      </c>
    </row>
    <row r="583" spans="1:12" x14ac:dyDescent="0.35">
      <c r="A583" s="7">
        <v>1609</v>
      </c>
      <c r="B583" s="1">
        <v>45541</v>
      </c>
      <c r="C583" s="2" t="s">
        <v>12</v>
      </c>
      <c r="D583" t="str">
        <f>_xlfn.XLOOKUP(Merged_Sales_Data!C583,PM[Product ID],PM[Product Name])</f>
        <v>Bookshelf Unit</v>
      </c>
      <c r="E583" t="str">
        <f>VLOOKUP(C583,PM[],3,FALSE)</f>
        <v>Furniture</v>
      </c>
      <c r="F583">
        <f>_xlfn.XLOOKUP(C583,PM[Product ID],PM[Unit Price (₹)])</f>
        <v>3910</v>
      </c>
      <c r="G583" t="str">
        <f>_xlfn.XLOOKUP(Sales7[[#This Row],[Order ID]],ST[Order ID],ST[Employee ID])</f>
        <v>E03</v>
      </c>
      <c r="H583" t="str">
        <f>_xlfn.XLOOKUP(G583,SM[Employee ID],SM[Salesperson])</f>
        <v>Rohan Mehta</v>
      </c>
      <c r="I583" t="str">
        <f>_xlfn.XLOOKUP(G583,SM[Employee ID],SM[Region])</f>
        <v>South</v>
      </c>
      <c r="J583" t="str">
        <f>_xlfn.XLOOKUP(G583,SM[Employee ID],SM[State/City])</f>
        <v>Bengaluru</v>
      </c>
      <c r="K583" s="2">
        <f>_xlfn.XLOOKUP(Sales7[[#This Row],[Order ID]],ST[Order ID],ST[Units Sold])</f>
        <v>1</v>
      </c>
      <c r="L583">
        <f t="shared" si="9"/>
        <v>3910</v>
      </c>
    </row>
    <row r="584" spans="1:12" x14ac:dyDescent="0.35">
      <c r="A584" s="7">
        <v>1595</v>
      </c>
      <c r="B584" s="1">
        <v>45542</v>
      </c>
      <c r="C584" s="2" t="s">
        <v>8</v>
      </c>
      <c r="D584" t="str">
        <f>_xlfn.XLOOKUP(Merged_Sales_Data!C584,PM[Product ID],PM[Product Name])</f>
        <v>USB-C Hub</v>
      </c>
      <c r="E584" t="str">
        <f>VLOOKUP(C584,PM[],3,FALSE)</f>
        <v>Accessories</v>
      </c>
      <c r="F584">
        <f>_xlfn.XLOOKUP(C584,PM[Product ID],PM[Unit Price (₹)])</f>
        <v>880</v>
      </c>
      <c r="G584" t="str">
        <f>_xlfn.XLOOKUP(Sales7[[#This Row],[Order ID]],ST[Order ID],ST[Employee ID])</f>
        <v>E01</v>
      </c>
      <c r="H584" t="str">
        <f>_xlfn.XLOOKUP(G584,SM[Employee ID],SM[Salesperson])</f>
        <v>Aarav Sharma</v>
      </c>
      <c r="I584" t="str">
        <f>_xlfn.XLOOKUP(G584,SM[Employee ID],SM[Region])</f>
        <v>North</v>
      </c>
      <c r="J584" t="str">
        <f>_xlfn.XLOOKUP(G584,SM[Employee ID],SM[State/City])</f>
        <v>Lucknow</v>
      </c>
      <c r="K584" s="2">
        <f>_xlfn.XLOOKUP(Sales7[[#This Row],[Order ID]],ST[Order ID],ST[Units Sold])</f>
        <v>6</v>
      </c>
      <c r="L584">
        <f t="shared" si="9"/>
        <v>5280</v>
      </c>
    </row>
    <row r="585" spans="1:12" x14ac:dyDescent="0.35">
      <c r="A585" s="7">
        <v>1597</v>
      </c>
      <c r="B585" s="1">
        <v>45542</v>
      </c>
      <c r="C585" s="2" t="s">
        <v>11</v>
      </c>
      <c r="D585" t="str">
        <f>_xlfn.XLOOKUP(Merged_Sales_Data!C585,PM[Product ID],PM[Product Name])</f>
        <v>Bluetooth Speaker</v>
      </c>
      <c r="E585" t="str">
        <f>VLOOKUP(C585,PM[],3,FALSE)</f>
        <v>Electronics</v>
      </c>
      <c r="F585">
        <f>_xlfn.XLOOKUP(C585,PM[Product ID],PM[Unit Price (₹)])</f>
        <v>1430</v>
      </c>
      <c r="G585" t="str">
        <f>_xlfn.XLOOKUP(Sales7[[#This Row],[Order ID]],ST[Order ID],ST[Employee ID])</f>
        <v>E08</v>
      </c>
      <c r="H585" t="str">
        <f>_xlfn.XLOOKUP(G585,SM[Employee ID],SM[Salesperson])</f>
        <v>Neha Joshi</v>
      </c>
      <c r="I585" t="str">
        <f>_xlfn.XLOOKUP(G585,SM[Employee ID],SM[Region])</f>
        <v>West</v>
      </c>
      <c r="J585" t="str">
        <f>_xlfn.XLOOKUP(G585,SM[Employee ID],SM[State/City])</f>
        <v>Ahmedabad</v>
      </c>
      <c r="K585" s="2">
        <f>_xlfn.XLOOKUP(Sales7[[#This Row],[Order ID]],ST[Order ID],ST[Units Sold])</f>
        <v>10</v>
      </c>
      <c r="L585">
        <f t="shared" si="9"/>
        <v>14300</v>
      </c>
    </row>
    <row r="586" spans="1:12" x14ac:dyDescent="0.35">
      <c r="A586" s="7">
        <v>1605</v>
      </c>
      <c r="B586" s="1">
        <v>45545</v>
      </c>
      <c r="C586" s="2" t="s">
        <v>14</v>
      </c>
      <c r="D586" t="str">
        <f>_xlfn.XLOOKUP(Merged_Sales_Data!C586,PM[Product ID],PM[Product Name])</f>
        <v>Laptop Backpack</v>
      </c>
      <c r="E586" t="str">
        <f>VLOOKUP(C586,PM[],3,FALSE)</f>
        <v>Accessories</v>
      </c>
      <c r="F586">
        <f>_xlfn.XLOOKUP(C586,PM[Product ID],PM[Unit Price (₹)])</f>
        <v>1110</v>
      </c>
      <c r="G586" t="str">
        <f>_xlfn.XLOOKUP(Sales7[[#This Row],[Order ID]],ST[Order ID],ST[Employee ID])</f>
        <v>E02</v>
      </c>
      <c r="H586" t="str">
        <f>_xlfn.XLOOKUP(G586,SM[Employee ID],SM[Salesperson])</f>
        <v>Ishita Verma</v>
      </c>
      <c r="I586" t="str">
        <f>_xlfn.XLOOKUP(G586,SM[Employee ID],SM[Region])</f>
        <v>North</v>
      </c>
      <c r="J586" t="str">
        <f>_xlfn.XLOOKUP(G586,SM[Employee ID],SM[State/City])</f>
        <v>Chandigarh</v>
      </c>
      <c r="K586" s="2">
        <f>_xlfn.XLOOKUP(Sales7[[#This Row],[Order ID]],ST[Order ID],ST[Units Sold])</f>
        <v>1</v>
      </c>
      <c r="L586">
        <f t="shared" si="9"/>
        <v>1110</v>
      </c>
    </row>
    <row r="587" spans="1:12" x14ac:dyDescent="0.35">
      <c r="A587" s="7">
        <v>1579</v>
      </c>
      <c r="B587" s="1">
        <v>45546</v>
      </c>
      <c r="C587" s="2" t="s">
        <v>10</v>
      </c>
      <c r="D587" t="str">
        <f>_xlfn.XLOOKUP(Merged_Sales_Data!C587,PM[Product ID],PM[Product Name])</f>
        <v>Filing Cabinet</v>
      </c>
      <c r="E587" t="str">
        <f>VLOOKUP(C587,PM[],3,FALSE)</f>
        <v>Furniture</v>
      </c>
      <c r="F587">
        <f>_xlfn.XLOOKUP(C587,PM[Product ID],PM[Unit Price (₹)])</f>
        <v>4070</v>
      </c>
      <c r="G587" t="str">
        <f>_xlfn.XLOOKUP(Sales7[[#This Row],[Order ID]],ST[Order ID],ST[Employee ID])</f>
        <v>E07</v>
      </c>
      <c r="H587" t="str">
        <f>_xlfn.XLOOKUP(G587,SM[Employee ID],SM[Salesperson])</f>
        <v>Aditya Kapoor</v>
      </c>
      <c r="I587" t="str">
        <f>_xlfn.XLOOKUP(G587,SM[Employee ID],SM[Region])</f>
        <v>West</v>
      </c>
      <c r="J587" t="str">
        <f>_xlfn.XLOOKUP(G587,SM[Employee ID],SM[State/City])</f>
        <v>Mumbai</v>
      </c>
      <c r="K587" s="2">
        <f>_xlfn.XLOOKUP(Sales7[[#This Row],[Order ID]],ST[Order ID],ST[Units Sold])</f>
        <v>6</v>
      </c>
      <c r="L587">
        <f t="shared" si="9"/>
        <v>24420</v>
      </c>
    </row>
    <row r="588" spans="1:12" x14ac:dyDescent="0.35">
      <c r="A588" s="7">
        <v>1581</v>
      </c>
      <c r="B588" s="1">
        <v>45546</v>
      </c>
      <c r="C588" s="2" t="s">
        <v>18</v>
      </c>
      <c r="D588" t="str">
        <f>_xlfn.XLOOKUP(Merged_Sales_Data!C588,PM[Product ID],PM[Product Name])</f>
        <v>LED Monitor 24"</v>
      </c>
      <c r="E588" t="str">
        <f>VLOOKUP(C588,PM[],3,FALSE)</f>
        <v>Electronics</v>
      </c>
      <c r="F588">
        <f>_xlfn.XLOOKUP(C588,PM[Product ID],PM[Unit Price (₹)])</f>
        <v>7700</v>
      </c>
      <c r="G588" t="str">
        <f>_xlfn.XLOOKUP(Sales7[[#This Row],[Order ID]],ST[Order ID],ST[Employee ID])</f>
        <v>E03</v>
      </c>
      <c r="H588" t="str">
        <f>_xlfn.XLOOKUP(G588,SM[Employee ID],SM[Salesperson])</f>
        <v>Rohan Mehta</v>
      </c>
      <c r="I588" t="str">
        <f>_xlfn.XLOOKUP(G588,SM[Employee ID],SM[Region])</f>
        <v>South</v>
      </c>
      <c r="J588" t="str">
        <f>_xlfn.XLOOKUP(G588,SM[Employee ID],SM[State/City])</f>
        <v>Bengaluru</v>
      </c>
      <c r="K588" s="2">
        <f>_xlfn.XLOOKUP(Sales7[[#This Row],[Order ID]],ST[Order ID],ST[Units Sold])</f>
        <v>5</v>
      </c>
      <c r="L588">
        <f t="shared" si="9"/>
        <v>38500</v>
      </c>
    </row>
    <row r="589" spans="1:12" x14ac:dyDescent="0.35">
      <c r="A589" s="7">
        <v>1583</v>
      </c>
      <c r="B589" s="1">
        <v>45546</v>
      </c>
      <c r="C589" s="2" t="s">
        <v>14</v>
      </c>
      <c r="D589" t="str">
        <f>_xlfn.XLOOKUP(Merged_Sales_Data!C589,PM[Product ID],PM[Product Name])</f>
        <v>Laptop Backpack</v>
      </c>
      <c r="E589" t="str">
        <f>VLOOKUP(C589,PM[],3,FALSE)</f>
        <v>Accessories</v>
      </c>
      <c r="F589">
        <f>_xlfn.XLOOKUP(C589,PM[Product ID],PM[Unit Price (₹)])</f>
        <v>1110</v>
      </c>
      <c r="G589" t="str">
        <f>_xlfn.XLOOKUP(Sales7[[#This Row],[Order ID]],ST[Order ID],ST[Employee ID])</f>
        <v>E04</v>
      </c>
      <c r="H589" t="str">
        <f>_xlfn.XLOOKUP(G589,SM[Employee ID],SM[Salesperson])</f>
        <v>Priya Nair</v>
      </c>
      <c r="I589" t="str">
        <f>_xlfn.XLOOKUP(G589,SM[Employee ID],SM[Region])</f>
        <v>South</v>
      </c>
      <c r="J589" t="str">
        <f>_xlfn.XLOOKUP(G589,SM[Employee ID],SM[State/City])</f>
        <v>Bengaluru</v>
      </c>
      <c r="K589" s="2">
        <f>_xlfn.XLOOKUP(Sales7[[#This Row],[Order ID]],ST[Order ID],ST[Units Sold])</f>
        <v>2</v>
      </c>
      <c r="L589">
        <f t="shared" si="9"/>
        <v>2220</v>
      </c>
    </row>
    <row r="590" spans="1:12" x14ac:dyDescent="0.35">
      <c r="A590" s="7">
        <v>1590</v>
      </c>
      <c r="B590" s="1">
        <v>45547</v>
      </c>
      <c r="C590" s="2" t="s">
        <v>14</v>
      </c>
      <c r="D590" t="str">
        <f>_xlfn.XLOOKUP(Merged_Sales_Data!C590,PM[Product ID],PM[Product Name])</f>
        <v>Laptop Backpack</v>
      </c>
      <c r="E590" t="str">
        <f>VLOOKUP(C590,PM[],3,FALSE)</f>
        <v>Accessories</v>
      </c>
      <c r="F590">
        <f>_xlfn.XLOOKUP(C590,PM[Product ID],PM[Unit Price (₹)])</f>
        <v>1110</v>
      </c>
      <c r="G590" t="str">
        <f>_xlfn.XLOOKUP(Sales7[[#This Row],[Order ID]],ST[Order ID],ST[Employee ID])</f>
        <v>E03</v>
      </c>
      <c r="H590" t="str">
        <f>_xlfn.XLOOKUP(G590,SM[Employee ID],SM[Salesperson])</f>
        <v>Rohan Mehta</v>
      </c>
      <c r="I590" t="str">
        <f>_xlfn.XLOOKUP(G590,SM[Employee ID],SM[Region])</f>
        <v>South</v>
      </c>
      <c r="J590" t="str">
        <f>_xlfn.XLOOKUP(G590,SM[Employee ID],SM[State/City])</f>
        <v>Bengaluru</v>
      </c>
      <c r="K590" s="2">
        <f>_xlfn.XLOOKUP(Sales7[[#This Row],[Order ID]],ST[Order ID],ST[Units Sold])</f>
        <v>8</v>
      </c>
      <c r="L590">
        <f t="shared" si="9"/>
        <v>8880</v>
      </c>
    </row>
    <row r="591" spans="1:12" x14ac:dyDescent="0.35">
      <c r="A591" s="7">
        <v>1603</v>
      </c>
      <c r="B591" s="1">
        <v>45547</v>
      </c>
      <c r="C591" s="2" t="s">
        <v>21</v>
      </c>
      <c r="D591" t="str">
        <f>_xlfn.XLOOKUP(Merged_Sales_Data!C591,PM[Product ID],PM[Product Name])</f>
        <v>Wireless Mouse</v>
      </c>
      <c r="E591" t="str">
        <f>VLOOKUP(C591,PM[],3,FALSE)</f>
        <v>Electronics</v>
      </c>
      <c r="F591">
        <f>_xlfn.XLOOKUP(C591,PM[Product ID],PM[Unit Price (₹)])</f>
        <v>780</v>
      </c>
      <c r="G591" t="str">
        <f>_xlfn.XLOOKUP(Sales7[[#This Row],[Order ID]],ST[Order ID],ST[Employee ID])</f>
        <v>E02</v>
      </c>
      <c r="H591" t="str">
        <f>_xlfn.XLOOKUP(G591,SM[Employee ID],SM[Salesperson])</f>
        <v>Ishita Verma</v>
      </c>
      <c r="I591" t="str">
        <f>_xlfn.XLOOKUP(G591,SM[Employee ID],SM[Region])</f>
        <v>North</v>
      </c>
      <c r="J591" t="str">
        <f>_xlfn.XLOOKUP(G591,SM[Employee ID],SM[State/City])</f>
        <v>Chandigarh</v>
      </c>
      <c r="K591" s="2">
        <f>_xlfn.XLOOKUP(Sales7[[#This Row],[Order ID]],ST[Order ID],ST[Units Sold])</f>
        <v>4</v>
      </c>
      <c r="L591">
        <f t="shared" si="9"/>
        <v>3120</v>
      </c>
    </row>
    <row r="592" spans="1:12" x14ac:dyDescent="0.35">
      <c r="A592" s="7">
        <v>1582</v>
      </c>
      <c r="B592" s="1">
        <v>45548</v>
      </c>
      <c r="C592" s="2" t="s">
        <v>21</v>
      </c>
      <c r="D592" t="str">
        <f>_xlfn.XLOOKUP(Merged_Sales_Data!C592,PM[Product ID],PM[Product Name])</f>
        <v>Wireless Mouse</v>
      </c>
      <c r="E592" t="str">
        <f>VLOOKUP(C592,PM[],3,FALSE)</f>
        <v>Electronics</v>
      </c>
      <c r="F592">
        <f>_xlfn.XLOOKUP(C592,PM[Product ID],PM[Unit Price (₹)])</f>
        <v>780</v>
      </c>
      <c r="G592" t="str">
        <f>_xlfn.XLOOKUP(Sales7[[#This Row],[Order ID]],ST[Order ID],ST[Employee ID])</f>
        <v>E04</v>
      </c>
      <c r="H592" t="str">
        <f>_xlfn.XLOOKUP(G592,SM[Employee ID],SM[Salesperson])</f>
        <v>Priya Nair</v>
      </c>
      <c r="I592" t="str">
        <f>_xlfn.XLOOKUP(G592,SM[Employee ID],SM[Region])</f>
        <v>South</v>
      </c>
      <c r="J592" t="str">
        <f>_xlfn.XLOOKUP(G592,SM[Employee ID],SM[State/City])</f>
        <v>Bengaluru</v>
      </c>
      <c r="K592" s="2">
        <f>_xlfn.XLOOKUP(Sales7[[#This Row],[Order ID]],ST[Order ID],ST[Units Sold])</f>
        <v>2</v>
      </c>
      <c r="L592">
        <f t="shared" si="9"/>
        <v>1560</v>
      </c>
    </row>
    <row r="593" spans="1:12" x14ac:dyDescent="0.35">
      <c r="A593" s="7">
        <v>1601</v>
      </c>
      <c r="B593" s="1">
        <v>45548</v>
      </c>
      <c r="C593" s="2" t="s">
        <v>20</v>
      </c>
      <c r="D593" t="str">
        <f>_xlfn.XLOOKUP(Merged_Sales_Data!C593,PM[Product ID],PM[Product Name])</f>
        <v>Standing Desk</v>
      </c>
      <c r="E593" t="str">
        <f>VLOOKUP(C593,PM[],3,FALSE)</f>
        <v>Office Supplies</v>
      </c>
      <c r="F593">
        <f>_xlfn.XLOOKUP(C593,PM[Product ID],PM[Unit Price (₹)])</f>
        <v>11010</v>
      </c>
      <c r="G593" t="str">
        <f>_xlfn.XLOOKUP(Sales7[[#This Row],[Order ID]],ST[Order ID],ST[Employee ID])</f>
        <v>E08</v>
      </c>
      <c r="H593" t="str">
        <f>_xlfn.XLOOKUP(G593,SM[Employee ID],SM[Salesperson])</f>
        <v>Neha Joshi</v>
      </c>
      <c r="I593" t="str">
        <f>_xlfn.XLOOKUP(G593,SM[Employee ID],SM[Region])</f>
        <v>West</v>
      </c>
      <c r="J593" t="str">
        <f>_xlfn.XLOOKUP(G593,SM[Employee ID],SM[State/City])</f>
        <v>Ahmedabad</v>
      </c>
      <c r="K593" s="2">
        <f>_xlfn.XLOOKUP(Sales7[[#This Row],[Order ID]],ST[Order ID],ST[Units Sold])</f>
        <v>1</v>
      </c>
      <c r="L593">
        <f t="shared" si="9"/>
        <v>11010</v>
      </c>
    </row>
    <row r="594" spans="1:12" x14ac:dyDescent="0.35">
      <c r="A594" s="7">
        <v>1598</v>
      </c>
      <c r="B594" s="1">
        <v>45550</v>
      </c>
      <c r="C594" s="2" t="s">
        <v>11</v>
      </c>
      <c r="D594" t="str">
        <f>_xlfn.XLOOKUP(Merged_Sales_Data!C594,PM[Product ID],PM[Product Name])</f>
        <v>Bluetooth Speaker</v>
      </c>
      <c r="E594" t="str">
        <f>VLOOKUP(C594,PM[],3,FALSE)</f>
        <v>Electronics</v>
      </c>
      <c r="F594">
        <f>_xlfn.XLOOKUP(C594,PM[Product ID],PM[Unit Price (₹)])</f>
        <v>1430</v>
      </c>
      <c r="G594" t="str">
        <f>_xlfn.XLOOKUP(Sales7[[#This Row],[Order ID]],ST[Order ID],ST[Employee ID])</f>
        <v>E08</v>
      </c>
      <c r="H594" t="str">
        <f>_xlfn.XLOOKUP(G594,SM[Employee ID],SM[Salesperson])</f>
        <v>Neha Joshi</v>
      </c>
      <c r="I594" t="str">
        <f>_xlfn.XLOOKUP(G594,SM[Employee ID],SM[Region])</f>
        <v>West</v>
      </c>
      <c r="J594" t="str">
        <f>_xlfn.XLOOKUP(G594,SM[Employee ID],SM[State/City])</f>
        <v>Ahmedabad</v>
      </c>
      <c r="K594" s="2">
        <f>_xlfn.XLOOKUP(Sales7[[#This Row],[Order ID]],ST[Order ID],ST[Units Sold])</f>
        <v>6</v>
      </c>
      <c r="L594">
        <f t="shared" si="9"/>
        <v>8580</v>
      </c>
    </row>
    <row r="595" spans="1:12" x14ac:dyDescent="0.35">
      <c r="A595" s="7">
        <v>1607</v>
      </c>
      <c r="B595" s="1">
        <v>45550</v>
      </c>
      <c r="C595" s="2" t="s">
        <v>12</v>
      </c>
      <c r="D595" t="str">
        <f>_xlfn.XLOOKUP(Merged_Sales_Data!C595,PM[Product ID],PM[Product Name])</f>
        <v>Bookshelf Unit</v>
      </c>
      <c r="E595" t="str">
        <f>VLOOKUP(C595,PM[],3,FALSE)</f>
        <v>Furniture</v>
      </c>
      <c r="F595">
        <f>_xlfn.XLOOKUP(C595,PM[Product ID],PM[Unit Price (₹)])</f>
        <v>3910</v>
      </c>
      <c r="G595" t="str">
        <f>_xlfn.XLOOKUP(Sales7[[#This Row],[Order ID]],ST[Order ID],ST[Employee ID])</f>
        <v>E07</v>
      </c>
      <c r="H595" t="str">
        <f>_xlfn.XLOOKUP(G595,SM[Employee ID],SM[Salesperson])</f>
        <v>Aditya Kapoor</v>
      </c>
      <c r="I595" t="str">
        <f>_xlfn.XLOOKUP(G595,SM[Employee ID],SM[Region])</f>
        <v>West</v>
      </c>
      <c r="J595" t="str">
        <f>_xlfn.XLOOKUP(G595,SM[Employee ID],SM[State/City])</f>
        <v>Mumbai</v>
      </c>
      <c r="K595" s="2">
        <f>_xlfn.XLOOKUP(Sales7[[#This Row],[Order ID]],ST[Order ID],ST[Units Sold])</f>
        <v>4</v>
      </c>
      <c r="L595">
        <f t="shared" si="9"/>
        <v>15640</v>
      </c>
    </row>
    <row r="596" spans="1:12" x14ac:dyDescent="0.35">
      <c r="A596" s="7">
        <v>1589</v>
      </c>
      <c r="B596" s="1">
        <v>45551</v>
      </c>
      <c r="C596" s="2" t="s">
        <v>5</v>
      </c>
      <c r="D596" t="str">
        <f>_xlfn.XLOOKUP(Merged_Sales_Data!C596,PM[Product ID],PM[Product Name])</f>
        <v>Ergo Office Chair</v>
      </c>
      <c r="E596" t="str">
        <f>VLOOKUP(C596,PM[],3,FALSE)</f>
        <v>Office Supplies</v>
      </c>
      <c r="F596">
        <f>_xlfn.XLOOKUP(C596,PM[Product ID],PM[Unit Price (₹)])</f>
        <v>6750</v>
      </c>
      <c r="G596" t="str">
        <f>_xlfn.XLOOKUP(Sales7[[#This Row],[Order ID]],ST[Order ID],ST[Employee ID])</f>
        <v>E04</v>
      </c>
      <c r="H596" t="str">
        <f>_xlfn.XLOOKUP(G596,SM[Employee ID],SM[Salesperson])</f>
        <v>Priya Nair</v>
      </c>
      <c r="I596" t="str">
        <f>_xlfn.XLOOKUP(G596,SM[Employee ID],SM[Region])</f>
        <v>South</v>
      </c>
      <c r="J596" t="str">
        <f>_xlfn.XLOOKUP(G596,SM[Employee ID],SM[State/City])</f>
        <v>Bengaluru</v>
      </c>
      <c r="K596" s="2">
        <f>_xlfn.XLOOKUP(Sales7[[#This Row],[Order ID]],ST[Order ID],ST[Units Sold])</f>
        <v>1</v>
      </c>
      <c r="L596">
        <f t="shared" si="9"/>
        <v>6750</v>
      </c>
    </row>
    <row r="597" spans="1:12" x14ac:dyDescent="0.35">
      <c r="A597" s="7">
        <v>1593</v>
      </c>
      <c r="B597" s="1">
        <v>45552</v>
      </c>
      <c r="C597" s="2" t="s">
        <v>8</v>
      </c>
      <c r="D597" t="str">
        <f>_xlfn.XLOOKUP(Merged_Sales_Data!C597,PM[Product ID],PM[Product Name])</f>
        <v>USB-C Hub</v>
      </c>
      <c r="E597" t="str">
        <f>VLOOKUP(C597,PM[],3,FALSE)</f>
        <v>Accessories</v>
      </c>
      <c r="F597">
        <f>_xlfn.XLOOKUP(C597,PM[Product ID],PM[Unit Price (₹)])</f>
        <v>880</v>
      </c>
      <c r="G597" t="str">
        <f>_xlfn.XLOOKUP(Sales7[[#This Row],[Order ID]],ST[Order ID],ST[Employee ID])</f>
        <v>E02</v>
      </c>
      <c r="H597" t="str">
        <f>_xlfn.XLOOKUP(G597,SM[Employee ID],SM[Salesperson])</f>
        <v>Ishita Verma</v>
      </c>
      <c r="I597" t="str">
        <f>_xlfn.XLOOKUP(G597,SM[Employee ID],SM[Region])</f>
        <v>North</v>
      </c>
      <c r="J597" t="str">
        <f>_xlfn.XLOOKUP(G597,SM[Employee ID],SM[State/City])</f>
        <v>Chandigarh</v>
      </c>
      <c r="K597" s="2">
        <f>_xlfn.XLOOKUP(Sales7[[#This Row],[Order ID]],ST[Order ID],ST[Units Sold])</f>
        <v>5</v>
      </c>
      <c r="L597">
        <f t="shared" si="9"/>
        <v>4400</v>
      </c>
    </row>
    <row r="598" spans="1:12" x14ac:dyDescent="0.35">
      <c r="A598" s="7">
        <v>1599</v>
      </c>
      <c r="B598" s="1">
        <v>45552</v>
      </c>
      <c r="C598" s="2" t="s">
        <v>14</v>
      </c>
      <c r="D598" t="str">
        <f>_xlfn.XLOOKUP(Merged_Sales_Data!C598,PM[Product ID],PM[Product Name])</f>
        <v>Laptop Backpack</v>
      </c>
      <c r="E598" t="str">
        <f>VLOOKUP(C598,PM[],3,FALSE)</f>
        <v>Accessories</v>
      </c>
      <c r="F598">
        <f>_xlfn.XLOOKUP(C598,PM[Product ID],PM[Unit Price (₹)])</f>
        <v>1110</v>
      </c>
      <c r="G598" t="str">
        <f>_xlfn.XLOOKUP(Sales7[[#This Row],[Order ID]],ST[Order ID],ST[Employee ID])</f>
        <v>E01</v>
      </c>
      <c r="H598" t="str">
        <f>_xlfn.XLOOKUP(G598,SM[Employee ID],SM[Salesperson])</f>
        <v>Aarav Sharma</v>
      </c>
      <c r="I598" t="str">
        <f>_xlfn.XLOOKUP(G598,SM[Employee ID],SM[Region])</f>
        <v>North</v>
      </c>
      <c r="J598" t="str">
        <f>_xlfn.XLOOKUP(G598,SM[Employee ID],SM[State/City])</f>
        <v>Lucknow</v>
      </c>
      <c r="K598" s="2">
        <f>_xlfn.XLOOKUP(Sales7[[#This Row],[Order ID]],ST[Order ID],ST[Units Sold])</f>
        <v>1</v>
      </c>
      <c r="L598">
        <f t="shared" si="9"/>
        <v>1110</v>
      </c>
    </row>
    <row r="599" spans="1:12" x14ac:dyDescent="0.35">
      <c r="A599" s="7">
        <v>1602</v>
      </c>
      <c r="B599" s="1">
        <v>45554</v>
      </c>
      <c r="C599" s="2" t="s">
        <v>21</v>
      </c>
      <c r="D599" t="str">
        <f>_xlfn.XLOOKUP(Merged_Sales_Data!C599,PM[Product ID],PM[Product Name])</f>
        <v>Wireless Mouse</v>
      </c>
      <c r="E599" t="str">
        <f>VLOOKUP(C599,PM[],3,FALSE)</f>
        <v>Electronics</v>
      </c>
      <c r="F599">
        <f>_xlfn.XLOOKUP(C599,PM[Product ID],PM[Unit Price (₹)])</f>
        <v>780</v>
      </c>
      <c r="G599" t="str">
        <f>_xlfn.XLOOKUP(Sales7[[#This Row],[Order ID]],ST[Order ID],ST[Employee ID])</f>
        <v>E05</v>
      </c>
      <c r="H599" t="str">
        <f>_xlfn.XLOOKUP(G599,SM[Employee ID],SM[Salesperson])</f>
        <v>Karan Malhotra</v>
      </c>
      <c r="I599" t="str">
        <f>_xlfn.XLOOKUP(G599,SM[Employee ID],SM[Region])</f>
        <v>East</v>
      </c>
      <c r="J599" t="str">
        <f>_xlfn.XLOOKUP(G599,SM[Employee ID],SM[State/City])</f>
        <v>Kolkata</v>
      </c>
      <c r="K599" s="2">
        <f>_xlfn.XLOOKUP(Sales7[[#This Row],[Order ID]],ST[Order ID],ST[Units Sold])</f>
        <v>2</v>
      </c>
      <c r="L599">
        <f t="shared" si="9"/>
        <v>1560</v>
      </c>
    </row>
    <row r="600" spans="1:12" x14ac:dyDescent="0.35">
      <c r="A600" s="7">
        <v>1588</v>
      </c>
      <c r="B600" s="1">
        <v>45555</v>
      </c>
      <c r="C600" s="2" t="s">
        <v>20</v>
      </c>
      <c r="D600" t="str">
        <f>_xlfn.XLOOKUP(Merged_Sales_Data!C600,PM[Product ID],PM[Product Name])</f>
        <v>Standing Desk</v>
      </c>
      <c r="E600" t="str">
        <f>VLOOKUP(C600,PM[],3,FALSE)</f>
        <v>Office Supplies</v>
      </c>
      <c r="F600">
        <f>_xlfn.XLOOKUP(C600,PM[Product ID],PM[Unit Price (₹)])</f>
        <v>11010</v>
      </c>
      <c r="G600" t="str">
        <f>_xlfn.XLOOKUP(Sales7[[#This Row],[Order ID]],ST[Order ID],ST[Employee ID])</f>
        <v>E02</v>
      </c>
      <c r="H600" t="str">
        <f>_xlfn.XLOOKUP(G600,SM[Employee ID],SM[Salesperson])</f>
        <v>Ishita Verma</v>
      </c>
      <c r="I600" t="str">
        <f>_xlfn.XLOOKUP(G600,SM[Employee ID],SM[Region])</f>
        <v>North</v>
      </c>
      <c r="J600" t="str">
        <f>_xlfn.XLOOKUP(G600,SM[Employee ID],SM[State/City])</f>
        <v>Chandigarh</v>
      </c>
      <c r="K600" s="2">
        <f>_xlfn.XLOOKUP(Sales7[[#This Row],[Order ID]],ST[Order ID],ST[Units Sold])</f>
        <v>3</v>
      </c>
      <c r="L600">
        <f t="shared" si="9"/>
        <v>33030</v>
      </c>
    </row>
    <row r="601" spans="1:12" x14ac:dyDescent="0.35">
      <c r="A601" s="7">
        <v>1584</v>
      </c>
      <c r="B601" s="1">
        <v>45556</v>
      </c>
      <c r="C601" s="2" t="s">
        <v>21</v>
      </c>
      <c r="D601" t="str">
        <f>_xlfn.XLOOKUP(Merged_Sales_Data!C601,PM[Product ID],PM[Product Name])</f>
        <v>Wireless Mouse</v>
      </c>
      <c r="E601" t="str">
        <f>VLOOKUP(C601,PM[],3,FALSE)</f>
        <v>Electronics</v>
      </c>
      <c r="F601">
        <f>_xlfn.XLOOKUP(C601,PM[Product ID],PM[Unit Price (₹)])</f>
        <v>780</v>
      </c>
      <c r="G601" t="str">
        <f>_xlfn.XLOOKUP(Sales7[[#This Row],[Order ID]],ST[Order ID],ST[Employee ID])</f>
        <v>E05</v>
      </c>
      <c r="H601" t="str">
        <f>_xlfn.XLOOKUP(G601,SM[Employee ID],SM[Salesperson])</f>
        <v>Karan Malhotra</v>
      </c>
      <c r="I601" t="str">
        <f>_xlfn.XLOOKUP(G601,SM[Employee ID],SM[Region])</f>
        <v>East</v>
      </c>
      <c r="J601" t="str">
        <f>_xlfn.XLOOKUP(G601,SM[Employee ID],SM[State/City])</f>
        <v>Kolkata</v>
      </c>
      <c r="K601" s="2">
        <f>_xlfn.XLOOKUP(Sales7[[#This Row],[Order ID]],ST[Order ID],ST[Units Sold])</f>
        <v>2</v>
      </c>
      <c r="L601">
        <f t="shared" si="9"/>
        <v>1560</v>
      </c>
    </row>
    <row r="602" spans="1:12" x14ac:dyDescent="0.35">
      <c r="A602" s="7">
        <v>1585</v>
      </c>
      <c r="B602" s="1">
        <v>45557</v>
      </c>
      <c r="C602" s="2" t="s">
        <v>5</v>
      </c>
      <c r="D602" t="str">
        <f>_xlfn.XLOOKUP(Merged_Sales_Data!C602,PM[Product ID],PM[Product Name])</f>
        <v>Ergo Office Chair</v>
      </c>
      <c r="E602" t="str">
        <f>VLOOKUP(C602,PM[],3,FALSE)</f>
        <v>Office Supplies</v>
      </c>
      <c r="F602">
        <f>_xlfn.XLOOKUP(C602,PM[Product ID],PM[Unit Price (₹)])</f>
        <v>6750</v>
      </c>
      <c r="G602" t="str">
        <f>_xlfn.XLOOKUP(Sales7[[#This Row],[Order ID]],ST[Order ID],ST[Employee ID])</f>
        <v>E06</v>
      </c>
      <c r="H602" t="str">
        <f>_xlfn.XLOOKUP(G602,SM[Employee ID],SM[Salesperson])</f>
        <v>Sneha Roy</v>
      </c>
      <c r="I602" t="str">
        <f>_xlfn.XLOOKUP(G602,SM[Employee ID],SM[Region])</f>
        <v>East</v>
      </c>
      <c r="J602" t="str">
        <f>_xlfn.XLOOKUP(G602,SM[Employee ID],SM[State/City])</f>
        <v>Kolkata</v>
      </c>
      <c r="K602" s="2">
        <f>_xlfn.XLOOKUP(Sales7[[#This Row],[Order ID]],ST[Order ID],ST[Units Sold])</f>
        <v>1</v>
      </c>
      <c r="L602">
        <f t="shared" si="9"/>
        <v>6750</v>
      </c>
    </row>
    <row r="603" spans="1:12" x14ac:dyDescent="0.35">
      <c r="A603" s="7">
        <v>1608</v>
      </c>
      <c r="B603" s="1">
        <v>45557</v>
      </c>
      <c r="C603" s="2" t="s">
        <v>10</v>
      </c>
      <c r="D603" t="str">
        <f>_xlfn.XLOOKUP(Merged_Sales_Data!C603,PM[Product ID],PM[Product Name])</f>
        <v>Filing Cabinet</v>
      </c>
      <c r="E603" t="str">
        <f>VLOOKUP(C603,PM[],3,FALSE)</f>
        <v>Furniture</v>
      </c>
      <c r="F603">
        <f>_xlfn.XLOOKUP(C603,PM[Product ID],PM[Unit Price (₹)])</f>
        <v>4070</v>
      </c>
      <c r="G603" t="str">
        <f>_xlfn.XLOOKUP(Sales7[[#This Row],[Order ID]],ST[Order ID],ST[Employee ID])</f>
        <v>E07</v>
      </c>
      <c r="H603" t="str">
        <f>_xlfn.XLOOKUP(G603,SM[Employee ID],SM[Salesperson])</f>
        <v>Aditya Kapoor</v>
      </c>
      <c r="I603" t="str">
        <f>_xlfn.XLOOKUP(G603,SM[Employee ID],SM[Region])</f>
        <v>West</v>
      </c>
      <c r="J603" t="str">
        <f>_xlfn.XLOOKUP(G603,SM[Employee ID],SM[State/City])</f>
        <v>Mumbai</v>
      </c>
      <c r="K603" s="2">
        <f>_xlfn.XLOOKUP(Sales7[[#This Row],[Order ID]],ST[Order ID],ST[Units Sold])</f>
        <v>1</v>
      </c>
      <c r="L603">
        <f t="shared" si="9"/>
        <v>4070</v>
      </c>
    </row>
    <row r="604" spans="1:12" x14ac:dyDescent="0.35">
      <c r="A604" s="7">
        <v>1587</v>
      </c>
      <c r="B604" s="1">
        <v>45558</v>
      </c>
      <c r="C604" s="2" t="s">
        <v>8</v>
      </c>
      <c r="D604" t="str">
        <f>_xlfn.XLOOKUP(Merged_Sales_Data!C604,PM[Product ID],PM[Product Name])</f>
        <v>USB-C Hub</v>
      </c>
      <c r="E604" t="str">
        <f>VLOOKUP(C604,PM[],3,FALSE)</f>
        <v>Accessories</v>
      </c>
      <c r="F604">
        <f>_xlfn.XLOOKUP(C604,PM[Product ID],PM[Unit Price (₹)])</f>
        <v>880</v>
      </c>
      <c r="G604" t="str">
        <f>_xlfn.XLOOKUP(Sales7[[#This Row],[Order ID]],ST[Order ID],ST[Employee ID])</f>
        <v>E07</v>
      </c>
      <c r="H604" t="str">
        <f>_xlfn.XLOOKUP(G604,SM[Employee ID],SM[Salesperson])</f>
        <v>Aditya Kapoor</v>
      </c>
      <c r="I604" t="str">
        <f>_xlfn.XLOOKUP(G604,SM[Employee ID],SM[Region])</f>
        <v>West</v>
      </c>
      <c r="J604" t="str">
        <f>_xlfn.XLOOKUP(G604,SM[Employee ID],SM[State/City])</f>
        <v>Mumbai</v>
      </c>
      <c r="K604" s="2">
        <f>_xlfn.XLOOKUP(Sales7[[#This Row],[Order ID]],ST[Order ID],ST[Units Sold])</f>
        <v>2</v>
      </c>
      <c r="L604">
        <f t="shared" si="9"/>
        <v>1760</v>
      </c>
    </row>
    <row r="605" spans="1:12" x14ac:dyDescent="0.35">
      <c r="A605" s="7">
        <v>1591</v>
      </c>
      <c r="B605" s="1">
        <v>45560</v>
      </c>
      <c r="C605" s="2" t="s">
        <v>8</v>
      </c>
      <c r="D605" t="str">
        <f>_xlfn.XLOOKUP(Merged_Sales_Data!C605,PM[Product ID],PM[Product Name])</f>
        <v>USB-C Hub</v>
      </c>
      <c r="E605" t="str">
        <f>VLOOKUP(C605,PM[],3,FALSE)</f>
        <v>Accessories</v>
      </c>
      <c r="F605">
        <f>_xlfn.XLOOKUP(C605,PM[Product ID],PM[Unit Price (₹)])</f>
        <v>880</v>
      </c>
      <c r="G605" t="str">
        <f>_xlfn.XLOOKUP(Sales7[[#This Row],[Order ID]],ST[Order ID],ST[Employee ID])</f>
        <v>E07</v>
      </c>
      <c r="H605" t="str">
        <f>_xlfn.XLOOKUP(G605,SM[Employee ID],SM[Salesperson])</f>
        <v>Aditya Kapoor</v>
      </c>
      <c r="I605" t="str">
        <f>_xlfn.XLOOKUP(G605,SM[Employee ID],SM[Region])</f>
        <v>West</v>
      </c>
      <c r="J605" t="str">
        <f>_xlfn.XLOOKUP(G605,SM[Employee ID],SM[State/City])</f>
        <v>Mumbai</v>
      </c>
      <c r="K605" s="2">
        <f>_xlfn.XLOOKUP(Sales7[[#This Row],[Order ID]],ST[Order ID],ST[Units Sold])</f>
        <v>5</v>
      </c>
      <c r="L605">
        <f t="shared" si="9"/>
        <v>4400</v>
      </c>
    </row>
    <row r="606" spans="1:12" x14ac:dyDescent="0.35">
      <c r="A606" s="7">
        <v>1592</v>
      </c>
      <c r="B606" s="1">
        <v>45560</v>
      </c>
      <c r="C606" s="2" t="s">
        <v>5</v>
      </c>
      <c r="D606" t="str">
        <f>_xlfn.XLOOKUP(Merged_Sales_Data!C606,PM[Product ID],PM[Product Name])</f>
        <v>Ergo Office Chair</v>
      </c>
      <c r="E606" t="str">
        <f>VLOOKUP(C606,PM[],3,FALSE)</f>
        <v>Office Supplies</v>
      </c>
      <c r="F606">
        <f>_xlfn.XLOOKUP(C606,PM[Product ID],PM[Unit Price (₹)])</f>
        <v>6750</v>
      </c>
      <c r="G606" t="str">
        <f>_xlfn.XLOOKUP(Sales7[[#This Row],[Order ID]],ST[Order ID],ST[Employee ID])</f>
        <v>E04</v>
      </c>
      <c r="H606" t="str">
        <f>_xlfn.XLOOKUP(G606,SM[Employee ID],SM[Salesperson])</f>
        <v>Priya Nair</v>
      </c>
      <c r="I606" t="str">
        <f>_xlfn.XLOOKUP(G606,SM[Employee ID],SM[Region])</f>
        <v>South</v>
      </c>
      <c r="J606" t="str">
        <f>_xlfn.XLOOKUP(G606,SM[Employee ID],SM[State/City])</f>
        <v>Bengaluru</v>
      </c>
      <c r="K606" s="2">
        <f>_xlfn.XLOOKUP(Sales7[[#This Row],[Order ID]],ST[Order ID],ST[Units Sold])</f>
        <v>10</v>
      </c>
      <c r="L606">
        <f t="shared" si="9"/>
        <v>67500</v>
      </c>
    </row>
    <row r="607" spans="1:12" x14ac:dyDescent="0.35">
      <c r="A607" s="7">
        <v>1606</v>
      </c>
      <c r="B607" s="1">
        <v>45560</v>
      </c>
      <c r="C607" s="2" t="s">
        <v>18</v>
      </c>
      <c r="D607" t="str">
        <f>_xlfn.XLOOKUP(Merged_Sales_Data!C607,PM[Product ID],PM[Product Name])</f>
        <v>LED Monitor 24"</v>
      </c>
      <c r="E607" t="str">
        <f>VLOOKUP(C607,PM[],3,FALSE)</f>
        <v>Electronics</v>
      </c>
      <c r="F607">
        <f>_xlfn.XLOOKUP(C607,PM[Product ID],PM[Unit Price (₹)])</f>
        <v>7700</v>
      </c>
      <c r="G607" t="str">
        <f>_xlfn.XLOOKUP(Sales7[[#This Row],[Order ID]],ST[Order ID],ST[Employee ID])</f>
        <v>E07</v>
      </c>
      <c r="H607" t="str">
        <f>_xlfn.XLOOKUP(G607,SM[Employee ID],SM[Salesperson])</f>
        <v>Aditya Kapoor</v>
      </c>
      <c r="I607" t="str">
        <f>_xlfn.XLOOKUP(G607,SM[Employee ID],SM[Region])</f>
        <v>West</v>
      </c>
      <c r="J607" t="str">
        <f>_xlfn.XLOOKUP(G607,SM[Employee ID],SM[State/City])</f>
        <v>Mumbai</v>
      </c>
      <c r="K607" s="2">
        <f>_xlfn.XLOOKUP(Sales7[[#This Row],[Order ID]],ST[Order ID],ST[Units Sold])</f>
        <v>1</v>
      </c>
      <c r="L607">
        <f t="shared" si="9"/>
        <v>7700</v>
      </c>
    </row>
    <row r="608" spans="1:12" x14ac:dyDescent="0.35">
      <c r="A608" s="7">
        <v>1578</v>
      </c>
      <c r="B608" s="1">
        <v>45563</v>
      </c>
      <c r="C608" s="2" t="s">
        <v>18</v>
      </c>
      <c r="D608" t="str">
        <f>_xlfn.XLOOKUP(Merged_Sales_Data!C608,PM[Product ID],PM[Product Name])</f>
        <v>LED Monitor 24"</v>
      </c>
      <c r="E608" t="str">
        <f>VLOOKUP(C608,PM[],3,FALSE)</f>
        <v>Electronics</v>
      </c>
      <c r="F608">
        <f>_xlfn.XLOOKUP(C608,PM[Product ID],PM[Unit Price (₹)])</f>
        <v>7700</v>
      </c>
      <c r="G608" t="str">
        <f>_xlfn.XLOOKUP(Sales7[[#This Row],[Order ID]],ST[Order ID],ST[Employee ID])</f>
        <v>E04</v>
      </c>
      <c r="H608" t="str">
        <f>_xlfn.XLOOKUP(G608,SM[Employee ID],SM[Salesperson])</f>
        <v>Priya Nair</v>
      </c>
      <c r="I608" t="str">
        <f>_xlfn.XLOOKUP(G608,SM[Employee ID],SM[Region])</f>
        <v>South</v>
      </c>
      <c r="J608" t="str">
        <f>_xlfn.XLOOKUP(G608,SM[Employee ID],SM[State/City])</f>
        <v>Bengaluru</v>
      </c>
      <c r="K608" s="2">
        <f>_xlfn.XLOOKUP(Sales7[[#This Row],[Order ID]],ST[Order ID],ST[Units Sold])</f>
        <v>8</v>
      </c>
      <c r="L608">
        <f t="shared" si="9"/>
        <v>61600</v>
      </c>
    </row>
    <row r="609" spans="1:12" x14ac:dyDescent="0.35">
      <c r="A609" s="7">
        <v>1596</v>
      </c>
      <c r="B609" s="1">
        <v>45563</v>
      </c>
      <c r="C609" s="2" t="s">
        <v>18</v>
      </c>
      <c r="D609" t="str">
        <f>_xlfn.XLOOKUP(Merged_Sales_Data!C609,PM[Product ID],PM[Product Name])</f>
        <v>LED Monitor 24"</v>
      </c>
      <c r="E609" t="str">
        <f>VLOOKUP(C609,PM[],3,FALSE)</f>
        <v>Electronics</v>
      </c>
      <c r="F609">
        <f>_xlfn.XLOOKUP(C609,PM[Product ID],PM[Unit Price (₹)])</f>
        <v>7700</v>
      </c>
      <c r="G609" t="str">
        <f>_xlfn.XLOOKUP(Sales7[[#This Row],[Order ID]],ST[Order ID],ST[Employee ID])</f>
        <v>E03</v>
      </c>
      <c r="H609" t="str">
        <f>_xlfn.XLOOKUP(G609,SM[Employee ID],SM[Salesperson])</f>
        <v>Rohan Mehta</v>
      </c>
      <c r="I609" t="str">
        <f>_xlfn.XLOOKUP(G609,SM[Employee ID],SM[Region])</f>
        <v>South</v>
      </c>
      <c r="J609" t="str">
        <f>_xlfn.XLOOKUP(G609,SM[Employee ID],SM[State/City])</f>
        <v>Bengaluru</v>
      </c>
      <c r="K609" s="2">
        <f>_xlfn.XLOOKUP(Sales7[[#This Row],[Order ID]],ST[Order ID],ST[Units Sold])</f>
        <v>3</v>
      </c>
      <c r="L609">
        <f t="shared" si="9"/>
        <v>23100</v>
      </c>
    </row>
    <row r="610" spans="1:12" x14ac:dyDescent="0.35">
      <c r="A610" s="7">
        <v>1604</v>
      </c>
      <c r="B610" s="1">
        <v>45565</v>
      </c>
      <c r="C610" s="2" t="s">
        <v>8</v>
      </c>
      <c r="D610" t="str">
        <f>_xlfn.XLOOKUP(Merged_Sales_Data!C610,PM[Product ID],PM[Product Name])</f>
        <v>USB-C Hub</v>
      </c>
      <c r="E610" t="str">
        <f>VLOOKUP(C610,PM[],3,FALSE)</f>
        <v>Accessories</v>
      </c>
      <c r="F610">
        <f>_xlfn.XLOOKUP(C610,PM[Product ID],PM[Unit Price (₹)])</f>
        <v>880</v>
      </c>
      <c r="G610" t="str">
        <f>_xlfn.XLOOKUP(Sales7[[#This Row],[Order ID]],ST[Order ID],ST[Employee ID])</f>
        <v>E02</v>
      </c>
      <c r="H610" t="str">
        <f>_xlfn.XLOOKUP(G610,SM[Employee ID],SM[Salesperson])</f>
        <v>Ishita Verma</v>
      </c>
      <c r="I610" t="str">
        <f>_xlfn.XLOOKUP(G610,SM[Employee ID],SM[Region])</f>
        <v>North</v>
      </c>
      <c r="J610" t="str">
        <f>_xlfn.XLOOKUP(G610,SM[Employee ID],SM[State/City])</f>
        <v>Chandigarh</v>
      </c>
      <c r="K610" s="2">
        <f>_xlfn.XLOOKUP(Sales7[[#This Row],[Order ID]],ST[Order ID],ST[Units Sold])</f>
        <v>1</v>
      </c>
      <c r="L610">
        <f t="shared" si="9"/>
        <v>880</v>
      </c>
    </row>
    <row r="611" spans="1:12" x14ac:dyDescent="0.35">
      <c r="A611" s="7">
        <v>1616</v>
      </c>
      <c r="B611" s="1">
        <v>45568</v>
      </c>
      <c r="C611" s="2" t="s">
        <v>5</v>
      </c>
      <c r="D611" t="str">
        <f>_xlfn.XLOOKUP(Merged_Sales_Data!C611,PM[Product ID],PM[Product Name])</f>
        <v>Ergo Office Chair</v>
      </c>
      <c r="E611" t="str">
        <f>VLOOKUP(C611,PM[],3,FALSE)</f>
        <v>Office Supplies</v>
      </c>
      <c r="F611">
        <f>_xlfn.XLOOKUP(C611,PM[Product ID],PM[Unit Price (₹)])</f>
        <v>6750</v>
      </c>
      <c r="G611" t="str">
        <f>_xlfn.XLOOKUP(Sales7[[#This Row],[Order ID]],ST[Order ID],ST[Employee ID])</f>
        <v>E01</v>
      </c>
      <c r="H611" t="str">
        <f>_xlfn.XLOOKUP(G611,SM[Employee ID],SM[Salesperson])</f>
        <v>Aarav Sharma</v>
      </c>
      <c r="I611" t="str">
        <f>_xlfn.XLOOKUP(G611,SM[Employee ID],SM[Region])</f>
        <v>North</v>
      </c>
      <c r="J611" t="str">
        <f>_xlfn.XLOOKUP(G611,SM[Employee ID],SM[State/City])</f>
        <v>Lucknow</v>
      </c>
      <c r="K611" s="2">
        <f>_xlfn.XLOOKUP(Sales7[[#This Row],[Order ID]],ST[Order ID],ST[Units Sold])</f>
        <v>2</v>
      </c>
      <c r="L611">
        <f t="shared" si="9"/>
        <v>13500</v>
      </c>
    </row>
    <row r="612" spans="1:12" x14ac:dyDescent="0.35">
      <c r="A612" s="7">
        <v>1634</v>
      </c>
      <c r="B612" s="1">
        <v>45568</v>
      </c>
      <c r="C612" s="2" t="s">
        <v>12</v>
      </c>
      <c r="D612" t="str">
        <f>_xlfn.XLOOKUP(Merged_Sales_Data!C612,PM[Product ID],PM[Product Name])</f>
        <v>Bookshelf Unit</v>
      </c>
      <c r="E612" t="str">
        <f>VLOOKUP(C612,PM[],3,FALSE)</f>
        <v>Furniture</v>
      </c>
      <c r="F612">
        <f>_xlfn.XLOOKUP(C612,PM[Product ID],PM[Unit Price (₹)])</f>
        <v>3910</v>
      </c>
      <c r="G612" t="str">
        <f>_xlfn.XLOOKUP(Sales7[[#This Row],[Order ID]],ST[Order ID],ST[Employee ID])</f>
        <v>E04</v>
      </c>
      <c r="H612" t="str">
        <f>_xlfn.XLOOKUP(G612,SM[Employee ID],SM[Salesperson])</f>
        <v>Priya Nair</v>
      </c>
      <c r="I612" t="str">
        <f>_xlfn.XLOOKUP(G612,SM[Employee ID],SM[Region])</f>
        <v>South</v>
      </c>
      <c r="J612" t="str">
        <f>_xlfn.XLOOKUP(G612,SM[Employee ID],SM[State/City])</f>
        <v>Bengaluru</v>
      </c>
      <c r="K612" s="2">
        <f>_xlfn.XLOOKUP(Sales7[[#This Row],[Order ID]],ST[Order ID],ST[Units Sold])</f>
        <v>10</v>
      </c>
      <c r="L612">
        <f t="shared" si="9"/>
        <v>39100</v>
      </c>
    </row>
    <row r="613" spans="1:12" x14ac:dyDescent="0.35">
      <c r="A613" s="7">
        <v>1614</v>
      </c>
      <c r="B613" s="1">
        <v>45572</v>
      </c>
      <c r="C613" s="2" t="s">
        <v>18</v>
      </c>
      <c r="D613" t="str">
        <f>_xlfn.XLOOKUP(Merged_Sales_Data!C613,PM[Product ID],PM[Product Name])</f>
        <v>LED Monitor 24"</v>
      </c>
      <c r="E613" t="str">
        <f>VLOOKUP(C613,PM[],3,FALSE)</f>
        <v>Electronics</v>
      </c>
      <c r="F613">
        <f>_xlfn.XLOOKUP(C613,PM[Product ID],PM[Unit Price (₹)])</f>
        <v>7700</v>
      </c>
      <c r="G613" t="str">
        <f>_xlfn.XLOOKUP(Sales7[[#This Row],[Order ID]],ST[Order ID],ST[Employee ID])</f>
        <v>E06</v>
      </c>
      <c r="H613" t="str">
        <f>_xlfn.XLOOKUP(G613,SM[Employee ID],SM[Salesperson])</f>
        <v>Sneha Roy</v>
      </c>
      <c r="I613" t="str">
        <f>_xlfn.XLOOKUP(G613,SM[Employee ID],SM[Region])</f>
        <v>East</v>
      </c>
      <c r="J613" t="str">
        <f>_xlfn.XLOOKUP(G613,SM[Employee ID],SM[State/City])</f>
        <v>Kolkata</v>
      </c>
      <c r="K613" s="2">
        <f>_xlfn.XLOOKUP(Sales7[[#This Row],[Order ID]],ST[Order ID],ST[Units Sold])</f>
        <v>2</v>
      </c>
      <c r="L613">
        <f t="shared" si="9"/>
        <v>15400</v>
      </c>
    </row>
    <row r="614" spans="1:12" x14ac:dyDescent="0.35">
      <c r="A614" s="7">
        <v>1619</v>
      </c>
      <c r="B614" s="1">
        <v>45572</v>
      </c>
      <c r="C614" s="2" t="s">
        <v>5</v>
      </c>
      <c r="D614" t="str">
        <f>_xlfn.XLOOKUP(Merged_Sales_Data!C614,PM[Product ID],PM[Product Name])</f>
        <v>Ergo Office Chair</v>
      </c>
      <c r="E614" t="str">
        <f>VLOOKUP(C614,PM[],3,FALSE)</f>
        <v>Office Supplies</v>
      </c>
      <c r="F614">
        <f>_xlfn.XLOOKUP(C614,PM[Product ID],PM[Unit Price (₹)])</f>
        <v>6750</v>
      </c>
      <c r="G614" t="str">
        <f>_xlfn.XLOOKUP(Sales7[[#This Row],[Order ID]],ST[Order ID],ST[Employee ID])</f>
        <v>E08</v>
      </c>
      <c r="H614" t="str">
        <f>_xlfn.XLOOKUP(G614,SM[Employee ID],SM[Salesperson])</f>
        <v>Neha Joshi</v>
      </c>
      <c r="I614" t="str">
        <f>_xlfn.XLOOKUP(G614,SM[Employee ID],SM[Region])</f>
        <v>West</v>
      </c>
      <c r="J614" t="str">
        <f>_xlfn.XLOOKUP(G614,SM[Employee ID],SM[State/City])</f>
        <v>Ahmedabad</v>
      </c>
      <c r="K614" s="2">
        <f>_xlfn.XLOOKUP(Sales7[[#This Row],[Order ID]],ST[Order ID],ST[Units Sold])</f>
        <v>6</v>
      </c>
      <c r="L614">
        <f t="shared" si="9"/>
        <v>40500</v>
      </c>
    </row>
    <row r="615" spans="1:12" x14ac:dyDescent="0.35">
      <c r="A615" s="7">
        <v>1639</v>
      </c>
      <c r="B615" s="1">
        <v>45572</v>
      </c>
      <c r="C615" s="2" t="s">
        <v>20</v>
      </c>
      <c r="D615" t="str">
        <f>_xlfn.XLOOKUP(Merged_Sales_Data!C615,PM[Product ID],PM[Product Name])</f>
        <v>Standing Desk</v>
      </c>
      <c r="E615" t="str">
        <f>VLOOKUP(C615,PM[],3,FALSE)</f>
        <v>Office Supplies</v>
      </c>
      <c r="F615">
        <f>_xlfn.XLOOKUP(C615,PM[Product ID],PM[Unit Price (₹)])</f>
        <v>11010</v>
      </c>
      <c r="G615" t="str">
        <f>_xlfn.XLOOKUP(Sales7[[#This Row],[Order ID]],ST[Order ID],ST[Employee ID])</f>
        <v>E06</v>
      </c>
      <c r="H615" t="str">
        <f>_xlfn.XLOOKUP(G615,SM[Employee ID],SM[Salesperson])</f>
        <v>Sneha Roy</v>
      </c>
      <c r="I615" t="str">
        <f>_xlfn.XLOOKUP(G615,SM[Employee ID],SM[Region])</f>
        <v>East</v>
      </c>
      <c r="J615" t="str">
        <f>_xlfn.XLOOKUP(G615,SM[Employee ID],SM[State/City])</f>
        <v>Kolkata</v>
      </c>
      <c r="K615" s="2">
        <f>_xlfn.XLOOKUP(Sales7[[#This Row],[Order ID]],ST[Order ID],ST[Units Sold])</f>
        <v>1</v>
      </c>
      <c r="L615">
        <f t="shared" si="9"/>
        <v>11010</v>
      </c>
    </row>
    <row r="616" spans="1:12" x14ac:dyDescent="0.35">
      <c r="A616" s="7">
        <v>1649</v>
      </c>
      <c r="B616" s="1">
        <v>45572</v>
      </c>
      <c r="C616" s="2" t="s">
        <v>20</v>
      </c>
      <c r="D616" t="str">
        <f>_xlfn.XLOOKUP(Merged_Sales_Data!C616,PM[Product ID],PM[Product Name])</f>
        <v>Standing Desk</v>
      </c>
      <c r="E616" t="str">
        <f>VLOOKUP(C616,PM[],3,FALSE)</f>
        <v>Office Supplies</v>
      </c>
      <c r="F616">
        <f>_xlfn.XLOOKUP(C616,PM[Product ID],PM[Unit Price (₹)])</f>
        <v>11010</v>
      </c>
      <c r="G616" t="str">
        <f>_xlfn.XLOOKUP(Sales7[[#This Row],[Order ID]],ST[Order ID],ST[Employee ID])</f>
        <v>E07</v>
      </c>
      <c r="H616" t="str">
        <f>_xlfn.XLOOKUP(G616,SM[Employee ID],SM[Salesperson])</f>
        <v>Aditya Kapoor</v>
      </c>
      <c r="I616" t="str">
        <f>_xlfn.XLOOKUP(G616,SM[Employee ID],SM[Region])</f>
        <v>West</v>
      </c>
      <c r="J616" t="str">
        <f>_xlfn.XLOOKUP(G616,SM[Employee ID],SM[State/City])</f>
        <v>Mumbai</v>
      </c>
      <c r="K616" s="2">
        <f>_xlfn.XLOOKUP(Sales7[[#This Row],[Order ID]],ST[Order ID],ST[Units Sold])</f>
        <v>1</v>
      </c>
      <c r="L616">
        <f t="shared" si="9"/>
        <v>11010</v>
      </c>
    </row>
    <row r="617" spans="1:12" x14ac:dyDescent="0.35">
      <c r="A617" s="7">
        <v>1633</v>
      </c>
      <c r="B617" s="1">
        <v>45574</v>
      </c>
      <c r="C617" s="2" t="s">
        <v>10</v>
      </c>
      <c r="D617" t="str">
        <f>_xlfn.XLOOKUP(Merged_Sales_Data!C617,PM[Product ID],PM[Product Name])</f>
        <v>Filing Cabinet</v>
      </c>
      <c r="E617" t="str">
        <f>VLOOKUP(C617,PM[],3,FALSE)</f>
        <v>Furniture</v>
      </c>
      <c r="F617">
        <f>_xlfn.XLOOKUP(C617,PM[Product ID],PM[Unit Price (₹)])</f>
        <v>4070</v>
      </c>
      <c r="G617" t="str">
        <f>_xlfn.XLOOKUP(Sales7[[#This Row],[Order ID]],ST[Order ID],ST[Employee ID])</f>
        <v>E03</v>
      </c>
      <c r="H617" t="str">
        <f>_xlfn.XLOOKUP(G617,SM[Employee ID],SM[Salesperson])</f>
        <v>Rohan Mehta</v>
      </c>
      <c r="I617" t="str">
        <f>_xlfn.XLOOKUP(G617,SM[Employee ID],SM[Region])</f>
        <v>South</v>
      </c>
      <c r="J617" t="str">
        <f>_xlfn.XLOOKUP(G617,SM[Employee ID],SM[State/City])</f>
        <v>Bengaluru</v>
      </c>
      <c r="K617" s="2">
        <f>_xlfn.XLOOKUP(Sales7[[#This Row],[Order ID]],ST[Order ID],ST[Units Sold])</f>
        <v>2</v>
      </c>
      <c r="L617">
        <f t="shared" si="9"/>
        <v>8140</v>
      </c>
    </row>
    <row r="618" spans="1:12" x14ac:dyDescent="0.35">
      <c r="A618" s="7">
        <v>1648</v>
      </c>
      <c r="B618" s="1">
        <v>45574</v>
      </c>
      <c r="C618" s="2" t="s">
        <v>18</v>
      </c>
      <c r="D618" t="str">
        <f>_xlfn.XLOOKUP(Merged_Sales_Data!C618,PM[Product ID],PM[Product Name])</f>
        <v>LED Monitor 24"</v>
      </c>
      <c r="E618" t="str">
        <f>VLOOKUP(C618,PM[],3,FALSE)</f>
        <v>Electronics</v>
      </c>
      <c r="F618">
        <f>_xlfn.XLOOKUP(C618,PM[Product ID],PM[Unit Price (₹)])</f>
        <v>7700</v>
      </c>
      <c r="G618" t="str">
        <f>_xlfn.XLOOKUP(Sales7[[#This Row],[Order ID]],ST[Order ID],ST[Employee ID])</f>
        <v>E04</v>
      </c>
      <c r="H618" t="str">
        <f>_xlfn.XLOOKUP(G618,SM[Employee ID],SM[Salesperson])</f>
        <v>Priya Nair</v>
      </c>
      <c r="I618" t="str">
        <f>_xlfn.XLOOKUP(G618,SM[Employee ID],SM[Region])</f>
        <v>South</v>
      </c>
      <c r="J618" t="str">
        <f>_xlfn.XLOOKUP(G618,SM[Employee ID],SM[State/City])</f>
        <v>Bengaluru</v>
      </c>
      <c r="K618" s="2">
        <f>_xlfn.XLOOKUP(Sales7[[#This Row],[Order ID]],ST[Order ID],ST[Units Sold])</f>
        <v>1</v>
      </c>
      <c r="L618">
        <f t="shared" si="9"/>
        <v>7700</v>
      </c>
    </row>
    <row r="619" spans="1:12" x14ac:dyDescent="0.35">
      <c r="A619" s="7">
        <v>1611</v>
      </c>
      <c r="B619" s="1">
        <v>45575</v>
      </c>
      <c r="C619" s="2" t="s">
        <v>21</v>
      </c>
      <c r="D619" t="str">
        <f>_xlfn.XLOOKUP(Merged_Sales_Data!C619,PM[Product ID],PM[Product Name])</f>
        <v>Wireless Mouse</v>
      </c>
      <c r="E619" t="str">
        <f>VLOOKUP(C619,PM[],3,FALSE)</f>
        <v>Electronics</v>
      </c>
      <c r="F619">
        <f>_xlfn.XLOOKUP(C619,PM[Product ID],PM[Unit Price (₹)])</f>
        <v>780</v>
      </c>
      <c r="G619" t="str">
        <f>_xlfn.XLOOKUP(Sales7[[#This Row],[Order ID]],ST[Order ID],ST[Employee ID])</f>
        <v>E04</v>
      </c>
      <c r="H619" t="str">
        <f>_xlfn.XLOOKUP(G619,SM[Employee ID],SM[Salesperson])</f>
        <v>Priya Nair</v>
      </c>
      <c r="I619" t="str">
        <f>_xlfn.XLOOKUP(G619,SM[Employee ID],SM[Region])</f>
        <v>South</v>
      </c>
      <c r="J619" t="str">
        <f>_xlfn.XLOOKUP(G619,SM[Employee ID],SM[State/City])</f>
        <v>Bengaluru</v>
      </c>
      <c r="K619" s="2">
        <f>_xlfn.XLOOKUP(Sales7[[#This Row],[Order ID]],ST[Order ID],ST[Units Sold])</f>
        <v>1</v>
      </c>
      <c r="L619">
        <f t="shared" si="9"/>
        <v>780</v>
      </c>
    </row>
    <row r="620" spans="1:12" x14ac:dyDescent="0.35">
      <c r="A620" s="7">
        <v>1620</v>
      </c>
      <c r="B620" s="1">
        <v>45575</v>
      </c>
      <c r="C620" s="2" t="s">
        <v>18</v>
      </c>
      <c r="D620" t="str">
        <f>_xlfn.XLOOKUP(Merged_Sales_Data!C620,PM[Product ID],PM[Product Name])</f>
        <v>LED Monitor 24"</v>
      </c>
      <c r="E620" t="str">
        <f>VLOOKUP(C620,PM[],3,FALSE)</f>
        <v>Electronics</v>
      </c>
      <c r="F620">
        <f>_xlfn.XLOOKUP(C620,PM[Product ID],PM[Unit Price (₹)])</f>
        <v>7700</v>
      </c>
      <c r="G620" t="str">
        <f>_xlfn.XLOOKUP(Sales7[[#This Row],[Order ID]],ST[Order ID],ST[Employee ID])</f>
        <v>E01</v>
      </c>
      <c r="H620" t="str">
        <f>_xlfn.XLOOKUP(G620,SM[Employee ID],SM[Salesperson])</f>
        <v>Aarav Sharma</v>
      </c>
      <c r="I620" t="str">
        <f>_xlfn.XLOOKUP(G620,SM[Employee ID],SM[Region])</f>
        <v>North</v>
      </c>
      <c r="J620" t="str">
        <f>_xlfn.XLOOKUP(G620,SM[Employee ID],SM[State/City])</f>
        <v>Lucknow</v>
      </c>
      <c r="K620" s="2">
        <f>_xlfn.XLOOKUP(Sales7[[#This Row],[Order ID]],ST[Order ID],ST[Units Sold])</f>
        <v>6</v>
      </c>
      <c r="L620">
        <f t="shared" si="9"/>
        <v>46200</v>
      </c>
    </row>
    <row r="621" spans="1:12" x14ac:dyDescent="0.35">
      <c r="A621" s="7">
        <v>1628</v>
      </c>
      <c r="B621" s="1">
        <v>45575</v>
      </c>
      <c r="C621" s="2" t="s">
        <v>10</v>
      </c>
      <c r="D621" t="str">
        <f>_xlfn.XLOOKUP(Merged_Sales_Data!C621,PM[Product ID],PM[Product Name])</f>
        <v>Filing Cabinet</v>
      </c>
      <c r="E621" t="str">
        <f>VLOOKUP(C621,PM[],3,FALSE)</f>
        <v>Furniture</v>
      </c>
      <c r="F621">
        <f>_xlfn.XLOOKUP(C621,PM[Product ID],PM[Unit Price (₹)])</f>
        <v>4070</v>
      </c>
      <c r="G621" t="str">
        <f>_xlfn.XLOOKUP(Sales7[[#This Row],[Order ID]],ST[Order ID],ST[Employee ID])</f>
        <v>E07</v>
      </c>
      <c r="H621" t="str">
        <f>_xlfn.XLOOKUP(G621,SM[Employee ID],SM[Salesperson])</f>
        <v>Aditya Kapoor</v>
      </c>
      <c r="I621" t="str">
        <f>_xlfn.XLOOKUP(G621,SM[Employee ID],SM[Region])</f>
        <v>West</v>
      </c>
      <c r="J621" t="str">
        <f>_xlfn.XLOOKUP(G621,SM[Employee ID],SM[State/City])</f>
        <v>Mumbai</v>
      </c>
      <c r="K621" s="2">
        <f>_xlfn.XLOOKUP(Sales7[[#This Row],[Order ID]],ST[Order ID],ST[Units Sold])</f>
        <v>1</v>
      </c>
      <c r="L621">
        <f t="shared" si="9"/>
        <v>4070</v>
      </c>
    </row>
    <row r="622" spans="1:12" x14ac:dyDescent="0.35">
      <c r="A622" s="7">
        <v>1644</v>
      </c>
      <c r="B622" s="1">
        <v>45577</v>
      </c>
      <c r="C622" s="2" t="s">
        <v>20</v>
      </c>
      <c r="D622" t="str">
        <f>_xlfn.XLOOKUP(Merged_Sales_Data!C622,PM[Product ID],PM[Product Name])</f>
        <v>Standing Desk</v>
      </c>
      <c r="E622" t="str">
        <f>VLOOKUP(C622,PM[],3,FALSE)</f>
        <v>Office Supplies</v>
      </c>
      <c r="F622">
        <f>_xlfn.XLOOKUP(C622,PM[Product ID],PM[Unit Price (₹)])</f>
        <v>11010</v>
      </c>
      <c r="G622" t="str">
        <f>_xlfn.XLOOKUP(Sales7[[#This Row],[Order ID]],ST[Order ID],ST[Employee ID])</f>
        <v>E06</v>
      </c>
      <c r="H622" t="str">
        <f>_xlfn.XLOOKUP(G622,SM[Employee ID],SM[Salesperson])</f>
        <v>Sneha Roy</v>
      </c>
      <c r="I622" t="str">
        <f>_xlfn.XLOOKUP(G622,SM[Employee ID],SM[Region])</f>
        <v>East</v>
      </c>
      <c r="J622" t="str">
        <f>_xlfn.XLOOKUP(G622,SM[Employee ID],SM[State/City])</f>
        <v>Kolkata</v>
      </c>
      <c r="K622" s="2">
        <f>_xlfn.XLOOKUP(Sales7[[#This Row],[Order ID]],ST[Order ID],ST[Units Sold])</f>
        <v>2</v>
      </c>
      <c r="L622">
        <f t="shared" si="9"/>
        <v>22020</v>
      </c>
    </row>
    <row r="623" spans="1:12" x14ac:dyDescent="0.35">
      <c r="A623" s="7">
        <v>1646</v>
      </c>
      <c r="B623" s="1">
        <v>45577</v>
      </c>
      <c r="C623" s="2" t="s">
        <v>12</v>
      </c>
      <c r="D623" t="str">
        <f>_xlfn.XLOOKUP(Merged_Sales_Data!C623,PM[Product ID],PM[Product Name])</f>
        <v>Bookshelf Unit</v>
      </c>
      <c r="E623" t="str">
        <f>VLOOKUP(C623,PM[],3,FALSE)</f>
        <v>Furniture</v>
      </c>
      <c r="F623">
        <f>_xlfn.XLOOKUP(C623,PM[Product ID],PM[Unit Price (₹)])</f>
        <v>3910</v>
      </c>
      <c r="G623" t="str">
        <f>_xlfn.XLOOKUP(Sales7[[#This Row],[Order ID]],ST[Order ID],ST[Employee ID])</f>
        <v>E08</v>
      </c>
      <c r="H623" t="str">
        <f>_xlfn.XLOOKUP(G623,SM[Employee ID],SM[Salesperson])</f>
        <v>Neha Joshi</v>
      </c>
      <c r="I623" t="str">
        <f>_xlfn.XLOOKUP(G623,SM[Employee ID],SM[Region])</f>
        <v>West</v>
      </c>
      <c r="J623" t="str">
        <f>_xlfn.XLOOKUP(G623,SM[Employee ID],SM[State/City])</f>
        <v>Ahmedabad</v>
      </c>
      <c r="K623" s="2">
        <f>_xlfn.XLOOKUP(Sales7[[#This Row],[Order ID]],ST[Order ID],ST[Units Sold])</f>
        <v>2</v>
      </c>
      <c r="L623">
        <f t="shared" si="9"/>
        <v>7820</v>
      </c>
    </row>
    <row r="624" spans="1:12" x14ac:dyDescent="0.35">
      <c r="A624" s="7">
        <v>1618</v>
      </c>
      <c r="B624" s="1">
        <v>45578</v>
      </c>
      <c r="C624" s="2" t="s">
        <v>5</v>
      </c>
      <c r="D624" t="str">
        <f>_xlfn.XLOOKUP(Merged_Sales_Data!C624,PM[Product ID],PM[Product Name])</f>
        <v>Ergo Office Chair</v>
      </c>
      <c r="E624" t="str">
        <f>VLOOKUP(C624,PM[],3,FALSE)</f>
        <v>Office Supplies</v>
      </c>
      <c r="F624">
        <f>_xlfn.XLOOKUP(C624,PM[Product ID],PM[Unit Price (₹)])</f>
        <v>6750</v>
      </c>
      <c r="G624" t="str">
        <f>_xlfn.XLOOKUP(Sales7[[#This Row],[Order ID]],ST[Order ID],ST[Employee ID])</f>
        <v>E01</v>
      </c>
      <c r="H624" t="str">
        <f>_xlfn.XLOOKUP(G624,SM[Employee ID],SM[Salesperson])</f>
        <v>Aarav Sharma</v>
      </c>
      <c r="I624" t="str">
        <f>_xlfn.XLOOKUP(G624,SM[Employee ID],SM[Region])</f>
        <v>North</v>
      </c>
      <c r="J624" t="str">
        <f>_xlfn.XLOOKUP(G624,SM[Employee ID],SM[State/City])</f>
        <v>Lucknow</v>
      </c>
      <c r="K624" s="2">
        <f>_xlfn.XLOOKUP(Sales7[[#This Row],[Order ID]],ST[Order ID],ST[Units Sold])</f>
        <v>1</v>
      </c>
      <c r="L624">
        <f t="shared" si="9"/>
        <v>6750</v>
      </c>
    </row>
    <row r="625" spans="1:12" x14ac:dyDescent="0.35">
      <c r="A625" s="7">
        <v>1636</v>
      </c>
      <c r="B625" s="1">
        <v>45578</v>
      </c>
      <c r="C625" s="2" t="s">
        <v>21</v>
      </c>
      <c r="D625" t="str">
        <f>_xlfn.XLOOKUP(Merged_Sales_Data!C625,PM[Product ID],PM[Product Name])</f>
        <v>Wireless Mouse</v>
      </c>
      <c r="E625" t="str">
        <f>VLOOKUP(C625,PM[],3,FALSE)</f>
        <v>Electronics</v>
      </c>
      <c r="F625">
        <f>_xlfn.XLOOKUP(C625,PM[Product ID],PM[Unit Price (₹)])</f>
        <v>780</v>
      </c>
      <c r="G625" t="str">
        <f>_xlfn.XLOOKUP(Sales7[[#This Row],[Order ID]],ST[Order ID],ST[Employee ID])</f>
        <v>E04</v>
      </c>
      <c r="H625" t="str">
        <f>_xlfn.XLOOKUP(G625,SM[Employee ID],SM[Salesperson])</f>
        <v>Priya Nair</v>
      </c>
      <c r="I625" t="str">
        <f>_xlfn.XLOOKUP(G625,SM[Employee ID],SM[Region])</f>
        <v>South</v>
      </c>
      <c r="J625" t="str">
        <f>_xlfn.XLOOKUP(G625,SM[Employee ID],SM[State/City])</f>
        <v>Bengaluru</v>
      </c>
      <c r="K625" s="2">
        <f>_xlfn.XLOOKUP(Sales7[[#This Row],[Order ID]],ST[Order ID],ST[Units Sold])</f>
        <v>2</v>
      </c>
      <c r="L625">
        <f t="shared" si="9"/>
        <v>1560</v>
      </c>
    </row>
    <row r="626" spans="1:12" x14ac:dyDescent="0.35">
      <c r="A626" s="7">
        <v>1615</v>
      </c>
      <c r="B626" s="1">
        <v>45579</v>
      </c>
      <c r="C626" s="2" t="s">
        <v>21</v>
      </c>
      <c r="D626" t="str">
        <f>_xlfn.XLOOKUP(Merged_Sales_Data!C626,PM[Product ID],PM[Product Name])</f>
        <v>Wireless Mouse</v>
      </c>
      <c r="E626" t="str">
        <f>VLOOKUP(C626,PM[],3,FALSE)</f>
        <v>Electronics</v>
      </c>
      <c r="F626">
        <f>_xlfn.XLOOKUP(C626,PM[Product ID],PM[Unit Price (₹)])</f>
        <v>780</v>
      </c>
      <c r="G626" t="str">
        <f>_xlfn.XLOOKUP(Sales7[[#This Row],[Order ID]],ST[Order ID],ST[Employee ID])</f>
        <v>E02</v>
      </c>
      <c r="H626" t="str">
        <f>_xlfn.XLOOKUP(G626,SM[Employee ID],SM[Salesperson])</f>
        <v>Ishita Verma</v>
      </c>
      <c r="I626" t="str">
        <f>_xlfn.XLOOKUP(G626,SM[Employee ID],SM[Region])</f>
        <v>North</v>
      </c>
      <c r="J626" t="str">
        <f>_xlfn.XLOOKUP(G626,SM[Employee ID],SM[State/City])</f>
        <v>Chandigarh</v>
      </c>
      <c r="K626" s="2">
        <f>_xlfn.XLOOKUP(Sales7[[#This Row],[Order ID]],ST[Order ID],ST[Units Sold])</f>
        <v>10</v>
      </c>
      <c r="L626">
        <f t="shared" si="9"/>
        <v>7800</v>
      </c>
    </row>
    <row r="627" spans="1:12" x14ac:dyDescent="0.35">
      <c r="A627" s="7">
        <v>1623</v>
      </c>
      <c r="B627" s="1">
        <v>45579</v>
      </c>
      <c r="C627" s="2" t="s">
        <v>8</v>
      </c>
      <c r="D627" t="str">
        <f>_xlfn.XLOOKUP(Merged_Sales_Data!C627,PM[Product ID],PM[Product Name])</f>
        <v>USB-C Hub</v>
      </c>
      <c r="E627" t="str">
        <f>VLOOKUP(C627,PM[],3,FALSE)</f>
        <v>Accessories</v>
      </c>
      <c r="F627">
        <f>_xlfn.XLOOKUP(C627,PM[Product ID],PM[Unit Price (₹)])</f>
        <v>880</v>
      </c>
      <c r="G627" t="str">
        <f>_xlfn.XLOOKUP(Sales7[[#This Row],[Order ID]],ST[Order ID],ST[Employee ID])</f>
        <v>E03</v>
      </c>
      <c r="H627" t="str">
        <f>_xlfn.XLOOKUP(G627,SM[Employee ID],SM[Salesperson])</f>
        <v>Rohan Mehta</v>
      </c>
      <c r="I627" t="str">
        <f>_xlfn.XLOOKUP(G627,SM[Employee ID],SM[Region])</f>
        <v>South</v>
      </c>
      <c r="J627" t="str">
        <f>_xlfn.XLOOKUP(G627,SM[Employee ID],SM[State/City])</f>
        <v>Bengaluru</v>
      </c>
      <c r="K627" s="2">
        <f>_xlfn.XLOOKUP(Sales7[[#This Row],[Order ID]],ST[Order ID],ST[Units Sold])</f>
        <v>2</v>
      </c>
      <c r="L627">
        <f t="shared" si="9"/>
        <v>1760</v>
      </c>
    </row>
    <row r="628" spans="1:12" x14ac:dyDescent="0.35">
      <c r="A628" s="7">
        <v>1657</v>
      </c>
      <c r="B628" s="1">
        <v>45579</v>
      </c>
      <c r="C628" s="2" t="s">
        <v>21</v>
      </c>
      <c r="D628" t="str">
        <f>_xlfn.XLOOKUP(Merged_Sales_Data!C628,PM[Product ID],PM[Product Name])</f>
        <v>Wireless Mouse</v>
      </c>
      <c r="E628" t="str">
        <f>VLOOKUP(C628,PM[],3,FALSE)</f>
        <v>Electronics</v>
      </c>
      <c r="F628">
        <f>_xlfn.XLOOKUP(C628,PM[Product ID],PM[Unit Price (₹)])</f>
        <v>780</v>
      </c>
      <c r="G628" t="str">
        <f>_xlfn.XLOOKUP(Sales7[[#This Row],[Order ID]],ST[Order ID],ST[Employee ID])</f>
        <v>E02</v>
      </c>
      <c r="H628" t="str">
        <f>_xlfn.XLOOKUP(G628,SM[Employee ID],SM[Salesperson])</f>
        <v>Ishita Verma</v>
      </c>
      <c r="I628" t="str">
        <f>_xlfn.XLOOKUP(G628,SM[Employee ID],SM[Region])</f>
        <v>North</v>
      </c>
      <c r="J628" t="str">
        <f>_xlfn.XLOOKUP(G628,SM[Employee ID],SM[State/City])</f>
        <v>Chandigarh</v>
      </c>
      <c r="K628" s="2">
        <f>_xlfn.XLOOKUP(Sales7[[#This Row],[Order ID]],ST[Order ID],ST[Units Sold])</f>
        <v>1</v>
      </c>
      <c r="L628">
        <f t="shared" si="9"/>
        <v>780</v>
      </c>
    </row>
    <row r="629" spans="1:12" x14ac:dyDescent="0.35">
      <c r="A629" s="7">
        <v>1613</v>
      </c>
      <c r="B629" s="1">
        <v>45580</v>
      </c>
      <c r="C629" s="2" t="s">
        <v>5</v>
      </c>
      <c r="D629" t="str">
        <f>_xlfn.XLOOKUP(Merged_Sales_Data!C629,PM[Product ID],PM[Product Name])</f>
        <v>Ergo Office Chair</v>
      </c>
      <c r="E629" t="str">
        <f>VLOOKUP(C629,PM[],3,FALSE)</f>
        <v>Office Supplies</v>
      </c>
      <c r="F629">
        <f>_xlfn.XLOOKUP(C629,PM[Product ID],PM[Unit Price (₹)])</f>
        <v>6750</v>
      </c>
      <c r="G629" t="str">
        <f>_xlfn.XLOOKUP(Sales7[[#This Row],[Order ID]],ST[Order ID],ST[Employee ID])</f>
        <v>E07</v>
      </c>
      <c r="H629" t="str">
        <f>_xlfn.XLOOKUP(G629,SM[Employee ID],SM[Salesperson])</f>
        <v>Aditya Kapoor</v>
      </c>
      <c r="I629" t="str">
        <f>_xlfn.XLOOKUP(G629,SM[Employee ID],SM[Region])</f>
        <v>West</v>
      </c>
      <c r="J629" t="str">
        <f>_xlfn.XLOOKUP(G629,SM[Employee ID],SM[State/City])</f>
        <v>Mumbai</v>
      </c>
      <c r="K629" s="2">
        <f>_xlfn.XLOOKUP(Sales7[[#This Row],[Order ID]],ST[Order ID],ST[Units Sold])</f>
        <v>2</v>
      </c>
      <c r="L629">
        <f t="shared" si="9"/>
        <v>13500</v>
      </c>
    </row>
    <row r="630" spans="1:12" x14ac:dyDescent="0.35">
      <c r="A630" s="7">
        <v>1625</v>
      </c>
      <c r="B630" s="1">
        <v>45581</v>
      </c>
      <c r="C630" s="2" t="s">
        <v>10</v>
      </c>
      <c r="D630" t="str">
        <f>_xlfn.XLOOKUP(Merged_Sales_Data!C630,PM[Product ID],PM[Product Name])</f>
        <v>Filing Cabinet</v>
      </c>
      <c r="E630" t="str">
        <f>VLOOKUP(C630,PM[],3,FALSE)</f>
        <v>Furniture</v>
      </c>
      <c r="F630">
        <f>_xlfn.XLOOKUP(C630,PM[Product ID],PM[Unit Price (₹)])</f>
        <v>4070</v>
      </c>
      <c r="G630" t="str">
        <f>_xlfn.XLOOKUP(Sales7[[#This Row],[Order ID]],ST[Order ID],ST[Employee ID])</f>
        <v>E03</v>
      </c>
      <c r="H630" t="str">
        <f>_xlfn.XLOOKUP(G630,SM[Employee ID],SM[Salesperson])</f>
        <v>Rohan Mehta</v>
      </c>
      <c r="I630" t="str">
        <f>_xlfn.XLOOKUP(G630,SM[Employee ID],SM[Region])</f>
        <v>South</v>
      </c>
      <c r="J630" t="str">
        <f>_xlfn.XLOOKUP(G630,SM[Employee ID],SM[State/City])</f>
        <v>Bengaluru</v>
      </c>
      <c r="K630" s="2">
        <f>_xlfn.XLOOKUP(Sales7[[#This Row],[Order ID]],ST[Order ID],ST[Units Sold])</f>
        <v>6</v>
      </c>
      <c r="L630">
        <f t="shared" si="9"/>
        <v>24420</v>
      </c>
    </row>
    <row r="631" spans="1:12" x14ac:dyDescent="0.35">
      <c r="A631" s="7">
        <v>1629</v>
      </c>
      <c r="B631" s="1">
        <v>45581</v>
      </c>
      <c r="C631" s="2" t="s">
        <v>18</v>
      </c>
      <c r="D631" t="str">
        <f>_xlfn.XLOOKUP(Merged_Sales_Data!C631,PM[Product ID],PM[Product Name])</f>
        <v>LED Monitor 24"</v>
      </c>
      <c r="E631" t="str">
        <f>VLOOKUP(C631,PM[],3,FALSE)</f>
        <v>Electronics</v>
      </c>
      <c r="F631">
        <f>_xlfn.XLOOKUP(C631,PM[Product ID],PM[Unit Price (₹)])</f>
        <v>7700</v>
      </c>
      <c r="G631" t="str">
        <f>_xlfn.XLOOKUP(Sales7[[#This Row],[Order ID]],ST[Order ID],ST[Employee ID])</f>
        <v>E07</v>
      </c>
      <c r="H631" t="str">
        <f>_xlfn.XLOOKUP(G631,SM[Employee ID],SM[Salesperson])</f>
        <v>Aditya Kapoor</v>
      </c>
      <c r="I631" t="str">
        <f>_xlfn.XLOOKUP(G631,SM[Employee ID],SM[Region])</f>
        <v>West</v>
      </c>
      <c r="J631" t="str">
        <f>_xlfn.XLOOKUP(G631,SM[Employee ID],SM[State/City])</f>
        <v>Mumbai</v>
      </c>
      <c r="K631" s="2">
        <f>_xlfn.XLOOKUP(Sales7[[#This Row],[Order ID]],ST[Order ID],ST[Units Sold])</f>
        <v>6</v>
      </c>
      <c r="L631">
        <f t="shared" si="9"/>
        <v>46200</v>
      </c>
    </row>
    <row r="632" spans="1:12" x14ac:dyDescent="0.35">
      <c r="A632" s="7">
        <v>1632</v>
      </c>
      <c r="B632" s="1">
        <v>45582</v>
      </c>
      <c r="C632" s="2" t="s">
        <v>10</v>
      </c>
      <c r="D632" t="str">
        <f>_xlfn.XLOOKUP(Merged_Sales_Data!C632,PM[Product ID],PM[Product Name])</f>
        <v>Filing Cabinet</v>
      </c>
      <c r="E632" t="str">
        <f>VLOOKUP(C632,PM[],3,FALSE)</f>
        <v>Furniture</v>
      </c>
      <c r="F632">
        <f>_xlfn.XLOOKUP(C632,PM[Product ID],PM[Unit Price (₹)])</f>
        <v>4070</v>
      </c>
      <c r="G632" t="str">
        <f>_xlfn.XLOOKUP(Sales7[[#This Row],[Order ID]],ST[Order ID],ST[Employee ID])</f>
        <v>E07</v>
      </c>
      <c r="H632" t="str">
        <f>_xlfn.XLOOKUP(G632,SM[Employee ID],SM[Salesperson])</f>
        <v>Aditya Kapoor</v>
      </c>
      <c r="I632" t="str">
        <f>_xlfn.XLOOKUP(G632,SM[Employee ID],SM[Region])</f>
        <v>West</v>
      </c>
      <c r="J632" t="str">
        <f>_xlfn.XLOOKUP(G632,SM[Employee ID],SM[State/City])</f>
        <v>Mumbai</v>
      </c>
      <c r="K632" s="2">
        <f>_xlfn.XLOOKUP(Sales7[[#This Row],[Order ID]],ST[Order ID],ST[Units Sold])</f>
        <v>6</v>
      </c>
      <c r="L632">
        <f t="shared" si="9"/>
        <v>24420</v>
      </c>
    </row>
    <row r="633" spans="1:12" x14ac:dyDescent="0.35">
      <c r="A633" s="7">
        <v>1659</v>
      </c>
      <c r="B633" s="1">
        <v>45582</v>
      </c>
      <c r="C633" s="2" t="s">
        <v>21</v>
      </c>
      <c r="D633" t="str">
        <f>_xlfn.XLOOKUP(Merged_Sales_Data!C633,PM[Product ID],PM[Product Name])</f>
        <v>Wireless Mouse</v>
      </c>
      <c r="E633" t="str">
        <f>VLOOKUP(C633,PM[],3,FALSE)</f>
        <v>Electronics</v>
      </c>
      <c r="F633">
        <f>_xlfn.XLOOKUP(C633,PM[Product ID],PM[Unit Price (₹)])</f>
        <v>780</v>
      </c>
      <c r="G633" t="str">
        <f>_xlfn.XLOOKUP(Sales7[[#This Row],[Order ID]],ST[Order ID],ST[Employee ID])</f>
        <v>E03</v>
      </c>
      <c r="H633" t="str">
        <f>_xlfn.XLOOKUP(G633,SM[Employee ID],SM[Salesperson])</f>
        <v>Rohan Mehta</v>
      </c>
      <c r="I633" t="str">
        <f>_xlfn.XLOOKUP(G633,SM[Employee ID],SM[Region])</f>
        <v>South</v>
      </c>
      <c r="J633" t="str">
        <f>_xlfn.XLOOKUP(G633,SM[Employee ID],SM[State/City])</f>
        <v>Bengaluru</v>
      </c>
      <c r="K633" s="2">
        <f>_xlfn.XLOOKUP(Sales7[[#This Row],[Order ID]],ST[Order ID],ST[Units Sold])</f>
        <v>2</v>
      </c>
      <c r="L633">
        <f t="shared" si="9"/>
        <v>1560</v>
      </c>
    </row>
    <row r="634" spans="1:12" x14ac:dyDescent="0.35">
      <c r="A634" s="7">
        <v>1612</v>
      </c>
      <c r="B634" s="1">
        <v>45583</v>
      </c>
      <c r="C634" s="2" t="s">
        <v>8</v>
      </c>
      <c r="D634" t="str">
        <f>_xlfn.XLOOKUP(Merged_Sales_Data!C634,PM[Product ID],PM[Product Name])</f>
        <v>USB-C Hub</v>
      </c>
      <c r="E634" t="str">
        <f>VLOOKUP(C634,PM[],3,FALSE)</f>
        <v>Accessories</v>
      </c>
      <c r="F634">
        <f>_xlfn.XLOOKUP(C634,PM[Product ID],PM[Unit Price (₹)])</f>
        <v>880</v>
      </c>
      <c r="G634" t="str">
        <f>_xlfn.XLOOKUP(Sales7[[#This Row],[Order ID]],ST[Order ID],ST[Employee ID])</f>
        <v>E08</v>
      </c>
      <c r="H634" t="str">
        <f>_xlfn.XLOOKUP(G634,SM[Employee ID],SM[Salesperson])</f>
        <v>Neha Joshi</v>
      </c>
      <c r="I634" t="str">
        <f>_xlfn.XLOOKUP(G634,SM[Employee ID],SM[Region])</f>
        <v>West</v>
      </c>
      <c r="J634" t="str">
        <f>_xlfn.XLOOKUP(G634,SM[Employee ID],SM[State/City])</f>
        <v>Ahmedabad</v>
      </c>
      <c r="K634" s="2">
        <f>_xlfn.XLOOKUP(Sales7[[#This Row],[Order ID]],ST[Order ID],ST[Units Sold])</f>
        <v>4</v>
      </c>
      <c r="L634">
        <f t="shared" si="9"/>
        <v>3520</v>
      </c>
    </row>
    <row r="635" spans="1:12" x14ac:dyDescent="0.35">
      <c r="A635" s="7">
        <v>1624</v>
      </c>
      <c r="B635" s="1">
        <v>45583</v>
      </c>
      <c r="C635" s="2" t="s">
        <v>20</v>
      </c>
      <c r="D635" t="str">
        <f>_xlfn.XLOOKUP(Merged_Sales_Data!C635,PM[Product ID],PM[Product Name])</f>
        <v>Standing Desk</v>
      </c>
      <c r="E635" t="str">
        <f>VLOOKUP(C635,PM[],3,FALSE)</f>
        <v>Office Supplies</v>
      </c>
      <c r="F635">
        <f>_xlfn.XLOOKUP(C635,PM[Product ID],PM[Unit Price (₹)])</f>
        <v>11010</v>
      </c>
      <c r="G635" t="str">
        <f>_xlfn.XLOOKUP(Sales7[[#This Row],[Order ID]],ST[Order ID],ST[Employee ID])</f>
        <v>E05</v>
      </c>
      <c r="H635" t="str">
        <f>_xlfn.XLOOKUP(G635,SM[Employee ID],SM[Salesperson])</f>
        <v>Karan Malhotra</v>
      </c>
      <c r="I635" t="str">
        <f>_xlfn.XLOOKUP(G635,SM[Employee ID],SM[Region])</f>
        <v>East</v>
      </c>
      <c r="J635" t="str">
        <f>_xlfn.XLOOKUP(G635,SM[Employee ID],SM[State/City])</f>
        <v>Kolkata</v>
      </c>
      <c r="K635" s="2">
        <f>_xlfn.XLOOKUP(Sales7[[#This Row],[Order ID]],ST[Order ID],ST[Units Sold])</f>
        <v>1</v>
      </c>
      <c r="L635">
        <f t="shared" si="9"/>
        <v>11010</v>
      </c>
    </row>
    <row r="636" spans="1:12" x14ac:dyDescent="0.35">
      <c r="A636" s="7">
        <v>1631</v>
      </c>
      <c r="B636" s="1">
        <v>45583</v>
      </c>
      <c r="C636" s="2" t="s">
        <v>14</v>
      </c>
      <c r="D636" t="str">
        <f>_xlfn.XLOOKUP(Merged_Sales_Data!C636,PM[Product ID],PM[Product Name])</f>
        <v>Laptop Backpack</v>
      </c>
      <c r="E636" t="str">
        <f>VLOOKUP(C636,PM[],3,FALSE)</f>
        <v>Accessories</v>
      </c>
      <c r="F636">
        <f>_xlfn.XLOOKUP(C636,PM[Product ID],PM[Unit Price (₹)])</f>
        <v>1110</v>
      </c>
      <c r="G636" t="str">
        <f>_xlfn.XLOOKUP(Sales7[[#This Row],[Order ID]],ST[Order ID],ST[Employee ID])</f>
        <v>E03</v>
      </c>
      <c r="H636" t="str">
        <f>_xlfn.XLOOKUP(G636,SM[Employee ID],SM[Salesperson])</f>
        <v>Rohan Mehta</v>
      </c>
      <c r="I636" t="str">
        <f>_xlfn.XLOOKUP(G636,SM[Employee ID],SM[Region])</f>
        <v>South</v>
      </c>
      <c r="J636" t="str">
        <f>_xlfn.XLOOKUP(G636,SM[Employee ID],SM[State/City])</f>
        <v>Bengaluru</v>
      </c>
      <c r="K636" s="2">
        <f>_xlfn.XLOOKUP(Sales7[[#This Row],[Order ID]],ST[Order ID],ST[Units Sold])</f>
        <v>1</v>
      </c>
      <c r="L636">
        <f t="shared" si="9"/>
        <v>1110</v>
      </c>
    </row>
    <row r="637" spans="1:12" x14ac:dyDescent="0.35">
      <c r="A637" s="7">
        <v>1635</v>
      </c>
      <c r="B637" s="1">
        <v>45583</v>
      </c>
      <c r="C637" s="2" t="s">
        <v>12</v>
      </c>
      <c r="D637" t="str">
        <f>_xlfn.XLOOKUP(Merged_Sales_Data!C637,PM[Product ID],PM[Product Name])</f>
        <v>Bookshelf Unit</v>
      </c>
      <c r="E637" t="str">
        <f>VLOOKUP(C637,PM[],3,FALSE)</f>
        <v>Furniture</v>
      </c>
      <c r="F637">
        <f>_xlfn.XLOOKUP(C637,PM[Product ID],PM[Unit Price (₹)])</f>
        <v>3910</v>
      </c>
      <c r="G637" t="str">
        <f>_xlfn.XLOOKUP(Sales7[[#This Row],[Order ID]],ST[Order ID],ST[Employee ID])</f>
        <v>E08</v>
      </c>
      <c r="H637" t="str">
        <f>_xlfn.XLOOKUP(G637,SM[Employee ID],SM[Salesperson])</f>
        <v>Neha Joshi</v>
      </c>
      <c r="I637" t="str">
        <f>_xlfn.XLOOKUP(G637,SM[Employee ID],SM[Region])</f>
        <v>West</v>
      </c>
      <c r="J637" t="str">
        <f>_xlfn.XLOOKUP(G637,SM[Employee ID],SM[State/City])</f>
        <v>Ahmedabad</v>
      </c>
      <c r="K637" s="2">
        <f>_xlfn.XLOOKUP(Sales7[[#This Row],[Order ID]],ST[Order ID],ST[Units Sold])</f>
        <v>1</v>
      </c>
      <c r="L637">
        <f t="shared" si="9"/>
        <v>3910</v>
      </c>
    </row>
    <row r="638" spans="1:12" x14ac:dyDescent="0.35">
      <c r="A638" s="7">
        <v>1643</v>
      </c>
      <c r="B638" s="1">
        <v>45583</v>
      </c>
      <c r="C638" s="2" t="s">
        <v>10</v>
      </c>
      <c r="D638" t="str">
        <f>_xlfn.XLOOKUP(Merged_Sales_Data!C638,PM[Product ID],PM[Product Name])</f>
        <v>Filing Cabinet</v>
      </c>
      <c r="E638" t="str">
        <f>VLOOKUP(C638,PM[],3,FALSE)</f>
        <v>Furniture</v>
      </c>
      <c r="F638">
        <f>_xlfn.XLOOKUP(C638,PM[Product ID],PM[Unit Price (₹)])</f>
        <v>4070</v>
      </c>
      <c r="G638" t="str">
        <f>_xlfn.XLOOKUP(Sales7[[#This Row],[Order ID]],ST[Order ID],ST[Employee ID])</f>
        <v>E05</v>
      </c>
      <c r="H638" t="str">
        <f>_xlfn.XLOOKUP(G638,SM[Employee ID],SM[Salesperson])</f>
        <v>Karan Malhotra</v>
      </c>
      <c r="I638" t="str">
        <f>_xlfn.XLOOKUP(G638,SM[Employee ID],SM[Region])</f>
        <v>East</v>
      </c>
      <c r="J638" t="str">
        <f>_xlfn.XLOOKUP(G638,SM[Employee ID],SM[State/City])</f>
        <v>Kolkata</v>
      </c>
      <c r="K638" s="2">
        <f>_xlfn.XLOOKUP(Sales7[[#This Row],[Order ID]],ST[Order ID],ST[Units Sold])</f>
        <v>5</v>
      </c>
      <c r="L638">
        <f t="shared" si="9"/>
        <v>20350</v>
      </c>
    </row>
    <row r="639" spans="1:12" x14ac:dyDescent="0.35">
      <c r="A639" s="7">
        <v>1647</v>
      </c>
      <c r="B639" s="1">
        <v>45584</v>
      </c>
      <c r="C639" s="2" t="s">
        <v>10</v>
      </c>
      <c r="D639" t="str">
        <f>_xlfn.XLOOKUP(Merged_Sales_Data!C639,PM[Product ID],PM[Product Name])</f>
        <v>Filing Cabinet</v>
      </c>
      <c r="E639" t="str">
        <f>VLOOKUP(C639,PM[],3,FALSE)</f>
        <v>Furniture</v>
      </c>
      <c r="F639">
        <f>_xlfn.XLOOKUP(C639,PM[Product ID],PM[Unit Price (₹)])</f>
        <v>4070</v>
      </c>
      <c r="G639" t="str">
        <f>_xlfn.XLOOKUP(Sales7[[#This Row],[Order ID]],ST[Order ID],ST[Employee ID])</f>
        <v>E06</v>
      </c>
      <c r="H639" t="str">
        <f>_xlfn.XLOOKUP(G639,SM[Employee ID],SM[Salesperson])</f>
        <v>Sneha Roy</v>
      </c>
      <c r="I639" t="str">
        <f>_xlfn.XLOOKUP(G639,SM[Employee ID],SM[Region])</f>
        <v>East</v>
      </c>
      <c r="J639" t="str">
        <f>_xlfn.XLOOKUP(G639,SM[Employee ID],SM[State/City])</f>
        <v>Kolkata</v>
      </c>
      <c r="K639" s="2">
        <f>_xlfn.XLOOKUP(Sales7[[#This Row],[Order ID]],ST[Order ID],ST[Units Sold])</f>
        <v>1</v>
      </c>
      <c r="L639">
        <f t="shared" si="9"/>
        <v>4070</v>
      </c>
    </row>
    <row r="640" spans="1:12" x14ac:dyDescent="0.35">
      <c r="A640" s="7">
        <v>1650</v>
      </c>
      <c r="B640" s="1">
        <v>45584</v>
      </c>
      <c r="C640" s="2" t="s">
        <v>5</v>
      </c>
      <c r="D640" t="str">
        <f>_xlfn.XLOOKUP(Merged_Sales_Data!C640,PM[Product ID],PM[Product Name])</f>
        <v>Ergo Office Chair</v>
      </c>
      <c r="E640" t="str">
        <f>VLOOKUP(C640,PM[],3,FALSE)</f>
        <v>Office Supplies</v>
      </c>
      <c r="F640">
        <f>_xlfn.XLOOKUP(C640,PM[Product ID],PM[Unit Price (₹)])</f>
        <v>6750</v>
      </c>
      <c r="G640" t="str">
        <f>_xlfn.XLOOKUP(Sales7[[#This Row],[Order ID]],ST[Order ID],ST[Employee ID])</f>
        <v>E06</v>
      </c>
      <c r="H640" t="str">
        <f>_xlfn.XLOOKUP(G640,SM[Employee ID],SM[Salesperson])</f>
        <v>Sneha Roy</v>
      </c>
      <c r="I640" t="str">
        <f>_xlfn.XLOOKUP(G640,SM[Employee ID],SM[Region])</f>
        <v>East</v>
      </c>
      <c r="J640" t="str">
        <f>_xlfn.XLOOKUP(G640,SM[Employee ID],SM[State/City])</f>
        <v>Kolkata</v>
      </c>
      <c r="K640" s="2">
        <f>_xlfn.XLOOKUP(Sales7[[#This Row],[Order ID]],ST[Order ID],ST[Units Sold])</f>
        <v>4</v>
      </c>
      <c r="L640">
        <f t="shared" si="9"/>
        <v>27000</v>
      </c>
    </row>
    <row r="641" spans="1:12" x14ac:dyDescent="0.35">
      <c r="A641" s="7">
        <v>1617</v>
      </c>
      <c r="B641" s="1">
        <v>45585</v>
      </c>
      <c r="C641" s="2" t="s">
        <v>21</v>
      </c>
      <c r="D641" t="str">
        <f>_xlfn.XLOOKUP(Merged_Sales_Data!C641,PM[Product ID],PM[Product Name])</f>
        <v>Wireless Mouse</v>
      </c>
      <c r="E641" t="str">
        <f>VLOOKUP(C641,PM[],3,FALSE)</f>
        <v>Electronics</v>
      </c>
      <c r="F641">
        <f>_xlfn.XLOOKUP(C641,PM[Product ID],PM[Unit Price (₹)])</f>
        <v>780</v>
      </c>
      <c r="G641" t="str">
        <f>_xlfn.XLOOKUP(Sales7[[#This Row],[Order ID]],ST[Order ID],ST[Employee ID])</f>
        <v>E02</v>
      </c>
      <c r="H641" t="str">
        <f>_xlfn.XLOOKUP(G641,SM[Employee ID],SM[Salesperson])</f>
        <v>Ishita Verma</v>
      </c>
      <c r="I641" t="str">
        <f>_xlfn.XLOOKUP(G641,SM[Employee ID],SM[Region])</f>
        <v>North</v>
      </c>
      <c r="J641" t="str">
        <f>_xlfn.XLOOKUP(G641,SM[Employee ID],SM[State/City])</f>
        <v>Chandigarh</v>
      </c>
      <c r="K641" s="2">
        <f>_xlfn.XLOOKUP(Sales7[[#This Row],[Order ID]],ST[Order ID],ST[Units Sold])</f>
        <v>5</v>
      </c>
      <c r="L641">
        <f t="shared" si="9"/>
        <v>3900</v>
      </c>
    </row>
    <row r="642" spans="1:12" x14ac:dyDescent="0.35">
      <c r="A642" s="7">
        <v>1621</v>
      </c>
      <c r="B642" s="1">
        <v>45585</v>
      </c>
      <c r="C642" s="2" t="s">
        <v>12</v>
      </c>
      <c r="D642" t="str">
        <f>_xlfn.XLOOKUP(Merged_Sales_Data!C642,PM[Product ID],PM[Product Name])</f>
        <v>Bookshelf Unit</v>
      </c>
      <c r="E642" t="str">
        <f>VLOOKUP(C642,PM[],3,FALSE)</f>
        <v>Furniture</v>
      </c>
      <c r="F642">
        <f>_xlfn.XLOOKUP(C642,PM[Product ID],PM[Unit Price (₹)])</f>
        <v>3910</v>
      </c>
      <c r="G642" t="str">
        <f>_xlfn.XLOOKUP(Sales7[[#This Row],[Order ID]],ST[Order ID],ST[Employee ID])</f>
        <v>E04</v>
      </c>
      <c r="H642" t="str">
        <f>_xlfn.XLOOKUP(G642,SM[Employee ID],SM[Salesperson])</f>
        <v>Priya Nair</v>
      </c>
      <c r="I642" t="str">
        <f>_xlfn.XLOOKUP(G642,SM[Employee ID],SM[Region])</f>
        <v>South</v>
      </c>
      <c r="J642" t="str">
        <f>_xlfn.XLOOKUP(G642,SM[Employee ID],SM[State/City])</f>
        <v>Bengaluru</v>
      </c>
      <c r="K642" s="2">
        <f>_xlfn.XLOOKUP(Sales7[[#This Row],[Order ID]],ST[Order ID],ST[Units Sold])</f>
        <v>8</v>
      </c>
      <c r="L642">
        <f t="shared" si="9"/>
        <v>31280</v>
      </c>
    </row>
    <row r="643" spans="1:12" x14ac:dyDescent="0.35">
      <c r="A643" s="7">
        <v>1651</v>
      </c>
      <c r="B643" s="1">
        <v>45586</v>
      </c>
      <c r="C643" s="2" t="s">
        <v>14</v>
      </c>
      <c r="D643" t="str">
        <f>_xlfn.XLOOKUP(Merged_Sales_Data!C643,PM[Product ID],PM[Product Name])</f>
        <v>Laptop Backpack</v>
      </c>
      <c r="E643" t="str">
        <f>VLOOKUP(C643,PM[],3,FALSE)</f>
        <v>Accessories</v>
      </c>
      <c r="F643">
        <f>_xlfn.XLOOKUP(C643,PM[Product ID],PM[Unit Price (₹)])</f>
        <v>1110</v>
      </c>
      <c r="G643" t="str">
        <f>_xlfn.XLOOKUP(Sales7[[#This Row],[Order ID]],ST[Order ID],ST[Employee ID])</f>
        <v>E04</v>
      </c>
      <c r="H643" t="str">
        <f>_xlfn.XLOOKUP(G643,SM[Employee ID],SM[Salesperson])</f>
        <v>Priya Nair</v>
      </c>
      <c r="I643" t="str">
        <f>_xlfn.XLOOKUP(G643,SM[Employee ID],SM[Region])</f>
        <v>South</v>
      </c>
      <c r="J643" t="str">
        <f>_xlfn.XLOOKUP(G643,SM[Employee ID],SM[State/City])</f>
        <v>Bengaluru</v>
      </c>
      <c r="K643" s="2">
        <f>_xlfn.XLOOKUP(Sales7[[#This Row],[Order ID]],ST[Order ID],ST[Units Sold])</f>
        <v>6</v>
      </c>
      <c r="L643">
        <f t="shared" ref="L643:L706" si="10">F643*K643</f>
        <v>6660</v>
      </c>
    </row>
    <row r="644" spans="1:12" x14ac:dyDescent="0.35">
      <c r="A644" s="7">
        <v>1655</v>
      </c>
      <c r="B644" s="1">
        <v>45586</v>
      </c>
      <c r="C644" s="2" t="s">
        <v>18</v>
      </c>
      <c r="D644" t="str">
        <f>_xlfn.XLOOKUP(Merged_Sales_Data!C644,PM[Product ID],PM[Product Name])</f>
        <v>LED Monitor 24"</v>
      </c>
      <c r="E644" t="str">
        <f>VLOOKUP(C644,PM[],3,FALSE)</f>
        <v>Electronics</v>
      </c>
      <c r="F644">
        <f>_xlfn.XLOOKUP(C644,PM[Product ID],PM[Unit Price (₹)])</f>
        <v>7700</v>
      </c>
      <c r="G644" t="str">
        <f>_xlfn.XLOOKUP(Sales7[[#This Row],[Order ID]],ST[Order ID],ST[Employee ID])</f>
        <v>E08</v>
      </c>
      <c r="H644" t="str">
        <f>_xlfn.XLOOKUP(G644,SM[Employee ID],SM[Salesperson])</f>
        <v>Neha Joshi</v>
      </c>
      <c r="I644" t="str">
        <f>_xlfn.XLOOKUP(G644,SM[Employee ID],SM[Region])</f>
        <v>West</v>
      </c>
      <c r="J644" t="str">
        <f>_xlfn.XLOOKUP(G644,SM[Employee ID],SM[State/City])</f>
        <v>Ahmedabad</v>
      </c>
      <c r="K644" s="2">
        <f>_xlfn.XLOOKUP(Sales7[[#This Row],[Order ID]],ST[Order ID],ST[Units Sold])</f>
        <v>6</v>
      </c>
      <c r="L644">
        <f t="shared" si="10"/>
        <v>46200</v>
      </c>
    </row>
    <row r="645" spans="1:12" x14ac:dyDescent="0.35">
      <c r="A645" s="7">
        <v>1626</v>
      </c>
      <c r="B645" s="1">
        <v>45587</v>
      </c>
      <c r="C645" s="2" t="s">
        <v>12</v>
      </c>
      <c r="D645" t="str">
        <f>_xlfn.XLOOKUP(Merged_Sales_Data!C645,PM[Product ID],PM[Product Name])</f>
        <v>Bookshelf Unit</v>
      </c>
      <c r="E645" t="str">
        <f>VLOOKUP(C645,PM[],3,FALSE)</f>
        <v>Furniture</v>
      </c>
      <c r="F645">
        <f>_xlfn.XLOOKUP(C645,PM[Product ID],PM[Unit Price (₹)])</f>
        <v>3910</v>
      </c>
      <c r="G645" t="str">
        <f>_xlfn.XLOOKUP(Sales7[[#This Row],[Order ID]],ST[Order ID],ST[Employee ID])</f>
        <v>E01</v>
      </c>
      <c r="H645" t="str">
        <f>_xlfn.XLOOKUP(G645,SM[Employee ID],SM[Salesperson])</f>
        <v>Aarav Sharma</v>
      </c>
      <c r="I645" t="str">
        <f>_xlfn.XLOOKUP(G645,SM[Employee ID],SM[Region])</f>
        <v>North</v>
      </c>
      <c r="J645" t="str">
        <f>_xlfn.XLOOKUP(G645,SM[Employee ID],SM[State/City])</f>
        <v>Lucknow</v>
      </c>
      <c r="K645" s="2">
        <f>_xlfn.XLOOKUP(Sales7[[#This Row],[Order ID]],ST[Order ID],ST[Units Sold])</f>
        <v>10</v>
      </c>
      <c r="L645">
        <f t="shared" si="10"/>
        <v>39100</v>
      </c>
    </row>
    <row r="646" spans="1:12" x14ac:dyDescent="0.35">
      <c r="A646" s="7">
        <v>1627</v>
      </c>
      <c r="B646" s="1">
        <v>45588</v>
      </c>
      <c r="C646" s="2" t="s">
        <v>8</v>
      </c>
      <c r="D646" t="str">
        <f>_xlfn.XLOOKUP(Merged_Sales_Data!C646,PM[Product ID],PM[Product Name])</f>
        <v>USB-C Hub</v>
      </c>
      <c r="E646" t="str">
        <f>VLOOKUP(C646,PM[],3,FALSE)</f>
        <v>Accessories</v>
      </c>
      <c r="F646">
        <f>_xlfn.XLOOKUP(C646,PM[Product ID],PM[Unit Price (₹)])</f>
        <v>880</v>
      </c>
      <c r="G646" t="str">
        <f>_xlfn.XLOOKUP(Sales7[[#This Row],[Order ID]],ST[Order ID],ST[Employee ID])</f>
        <v>E07</v>
      </c>
      <c r="H646" t="str">
        <f>_xlfn.XLOOKUP(G646,SM[Employee ID],SM[Salesperson])</f>
        <v>Aditya Kapoor</v>
      </c>
      <c r="I646" t="str">
        <f>_xlfn.XLOOKUP(G646,SM[Employee ID],SM[Region])</f>
        <v>West</v>
      </c>
      <c r="J646" t="str">
        <f>_xlfn.XLOOKUP(G646,SM[Employee ID],SM[State/City])</f>
        <v>Mumbai</v>
      </c>
      <c r="K646" s="2">
        <f>_xlfn.XLOOKUP(Sales7[[#This Row],[Order ID]],ST[Order ID],ST[Units Sold])</f>
        <v>3</v>
      </c>
      <c r="L646">
        <f t="shared" si="10"/>
        <v>2640</v>
      </c>
    </row>
    <row r="647" spans="1:12" x14ac:dyDescent="0.35">
      <c r="A647" s="7">
        <v>1658</v>
      </c>
      <c r="B647" s="1">
        <v>45588</v>
      </c>
      <c r="C647" s="2" t="s">
        <v>5</v>
      </c>
      <c r="D647" t="str">
        <f>_xlfn.XLOOKUP(Merged_Sales_Data!C647,PM[Product ID],PM[Product Name])</f>
        <v>Ergo Office Chair</v>
      </c>
      <c r="E647" t="str">
        <f>VLOOKUP(C647,PM[],3,FALSE)</f>
        <v>Office Supplies</v>
      </c>
      <c r="F647">
        <f>_xlfn.XLOOKUP(C647,PM[Product ID],PM[Unit Price (₹)])</f>
        <v>6750</v>
      </c>
      <c r="G647" t="str">
        <f>_xlfn.XLOOKUP(Sales7[[#This Row],[Order ID]],ST[Order ID],ST[Employee ID])</f>
        <v>E03</v>
      </c>
      <c r="H647" t="str">
        <f>_xlfn.XLOOKUP(G647,SM[Employee ID],SM[Salesperson])</f>
        <v>Rohan Mehta</v>
      </c>
      <c r="I647" t="str">
        <f>_xlfn.XLOOKUP(G647,SM[Employee ID],SM[Region])</f>
        <v>South</v>
      </c>
      <c r="J647" t="str">
        <f>_xlfn.XLOOKUP(G647,SM[Employee ID],SM[State/City])</f>
        <v>Bengaluru</v>
      </c>
      <c r="K647" s="2">
        <f>_xlfn.XLOOKUP(Sales7[[#This Row],[Order ID]],ST[Order ID],ST[Units Sold])</f>
        <v>1</v>
      </c>
      <c r="L647">
        <f t="shared" si="10"/>
        <v>6750</v>
      </c>
    </row>
    <row r="648" spans="1:12" x14ac:dyDescent="0.35">
      <c r="A648" s="7">
        <v>1610</v>
      </c>
      <c r="B648" s="1">
        <v>45589</v>
      </c>
      <c r="C648" s="2" t="s">
        <v>8</v>
      </c>
      <c r="D648" t="str">
        <f>_xlfn.XLOOKUP(Merged_Sales_Data!C648,PM[Product ID],PM[Product Name])</f>
        <v>USB-C Hub</v>
      </c>
      <c r="E648" t="str">
        <f>VLOOKUP(C648,PM[],3,FALSE)</f>
        <v>Accessories</v>
      </c>
      <c r="F648">
        <f>_xlfn.XLOOKUP(C648,PM[Product ID],PM[Unit Price (₹)])</f>
        <v>880</v>
      </c>
      <c r="G648" t="str">
        <f>_xlfn.XLOOKUP(Sales7[[#This Row],[Order ID]],ST[Order ID],ST[Employee ID])</f>
        <v>E07</v>
      </c>
      <c r="H648" t="str">
        <f>_xlfn.XLOOKUP(G648,SM[Employee ID],SM[Salesperson])</f>
        <v>Aditya Kapoor</v>
      </c>
      <c r="I648" t="str">
        <f>_xlfn.XLOOKUP(G648,SM[Employee ID],SM[Region])</f>
        <v>West</v>
      </c>
      <c r="J648" t="str">
        <f>_xlfn.XLOOKUP(G648,SM[Employee ID],SM[State/City])</f>
        <v>Mumbai</v>
      </c>
      <c r="K648" s="2">
        <f>_xlfn.XLOOKUP(Sales7[[#This Row],[Order ID]],ST[Order ID],ST[Units Sold])</f>
        <v>1</v>
      </c>
      <c r="L648">
        <f t="shared" si="10"/>
        <v>880</v>
      </c>
    </row>
    <row r="649" spans="1:12" x14ac:dyDescent="0.35">
      <c r="A649" s="7">
        <v>1653</v>
      </c>
      <c r="B649" s="1">
        <v>45589</v>
      </c>
      <c r="C649" s="2" t="s">
        <v>14</v>
      </c>
      <c r="D649" t="str">
        <f>_xlfn.XLOOKUP(Merged_Sales_Data!C649,PM[Product ID],PM[Product Name])</f>
        <v>Laptop Backpack</v>
      </c>
      <c r="E649" t="str">
        <f>VLOOKUP(C649,PM[],3,FALSE)</f>
        <v>Accessories</v>
      </c>
      <c r="F649">
        <f>_xlfn.XLOOKUP(C649,PM[Product ID],PM[Unit Price (₹)])</f>
        <v>1110</v>
      </c>
      <c r="G649" t="str">
        <f>_xlfn.XLOOKUP(Sales7[[#This Row],[Order ID]],ST[Order ID],ST[Employee ID])</f>
        <v>E08</v>
      </c>
      <c r="H649" t="str">
        <f>_xlfn.XLOOKUP(G649,SM[Employee ID],SM[Salesperson])</f>
        <v>Neha Joshi</v>
      </c>
      <c r="I649" t="str">
        <f>_xlfn.XLOOKUP(G649,SM[Employee ID],SM[Region])</f>
        <v>West</v>
      </c>
      <c r="J649" t="str">
        <f>_xlfn.XLOOKUP(G649,SM[Employee ID],SM[State/City])</f>
        <v>Ahmedabad</v>
      </c>
      <c r="K649" s="2">
        <f>_xlfn.XLOOKUP(Sales7[[#This Row],[Order ID]],ST[Order ID],ST[Units Sold])</f>
        <v>1</v>
      </c>
      <c r="L649">
        <f t="shared" si="10"/>
        <v>1110</v>
      </c>
    </row>
    <row r="650" spans="1:12" x14ac:dyDescent="0.35">
      <c r="A650" s="7">
        <v>1654</v>
      </c>
      <c r="B650" s="1">
        <v>45589</v>
      </c>
      <c r="C650" s="2" t="s">
        <v>18</v>
      </c>
      <c r="D650" t="str">
        <f>_xlfn.XLOOKUP(Merged_Sales_Data!C650,PM[Product ID],PM[Product Name])</f>
        <v>LED Monitor 24"</v>
      </c>
      <c r="E650" t="str">
        <f>VLOOKUP(C650,PM[],3,FALSE)</f>
        <v>Electronics</v>
      </c>
      <c r="F650">
        <f>_xlfn.XLOOKUP(C650,PM[Product ID],PM[Unit Price (₹)])</f>
        <v>7700</v>
      </c>
      <c r="G650" t="str">
        <f>_xlfn.XLOOKUP(Sales7[[#This Row],[Order ID]],ST[Order ID],ST[Employee ID])</f>
        <v>E06</v>
      </c>
      <c r="H650" t="str">
        <f>_xlfn.XLOOKUP(G650,SM[Employee ID],SM[Salesperson])</f>
        <v>Sneha Roy</v>
      </c>
      <c r="I650" t="str">
        <f>_xlfn.XLOOKUP(G650,SM[Employee ID],SM[Region])</f>
        <v>East</v>
      </c>
      <c r="J650" t="str">
        <f>_xlfn.XLOOKUP(G650,SM[Employee ID],SM[State/City])</f>
        <v>Kolkata</v>
      </c>
      <c r="K650" s="2">
        <f>_xlfn.XLOOKUP(Sales7[[#This Row],[Order ID]],ST[Order ID],ST[Units Sold])</f>
        <v>1</v>
      </c>
      <c r="L650">
        <f t="shared" si="10"/>
        <v>7700</v>
      </c>
    </row>
    <row r="651" spans="1:12" x14ac:dyDescent="0.35">
      <c r="A651" s="7">
        <v>1642</v>
      </c>
      <c r="B651" s="1">
        <v>45590</v>
      </c>
      <c r="C651" s="2" t="s">
        <v>8</v>
      </c>
      <c r="D651" t="str">
        <f>_xlfn.XLOOKUP(Merged_Sales_Data!C651,PM[Product ID],PM[Product Name])</f>
        <v>USB-C Hub</v>
      </c>
      <c r="E651" t="str">
        <f>VLOOKUP(C651,PM[],3,FALSE)</f>
        <v>Accessories</v>
      </c>
      <c r="F651">
        <f>_xlfn.XLOOKUP(C651,PM[Product ID],PM[Unit Price (₹)])</f>
        <v>880</v>
      </c>
      <c r="G651" t="str">
        <f>_xlfn.XLOOKUP(Sales7[[#This Row],[Order ID]],ST[Order ID],ST[Employee ID])</f>
        <v>E04</v>
      </c>
      <c r="H651" t="str">
        <f>_xlfn.XLOOKUP(G651,SM[Employee ID],SM[Salesperson])</f>
        <v>Priya Nair</v>
      </c>
      <c r="I651" t="str">
        <f>_xlfn.XLOOKUP(G651,SM[Employee ID],SM[Region])</f>
        <v>South</v>
      </c>
      <c r="J651" t="str">
        <f>_xlfn.XLOOKUP(G651,SM[Employee ID],SM[State/City])</f>
        <v>Bengaluru</v>
      </c>
      <c r="K651" s="2">
        <f>_xlfn.XLOOKUP(Sales7[[#This Row],[Order ID]],ST[Order ID],ST[Units Sold])</f>
        <v>3</v>
      </c>
      <c r="L651">
        <f t="shared" si="10"/>
        <v>2640</v>
      </c>
    </row>
    <row r="652" spans="1:12" x14ac:dyDescent="0.35">
      <c r="A652" s="7">
        <v>1637</v>
      </c>
      <c r="B652" s="1">
        <v>45591</v>
      </c>
      <c r="C652" s="2" t="s">
        <v>11</v>
      </c>
      <c r="D652" t="str">
        <f>_xlfn.XLOOKUP(Merged_Sales_Data!C652,PM[Product ID],PM[Product Name])</f>
        <v>Bluetooth Speaker</v>
      </c>
      <c r="E652" t="str">
        <f>VLOOKUP(C652,PM[],3,FALSE)</f>
        <v>Electronics</v>
      </c>
      <c r="F652">
        <f>_xlfn.XLOOKUP(C652,PM[Product ID],PM[Unit Price (₹)])</f>
        <v>1430</v>
      </c>
      <c r="G652" t="str">
        <f>_xlfn.XLOOKUP(Sales7[[#This Row],[Order ID]],ST[Order ID],ST[Employee ID])</f>
        <v>E01</v>
      </c>
      <c r="H652" t="str">
        <f>_xlfn.XLOOKUP(G652,SM[Employee ID],SM[Salesperson])</f>
        <v>Aarav Sharma</v>
      </c>
      <c r="I652" t="str">
        <f>_xlfn.XLOOKUP(G652,SM[Employee ID],SM[Region])</f>
        <v>North</v>
      </c>
      <c r="J652" t="str">
        <f>_xlfn.XLOOKUP(G652,SM[Employee ID],SM[State/City])</f>
        <v>Lucknow</v>
      </c>
      <c r="K652" s="2">
        <f>_xlfn.XLOOKUP(Sales7[[#This Row],[Order ID]],ST[Order ID],ST[Units Sold])</f>
        <v>2</v>
      </c>
      <c r="L652">
        <f t="shared" si="10"/>
        <v>2860</v>
      </c>
    </row>
    <row r="653" spans="1:12" x14ac:dyDescent="0.35">
      <c r="A653" s="7">
        <v>1645</v>
      </c>
      <c r="B653" s="1">
        <v>45591</v>
      </c>
      <c r="C653" s="2" t="s">
        <v>14</v>
      </c>
      <c r="D653" t="str">
        <f>_xlfn.XLOOKUP(Merged_Sales_Data!C653,PM[Product ID],PM[Product Name])</f>
        <v>Laptop Backpack</v>
      </c>
      <c r="E653" t="str">
        <f>VLOOKUP(C653,PM[],3,FALSE)</f>
        <v>Accessories</v>
      </c>
      <c r="F653">
        <f>_xlfn.XLOOKUP(C653,PM[Product ID],PM[Unit Price (₹)])</f>
        <v>1110</v>
      </c>
      <c r="G653" t="str">
        <f>_xlfn.XLOOKUP(Sales7[[#This Row],[Order ID]],ST[Order ID],ST[Employee ID])</f>
        <v>E08</v>
      </c>
      <c r="H653" t="str">
        <f>_xlfn.XLOOKUP(G653,SM[Employee ID],SM[Salesperson])</f>
        <v>Neha Joshi</v>
      </c>
      <c r="I653" t="str">
        <f>_xlfn.XLOOKUP(G653,SM[Employee ID],SM[Region])</f>
        <v>West</v>
      </c>
      <c r="J653" t="str">
        <f>_xlfn.XLOOKUP(G653,SM[Employee ID],SM[State/City])</f>
        <v>Ahmedabad</v>
      </c>
      <c r="K653" s="2">
        <f>_xlfn.XLOOKUP(Sales7[[#This Row],[Order ID]],ST[Order ID],ST[Units Sold])</f>
        <v>1</v>
      </c>
      <c r="L653">
        <f t="shared" si="10"/>
        <v>1110</v>
      </c>
    </row>
    <row r="654" spans="1:12" x14ac:dyDescent="0.35">
      <c r="A654" s="7">
        <v>1656</v>
      </c>
      <c r="B654" s="1">
        <v>45592</v>
      </c>
      <c r="C654" s="2" t="s">
        <v>8</v>
      </c>
      <c r="D654" t="str">
        <f>_xlfn.XLOOKUP(Merged_Sales_Data!C654,PM[Product ID],PM[Product Name])</f>
        <v>USB-C Hub</v>
      </c>
      <c r="E654" t="str">
        <f>VLOOKUP(C654,PM[],3,FALSE)</f>
        <v>Accessories</v>
      </c>
      <c r="F654">
        <f>_xlfn.XLOOKUP(C654,PM[Product ID],PM[Unit Price (₹)])</f>
        <v>880</v>
      </c>
      <c r="G654" t="str">
        <f>_xlfn.XLOOKUP(Sales7[[#This Row],[Order ID]],ST[Order ID],ST[Employee ID])</f>
        <v>E01</v>
      </c>
      <c r="H654" t="str">
        <f>_xlfn.XLOOKUP(G654,SM[Employee ID],SM[Salesperson])</f>
        <v>Aarav Sharma</v>
      </c>
      <c r="I654" t="str">
        <f>_xlfn.XLOOKUP(G654,SM[Employee ID],SM[Region])</f>
        <v>North</v>
      </c>
      <c r="J654" t="str">
        <f>_xlfn.XLOOKUP(G654,SM[Employee ID],SM[State/City])</f>
        <v>Lucknow</v>
      </c>
      <c r="K654" s="2">
        <f>_xlfn.XLOOKUP(Sales7[[#This Row],[Order ID]],ST[Order ID],ST[Units Sold])</f>
        <v>1</v>
      </c>
      <c r="L654">
        <f t="shared" si="10"/>
        <v>880</v>
      </c>
    </row>
    <row r="655" spans="1:12" x14ac:dyDescent="0.35">
      <c r="A655" s="7">
        <v>1630</v>
      </c>
      <c r="B655" s="1">
        <v>45593</v>
      </c>
      <c r="C655" s="2" t="s">
        <v>5</v>
      </c>
      <c r="D655" t="str">
        <f>_xlfn.XLOOKUP(Merged_Sales_Data!C655,PM[Product ID],PM[Product Name])</f>
        <v>Ergo Office Chair</v>
      </c>
      <c r="E655" t="str">
        <f>VLOOKUP(C655,PM[],3,FALSE)</f>
        <v>Office Supplies</v>
      </c>
      <c r="F655">
        <f>_xlfn.XLOOKUP(C655,PM[Product ID],PM[Unit Price (₹)])</f>
        <v>6750</v>
      </c>
      <c r="G655" t="str">
        <f>_xlfn.XLOOKUP(Sales7[[#This Row],[Order ID]],ST[Order ID],ST[Employee ID])</f>
        <v>E04</v>
      </c>
      <c r="H655" t="str">
        <f>_xlfn.XLOOKUP(G655,SM[Employee ID],SM[Salesperson])</f>
        <v>Priya Nair</v>
      </c>
      <c r="I655" t="str">
        <f>_xlfn.XLOOKUP(G655,SM[Employee ID],SM[Region])</f>
        <v>South</v>
      </c>
      <c r="J655" t="str">
        <f>_xlfn.XLOOKUP(G655,SM[Employee ID],SM[State/City])</f>
        <v>Bengaluru</v>
      </c>
      <c r="K655" s="2">
        <f>_xlfn.XLOOKUP(Sales7[[#This Row],[Order ID]],ST[Order ID],ST[Units Sold])</f>
        <v>2</v>
      </c>
      <c r="L655">
        <f t="shared" si="10"/>
        <v>13500</v>
      </c>
    </row>
    <row r="656" spans="1:12" x14ac:dyDescent="0.35">
      <c r="A656" s="7">
        <v>1638</v>
      </c>
      <c r="B656" s="1">
        <v>45593</v>
      </c>
      <c r="C656" s="2" t="s">
        <v>14</v>
      </c>
      <c r="D656" t="str">
        <f>_xlfn.XLOOKUP(Merged_Sales_Data!C656,PM[Product ID],PM[Product Name])</f>
        <v>Laptop Backpack</v>
      </c>
      <c r="E656" t="str">
        <f>VLOOKUP(C656,PM[],3,FALSE)</f>
        <v>Accessories</v>
      </c>
      <c r="F656">
        <f>_xlfn.XLOOKUP(C656,PM[Product ID],PM[Unit Price (₹)])</f>
        <v>1110</v>
      </c>
      <c r="G656" t="str">
        <f>_xlfn.XLOOKUP(Sales7[[#This Row],[Order ID]],ST[Order ID],ST[Employee ID])</f>
        <v>E04</v>
      </c>
      <c r="H656" t="str">
        <f>_xlfn.XLOOKUP(G656,SM[Employee ID],SM[Salesperson])</f>
        <v>Priya Nair</v>
      </c>
      <c r="I656" t="str">
        <f>_xlfn.XLOOKUP(G656,SM[Employee ID],SM[Region])</f>
        <v>South</v>
      </c>
      <c r="J656" t="str">
        <f>_xlfn.XLOOKUP(G656,SM[Employee ID],SM[State/City])</f>
        <v>Bengaluru</v>
      </c>
      <c r="K656" s="2">
        <f>_xlfn.XLOOKUP(Sales7[[#This Row],[Order ID]],ST[Order ID],ST[Units Sold])</f>
        <v>2</v>
      </c>
      <c r="L656">
        <f t="shared" si="10"/>
        <v>2220</v>
      </c>
    </row>
    <row r="657" spans="1:12" x14ac:dyDescent="0.35">
      <c r="A657" s="7">
        <v>1622</v>
      </c>
      <c r="B657" s="1">
        <v>45594</v>
      </c>
      <c r="C657" s="2" t="s">
        <v>5</v>
      </c>
      <c r="D657" t="str">
        <f>_xlfn.XLOOKUP(Merged_Sales_Data!C657,PM[Product ID],PM[Product Name])</f>
        <v>Ergo Office Chair</v>
      </c>
      <c r="E657" t="str">
        <f>VLOOKUP(C657,PM[],3,FALSE)</f>
        <v>Office Supplies</v>
      </c>
      <c r="F657">
        <f>_xlfn.XLOOKUP(C657,PM[Product ID],PM[Unit Price (₹)])</f>
        <v>6750</v>
      </c>
      <c r="G657" t="str">
        <f>_xlfn.XLOOKUP(Sales7[[#This Row],[Order ID]],ST[Order ID],ST[Employee ID])</f>
        <v>E06</v>
      </c>
      <c r="H657" t="str">
        <f>_xlfn.XLOOKUP(G657,SM[Employee ID],SM[Salesperson])</f>
        <v>Sneha Roy</v>
      </c>
      <c r="I657" t="str">
        <f>_xlfn.XLOOKUP(G657,SM[Employee ID],SM[Region])</f>
        <v>East</v>
      </c>
      <c r="J657" t="str">
        <f>_xlfn.XLOOKUP(G657,SM[Employee ID],SM[State/City])</f>
        <v>Kolkata</v>
      </c>
      <c r="K657" s="2">
        <f>_xlfn.XLOOKUP(Sales7[[#This Row],[Order ID]],ST[Order ID],ST[Units Sold])</f>
        <v>2</v>
      </c>
      <c r="L657">
        <f t="shared" si="10"/>
        <v>13500</v>
      </c>
    </row>
    <row r="658" spans="1:12" x14ac:dyDescent="0.35">
      <c r="A658" s="7">
        <v>1640</v>
      </c>
      <c r="B658" s="1">
        <v>45595</v>
      </c>
      <c r="C658" s="2" t="s">
        <v>11</v>
      </c>
      <c r="D658" t="str">
        <f>_xlfn.XLOOKUP(Merged_Sales_Data!C658,PM[Product ID],PM[Product Name])</f>
        <v>Bluetooth Speaker</v>
      </c>
      <c r="E658" t="str">
        <f>VLOOKUP(C658,PM[],3,FALSE)</f>
        <v>Electronics</v>
      </c>
      <c r="F658">
        <f>_xlfn.XLOOKUP(C658,PM[Product ID],PM[Unit Price (₹)])</f>
        <v>1430</v>
      </c>
      <c r="G658" t="str">
        <f>_xlfn.XLOOKUP(Sales7[[#This Row],[Order ID]],ST[Order ID],ST[Employee ID])</f>
        <v>E04</v>
      </c>
      <c r="H658" t="str">
        <f>_xlfn.XLOOKUP(G658,SM[Employee ID],SM[Salesperson])</f>
        <v>Priya Nair</v>
      </c>
      <c r="I658" t="str">
        <f>_xlfn.XLOOKUP(G658,SM[Employee ID],SM[Region])</f>
        <v>South</v>
      </c>
      <c r="J658" t="str">
        <f>_xlfn.XLOOKUP(G658,SM[Employee ID],SM[State/City])</f>
        <v>Bengaluru</v>
      </c>
      <c r="K658" s="2">
        <f>_xlfn.XLOOKUP(Sales7[[#This Row],[Order ID]],ST[Order ID],ST[Units Sold])</f>
        <v>5</v>
      </c>
      <c r="L658">
        <f t="shared" si="10"/>
        <v>7150</v>
      </c>
    </row>
    <row r="659" spans="1:12" x14ac:dyDescent="0.35">
      <c r="A659" s="7">
        <v>1641</v>
      </c>
      <c r="B659" s="1">
        <v>45595</v>
      </c>
      <c r="C659" s="2" t="s">
        <v>5</v>
      </c>
      <c r="D659" t="str">
        <f>_xlfn.XLOOKUP(Merged_Sales_Data!C659,PM[Product ID],PM[Product Name])</f>
        <v>Ergo Office Chair</v>
      </c>
      <c r="E659" t="str">
        <f>VLOOKUP(C659,PM[],3,FALSE)</f>
        <v>Office Supplies</v>
      </c>
      <c r="F659">
        <f>_xlfn.XLOOKUP(C659,PM[Product ID],PM[Unit Price (₹)])</f>
        <v>6750</v>
      </c>
      <c r="G659" t="str">
        <f>_xlfn.XLOOKUP(Sales7[[#This Row],[Order ID]],ST[Order ID],ST[Employee ID])</f>
        <v>E04</v>
      </c>
      <c r="H659" t="str">
        <f>_xlfn.XLOOKUP(G659,SM[Employee ID],SM[Salesperson])</f>
        <v>Priya Nair</v>
      </c>
      <c r="I659" t="str">
        <f>_xlfn.XLOOKUP(G659,SM[Employee ID],SM[Region])</f>
        <v>South</v>
      </c>
      <c r="J659" t="str">
        <f>_xlfn.XLOOKUP(G659,SM[Employee ID],SM[State/City])</f>
        <v>Bengaluru</v>
      </c>
      <c r="K659" s="2">
        <f>_xlfn.XLOOKUP(Sales7[[#This Row],[Order ID]],ST[Order ID],ST[Units Sold])</f>
        <v>4</v>
      </c>
      <c r="L659">
        <f t="shared" si="10"/>
        <v>27000</v>
      </c>
    </row>
    <row r="660" spans="1:12" x14ac:dyDescent="0.35">
      <c r="A660" s="7">
        <v>1652</v>
      </c>
      <c r="B660" s="1">
        <v>45596</v>
      </c>
      <c r="C660" s="2" t="s">
        <v>20</v>
      </c>
      <c r="D660" t="str">
        <f>_xlfn.XLOOKUP(Merged_Sales_Data!C660,PM[Product ID],PM[Product Name])</f>
        <v>Standing Desk</v>
      </c>
      <c r="E660" t="str">
        <f>VLOOKUP(C660,PM[],3,FALSE)</f>
        <v>Office Supplies</v>
      </c>
      <c r="F660">
        <f>_xlfn.XLOOKUP(C660,PM[Product ID],PM[Unit Price (₹)])</f>
        <v>11010</v>
      </c>
      <c r="G660" t="str">
        <f>_xlfn.XLOOKUP(Sales7[[#This Row],[Order ID]],ST[Order ID],ST[Employee ID])</f>
        <v>E06</v>
      </c>
      <c r="H660" t="str">
        <f>_xlfn.XLOOKUP(G660,SM[Employee ID],SM[Salesperson])</f>
        <v>Sneha Roy</v>
      </c>
      <c r="I660" t="str">
        <f>_xlfn.XLOOKUP(G660,SM[Employee ID],SM[Region])</f>
        <v>East</v>
      </c>
      <c r="J660" t="str">
        <f>_xlfn.XLOOKUP(G660,SM[Employee ID],SM[State/City])</f>
        <v>Kolkata</v>
      </c>
      <c r="K660" s="2">
        <f>_xlfn.XLOOKUP(Sales7[[#This Row],[Order ID]],ST[Order ID],ST[Units Sold])</f>
        <v>5</v>
      </c>
      <c r="L660">
        <f t="shared" si="10"/>
        <v>55050</v>
      </c>
    </row>
    <row r="661" spans="1:12" x14ac:dyDescent="0.35">
      <c r="A661" s="7">
        <v>1661</v>
      </c>
      <c r="B661" s="1">
        <v>45597</v>
      </c>
      <c r="C661" s="2" t="s">
        <v>14</v>
      </c>
      <c r="D661" t="str">
        <f>_xlfn.XLOOKUP(Merged_Sales_Data!C661,PM[Product ID],PM[Product Name])</f>
        <v>Laptop Backpack</v>
      </c>
      <c r="E661" t="str">
        <f>VLOOKUP(C661,PM[],3,FALSE)</f>
        <v>Accessories</v>
      </c>
      <c r="F661">
        <f>_xlfn.XLOOKUP(C661,PM[Product ID],PM[Unit Price (₹)])</f>
        <v>1110</v>
      </c>
      <c r="G661" t="str">
        <f>_xlfn.XLOOKUP(Sales7[[#This Row],[Order ID]],ST[Order ID],ST[Employee ID])</f>
        <v>E08</v>
      </c>
      <c r="H661" t="str">
        <f>_xlfn.XLOOKUP(G661,SM[Employee ID],SM[Salesperson])</f>
        <v>Neha Joshi</v>
      </c>
      <c r="I661" t="str">
        <f>_xlfn.XLOOKUP(G661,SM[Employee ID],SM[Region])</f>
        <v>West</v>
      </c>
      <c r="J661" t="str">
        <f>_xlfn.XLOOKUP(G661,SM[Employee ID],SM[State/City])</f>
        <v>Ahmedabad</v>
      </c>
      <c r="K661" s="2">
        <f>_xlfn.XLOOKUP(Sales7[[#This Row],[Order ID]],ST[Order ID],ST[Units Sold])</f>
        <v>1</v>
      </c>
      <c r="L661">
        <f t="shared" si="10"/>
        <v>1110</v>
      </c>
    </row>
    <row r="662" spans="1:12" x14ac:dyDescent="0.35">
      <c r="A662" s="7">
        <v>1663</v>
      </c>
      <c r="B662" s="1">
        <v>45597</v>
      </c>
      <c r="C662" s="2" t="s">
        <v>8</v>
      </c>
      <c r="D662" t="str">
        <f>_xlfn.XLOOKUP(Merged_Sales_Data!C662,PM[Product ID],PM[Product Name])</f>
        <v>USB-C Hub</v>
      </c>
      <c r="E662" t="str">
        <f>VLOOKUP(C662,PM[],3,FALSE)</f>
        <v>Accessories</v>
      </c>
      <c r="F662">
        <f>_xlfn.XLOOKUP(C662,PM[Product ID],PM[Unit Price (₹)])</f>
        <v>880</v>
      </c>
      <c r="G662" t="str">
        <f>_xlfn.XLOOKUP(Sales7[[#This Row],[Order ID]],ST[Order ID],ST[Employee ID])</f>
        <v>E05</v>
      </c>
      <c r="H662" t="str">
        <f>_xlfn.XLOOKUP(G662,SM[Employee ID],SM[Salesperson])</f>
        <v>Karan Malhotra</v>
      </c>
      <c r="I662" t="str">
        <f>_xlfn.XLOOKUP(G662,SM[Employee ID],SM[Region])</f>
        <v>East</v>
      </c>
      <c r="J662" t="str">
        <f>_xlfn.XLOOKUP(G662,SM[Employee ID],SM[State/City])</f>
        <v>Kolkata</v>
      </c>
      <c r="K662" s="2">
        <f>_xlfn.XLOOKUP(Sales7[[#This Row],[Order ID]],ST[Order ID],ST[Units Sold])</f>
        <v>2</v>
      </c>
      <c r="L662">
        <f t="shared" si="10"/>
        <v>1760</v>
      </c>
    </row>
    <row r="663" spans="1:12" x14ac:dyDescent="0.35">
      <c r="A663" s="7">
        <v>1678</v>
      </c>
      <c r="B663" s="1">
        <v>45597</v>
      </c>
      <c r="C663" s="2" t="s">
        <v>18</v>
      </c>
      <c r="D663" t="str">
        <f>_xlfn.XLOOKUP(Merged_Sales_Data!C663,PM[Product ID],PM[Product Name])</f>
        <v>LED Monitor 24"</v>
      </c>
      <c r="E663" t="str">
        <f>VLOOKUP(C663,PM[],3,FALSE)</f>
        <v>Electronics</v>
      </c>
      <c r="F663">
        <f>_xlfn.XLOOKUP(C663,PM[Product ID],PM[Unit Price (₹)])</f>
        <v>7700</v>
      </c>
      <c r="G663" t="str">
        <f>_xlfn.XLOOKUP(Sales7[[#This Row],[Order ID]],ST[Order ID],ST[Employee ID])</f>
        <v>E01</v>
      </c>
      <c r="H663" t="str">
        <f>_xlfn.XLOOKUP(G663,SM[Employee ID],SM[Salesperson])</f>
        <v>Aarav Sharma</v>
      </c>
      <c r="I663" t="str">
        <f>_xlfn.XLOOKUP(G663,SM[Employee ID],SM[Region])</f>
        <v>North</v>
      </c>
      <c r="J663" t="str">
        <f>_xlfn.XLOOKUP(G663,SM[Employee ID],SM[State/City])</f>
        <v>Lucknow</v>
      </c>
      <c r="K663" s="2">
        <f>_xlfn.XLOOKUP(Sales7[[#This Row],[Order ID]],ST[Order ID],ST[Units Sold])</f>
        <v>3</v>
      </c>
      <c r="L663">
        <f t="shared" si="10"/>
        <v>23100</v>
      </c>
    </row>
    <row r="664" spans="1:12" x14ac:dyDescent="0.35">
      <c r="A664" s="7">
        <v>1683</v>
      </c>
      <c r="B664" s="1">
        <v>45598</v>
      </c>
      <c r="C664" s="2" t="s">
        <v>8</v>
      </c>
      <c r="D664" t="str">
        <f>_xlfn.XLOOKUP(Merged_Sales_Data!C664,PM[Product ID],PM[Product Name])</f>
        <v>USB-C Hub</v>
      </c>
      <c r="E664" t="str">
        <f>VLOOKUP(C664,PM[],3,FALSE)</f>
        <v>Accessories</v>
      </c>
      <c r="F664">
        <f>_xlfn.XLOOKUP(C664,PM[Product ID],PM[Unit Price (₹)])</f>
        <v>880</v>
      </c>
      <c r="G664" t="str">
        <f>_xlfn.XLOOKUP(Sales7[[#This Row],[Order ID]],ST[Order ID],ST[Employee ID])</f>
        <v>E02</v>
      </c>
      <c r="H664" t="str">
        <f>_xlfn.XLOOKUP(G664,SM[Employee ID],SM[Salesperson])</f>
        <v>Ishita Verma</v>
      </c>
      <c r="I664" t="str">
        <f>_xlfn.XLOOKUP(G664,SM[Employee ID],SM[Region])</f>
        <v>North</v>
      </c>
      <c r="J664" t="str">
        <f>_xlfn.XLOOKUP(G664,SM[Employee ID],SM[State/City])</f>
        <v>Chandigarh</v>
      </c>
      <c r="K664" s="2">
        <f>_xlfn.XLOOKUP(Sales7[[#This Row],[Order ID]],ST[Order ID],ST[Units Sold])</f>
        <v>3</v>
      </c>
      <c r="L664">
        <f t="shared" si="10"/>
        <v>2640</v>
      </c>
    </row>
    <row r="665" spans="1:12" x14ac:dyDescent="0.35">
      <c r="A665" s="7">
        <v>1667</v>
      </c>
      <c r="B665" s="1">
        <v>45599</v>
      </c>
      <c r="C665" s="2" t="s">
        <v>20</v>
      </c>
      <c r="D665" t="str">
        <f>_xlfn.XLOOKUP(Merged_Sales_Data!C665,PM[Product ID],PM[Product Name])</f>
        <v>Standing Desk</v>
      </c>
      <c r="E665" t="str">
        <f>VLOOKUP(C665,PM[],3,FALSE)</f>
        <v>Office Supplies</v>
      </c>
      <c r="F665">
        <f>_xlfn.XLOOKUP(C665,PM[Product ID],PM[Unit Price (₹)])</f>
        <v>11010</v>
      </c>
      <c r="G665" t="str">
        <f>_xlfn.XLOOKUP(Sales7[[#This Row],[Order ID]],ST[Order ID],ST[Employee ID])</f>
        <v>E06</v>
      </c>
      <c r="H665" t="str">
        <f>_xlfn.XLOOKUP(G665,SM[Employee ID],SM[Salesperson])</f>
        <v>Sneha Roy</v>
      </c>
      <c r="I665" t="str">
        <f>_xlfn.XLOOKUP(G665,SM[Employee ID],SM[Region])</f>
        <v>East</v>
      </c>
      <c r="J665" t="str">
        <f>_xlfn.XLOOKUP(G665,SM[Employee ID],SM[State/City])</f>
        <v>Kolkata</v>
      </c>
      <c r="K665" s="2">
        <f>_xlfn.XLOOKUP(Sales7[[#This Row],[Order ID]],ST[Order ID],ST[Units Sold])</f>
        <v>4</v>
      </c>
      <c r="L665">
        <f t="shared" si="10"/>
        <v>44040</v>
      </c>
    </row>
    <row r="666" spans="1:12" x14ac:dyDescent="0.35">
      <c r="A666" s="7">
        <v>1672</v>
      </c>
      <c r="B666" s="1">
        <v>45599</v>
      </c>
      <c r="C666" s="2" t="s">
        <v>21</v>
      </c>
      <c r="D666" t="str">
        <f>_xlfn.XLOOKUP(Merged_Sales_Data!C666,PM[Product ID],PM[Product Name])</f>
        <v>Wireless Mouse</v>
      </c>
      <c r="E666" t="str">
        <f>VLOOKUP(C666,PM[],3,FALSE)</f>
        <v>Electronics</v>
      </c>
      <c r="F666">
        <f>_xlfn.XLOOKUP(C666,PM[Product ID],PM[Unit Price (₹)])</f>
        <v>780</v>
      </c>
      <c r="G666" t="str">
        <f>_xlfn.XLOOKUP(Sales7[[#This Row],[Order ID]],ST[Order ID],ST[Employee ID])</f>
        <v>E01</v>
      </c>
      <c r="H666" t="str">
        <f>_xlfn.XLOOKUP(G666,SM[Employee ID],SM[Salesperson])</f>
        <v>Aarav Sharma</v>
      </c>
      <c r="I666" t="str">
        <f>_xlfn.XLOOKUP(G666,SM[Employee ID],SM[Region])</f>
        <v>North</v>
      </c>
      <c r="J666" t="str">
        <f>_xlfn.XLOOKUP(G666,SM[Employee ID],SM[State/City])</f>
        <v>Lucknow</v>
      </c>
      <c r="K666" s="2">
        <f>_xlfn.XLOOKUP(Sales7[[#This Row],[Order ID]],ST[Order ID],ST[Units Sold])</f>
        <v>1</v>
      </c>
      <c r="L666">
        <f t="shared" si="10"/>
        <v>780</v>
      </c>
    </row>
    <row r="667" spans="1:12" x14ac:dyDescent="0.35">
      <c r="A667" s="7">
        <v>1690</v>
      </c>
      <c r="B667" s="1">
        <v>45599</v>
      </c>
      <c r="C667" s="2" t="s">
        <v>5</v>
      </c>
      <c r="D667" t="str">
        <f>_xlfn.XLOOKUP(Merged_Sales_Data!C667,PM[Product ID],PM[Product Name])</f>
        <v>Ergo Office Chair</v>
      </c>
      <c r="E667" t="str">
        <f>VLOOKUP(C667,PM[],3,FALSE)</f>
        <v>Office Supplies</v>
      </c>
      <c r="F667">
        <f>_xlfn.XLOOKUP(C667,PM[Product ID],PM[Unit Price (₹)])</f>
        <v>6750</v>
      </c>
      <c r="G667" t="str">
        <f>_xlfn.XLOOKUP(Sales7[[#This Row],[Order ID]],ST[Order ID],ST[Employee ID])</f>
        <v>E05</v>
      </c>
      <c r="H667" t="str">
        <f>_xlfn.XLOOKUP(G667,SM[Employee ID],SM[Salesperson])</f>
        <v>Karan Malhotra</v>
      </c>
      <c r="I667" t="str">
        <f>_xlfn.XLOOKUP(G667,SM[Employee ID],SM[Region])</f>
        <v>East</v>
      </c>
      <c r="J667" t="str">
        <f>_xlfn.XLOOKUP(G667,SM[Employee ID],SM[State/City])</f>
        <v>Kolkata</v>
      </c>
      <c r="K667" s="2">
        <f>_xlfn.XLOOKUP(Sales7[[#This Row],[Order ID]],ST[Order ID],ST[Units Sold])</f>
        <v>1</v>
      </c>
      <c r="L667">
        <f t="shared" si="10"/>
        <v>6750</v>
      </c>
    </row>
    <row r="668" spans="1:12" x14ac:dyDescent="0.35">
      <c r="A668" s="7">
        <v>1697</v>
      </c>
      <c r="B668" s="1">
        <v>45599</v>
      </c>
      <c r="C668" s="2" t="s">
        <v>11</v>
      </c>
      <c r="D668" t="str">
        <f>_xlfn.XLOOKUP(Merged_Sales_Data!C668,PM[Product ID],PM[Product Name])</f>
        <v>Bluetooth Speaker</v>
      </c>
      <c r="E668" t="str">
        <f>VLOOKUP(C668,PM[],3,FALSE)</f>
        <v>Electronics</v>
      </c>
      <c r="F668">
        <f>_xlfn.XLOOKUP(C668,PM[Product ID],PM[Unit Price (₹)])</f>
        <v>1430</v>
      </c>
      <c r="G668" t="str">
        <f>_xlfn.XLOOKUP(Sales7[[#This Row],[Order ID]],ST[Order ID],ST[Employee ID])</f>
        <v>E07</v>
      </c>
      <c r="H668" t="str">
        <f>_xlfn.XLOOKUP(G668,SM[Employee ID],SM[Salesperson])</f>
        <v>Aditya Kapoor</v>
      </c>
      <c r="I668" t="str">
        <f>_xlfn.XLOOKUP(G668,SM[Employee ID],SM[Region])</f>
        <v>West</v>
      </c>
      <c r="J668" t="str">
        <f>_xlfn.XLOOKUP(G668,SM[Employee ID],SM[State/City])</f>
        <v>Mumbai</v>
      </c>
      <c r="K668" s="2">
        <f>_xlfn.XLOOKUP(Sales7[[#This Row],[Order ID]],ST[Order ID],ST[Units Sold])</f>
        <v>1</v>
      </c>
      <c r="L668">
        <f t="shared" si="10"/>
        <v>1430</v>
      </c>
    </row>
    <row r="669" spans="1:12" x14ac:dyDescent="0.35">
      <c r="A669" s="7">
        <v>1694</v>
      </c>
      <c r="B669" s="1">
        <v>45600</v>
      </c>
      <c r="C669" s="2" t="s">
        <v>12</v>
      </c>
      <c r="D669" t="str">
        <f>_xlfn.XLOOKUP(Merged_Sales_Data!C669,PM[Product ID],PM[Product Name])</f>
        <v>Bookshelf Unit</v>
      </c>
      <c r="E669" t="str">
        <f>VLOOKUP(C669,PM[],3,FALSE)</f>
        <v>Furniture</v>
      </c>
      <c r="F669">
        <f>_xlfn.XLOOKUP(C669,PM[Product ID],PM[Unit Price (₹)])</f>
        <v>3910</v>
      </c>
      <c r="G669" t="str">
        <f>_xlfn.XLOOKUP(Sales7[[#This Row],[Order ID]],ST[Order ID],ST[Employee ID])</f>
        <v>E08</v>
      </c>
      <c r="H669" t="str">
        <f>_xlfn.XLOOKUP(G669,SM[Employee ID],SM[Salesperson])</f>
        <v>Neha Joshi</v>
      </c>
      <c r="I669" t="str">
        <f>_xlfn.XLOOKUP(G669,SM[Employee ID],SM[Region])</f>
        <v>West</v>
      </c>
      <c r="J669" t="str">
        <f>_xlfn.XLOOKUP(G669,SM[Employee ID],SM[State/City])</f>
        <v>Ahmedabad</v>
      </c>
      <c r="K669" s="2">
        <f>_xlfn.XLOOKUP(Sales7[[#This Row],[Order ID]],ST[Order ID],ST[Units Sold])</f>
        <v>2</v>
      </c>
      <c r="L669">
        <f t="shared" si="10"/>
        <v>7820</v>
      </c>
    </row>
    <row r="670" spans="1:12" x14ac:dyDescent="0.35">
      <c r="A670" s="7">
        <v>1707</v>
      </c>
      <c r="B670" s="1">
        <v>45600</v>
      </c>
      <c r="C670" s="2" t="s">
        <v>5</v>
      </c>
      <c r="D670" t="str">
        <f>_xlfn.XLOOKUP(Merged_Sales_Data!C670,PM[Product ID],PM[Product Name])</f>
        <v>Ergo Office Chair</v>
      </c>
      <c r="E670" t="str">
        <f>VLOOKUP(C670,PM[],3,FALSE)</f>
        <v>Office Supplies</v>
      </c>
      <c r="F670">
        <f>_xlfn.XLOOKUP(C670,PM[Product ID],PM[Unit Price (₹)])</f>
        <v>6750</v>
      </c>
      <c r="G670" t="str">
        <f>_xlfn.XLOOKUP(Sales7[[#This Row],[Order ID]],ST[Order ID],ST[Employee ID])</f>
        <v>E08</v>
      </c>
      <c r="H670" t="str">
        <f>_xlfn.XLOOKUP(G670,SM[Employee ID],SM[Salesperson])</f>
        <v>Neha Joshi</v>
      </c>
      <c r="I670" t="str">
        <f>_xlfn.XLOOKUP(G670,SM[Employee ID],SM[Region])</f>
        <v>West</v>
      </c>
      <c r="J670" t="str">
        <f>_xlfn.XLOOKUP(G670,SM[Employee ID],SM[State/City])</f>
        <v>Ahmedabad</v>
      </c>
      <c r="K670" s="2">
        <f>_xlfn.XLOOKUP(Sales7[[#This Row],[Order ID]],ST[Order ID],ST[Units Sold])</f>
        <v>5</v>
      </c>
      <c r="L670">
        <f t="shared" si="10"/>
        <v>33750</v>
      </c>
    </row>
    <row r="671" spans="1:12" x14ac:dyDescent="0.35">
      <c r="A671" s="7">
        <v>1703</v>
      </c>
      <c r="B671" s="1">
        <v>45601</v>
      </c>
      <c r="C671" s="2" t="s">
        <v>20</v>
      </c>
      <c r="D671" t="str">
        <f>_xlfn.XLOOKUP(Merged_Sales_Data!C671,PM[Product ID],PM[Product Name])</f>
        <v>Standing Desk</v>
      </c>
      <c r="E671" t="str">
        <f>VLOOKUP(C671,PM[],3,FALSE)</f>
        <v>Office Supplies</v>
      </c>
      <c r="F671">
        <f>_xlfn.XLOOKUP(C671,PM[Product ID],PM[Unit Price (₹)])</f>
        <v>11010</v>
      </c>
      <c r="G671" t="str">
        <f>_xlfn.XLOOKUP(Sales7[[#This Row],[Order ID]],ST[Order ID],ST[Employee ID])</f>
        <v>E05</v>
      </c>
      <c r="H671" t="str">
        <f>_xlfn.XLOOKUP(G671,SM[Employee ID],SM[Salesperson])</f>
        <v>Karan Malhotra</v>
      </c>
      <c r="I671" t="str">
        <f>_xlfn.XLOOKUP(G671,SM[Employee ID],SM[Region])</f>
        <v>East</v>
      </c>
      <c r="J671" t="str">
        <f>_xlfn.XLOOKUP(G671,SM[Employee ID],SM[State/City])</f>
        <v>Kolkata</v>
      </c>
      <c r="K671" s="2">
        <f>_xlfn.XLOOKUP(Sales7[[#This Row],[Order ID]],ST[Order ID],ST[Units Sold])</f>
        <v>5</v>
      </c>
      <c r="L671">
        <f t="shared" si="10"/>
        <v>55050</v>
      </c>
    </row>
    <row r="672" spans="1:12" x14ac:dyDescent="0.35">
      <c r="A672" s="7">
        <v>1665</v>
      </c>
      <c r="B672" s="1">
        <v>45604</v>
      </c>
      <c r="C672" s="2" t="s">
        <v>8</v>
      </c>
      <c r="D672" t="str">
        <f>_xlfn.XLOOKUP(Merged_Sales_Data!C672,PM[Product ID],PM[Product Name])</f>
        <v>USB-C Hub</v>
      </c>
      <c r="E672" t="str">
        <f>VLOOKUP(C672,PM[],3,FALSE)</f>
        <v>Accessories</v>
      </c>
      <c r="F672">
        <f>_xlfn.XLOOKUP(C672,PM[Product ID],PM[Unit Price (₹)])</f>
        <v>880</v>
      </c>
      <c r="G672" t="str">
        <f>_xlfn.XLOOKUP(Sales7[[#This Row],[Order ID]],ST[Order ID],ST[Employee ID])</f>
        <v>E02</v>
      </c>
      <c r="H672" t="str">
        <f>_xlfn.XLOOKUP(G672,SM[Employee ID],SM[Salesperson])</f>
        <v>Ishita Verma</v>
      </c>
      <c r="I672" t="str">
        <f>_xlfn.XLOOKUP(G672,SM[Employee ID],SM[Region])</f>
        <v>North</v>
      </c>
      <c r="J672" t="str">
        <f>_xlfn.XLOOKUP(G672,SM[Employee ID],SM[State/City])</f>
        <v>Chandigarh</v>
      </c>
      <c r="K672" s="2">
        <f>_xlfn.XLOOKUP(Sales7[[#This Row],[Order ID]],ST[Order ID],ST[Units Sold])</f>
        <v>1</v>
      </c>
      <c r="L672">
        <f t="shared" si="10"/>
        <v>880</v>
      </c>
    </row>
    <row r="673" spans="1:12" x14ac:dyDescent="0.35">
      <c r="A673" s="7">
        <v>1687</v>
      </c>
      <c r="B673" s="1">
        <v>45604</v>
      </c>
      <c r="C673" s="2" t="s">
        <v>14</v>
      </c>
      <c r="D673" t="str">
        <f>_xlfn.XLOOKUP(Merged_Sales_Data!C673,PM[Product ID],PM[Product Name])</f>
        <v>Laptop Backpack</v>
      </c>
      <c r="E673" t="str">
        <f>VLOOKUP(C673,PM[],3,FALSE)</f>
        <v>Accessories</v>
      </c>
      <c r="F673">
        <f>_xlfn.XLOOKUP(C673,PM[Product ID],PM[Unit Price (₹)])</f>
        <v>1110</v>
      </c>
      <c r="G673" t="str">
        <f>_xlfn.XLOOKUP(Sales7[[#This Row],[Order ID]],ST[Order ID],ST[Employee ID])</f>
        <v>E05</v>
      </c>
      <c r="H673" t="str">
        <f>_xlfn.XLOOKUP(G673,SM[Employee ID],SM[Salesperson])</f>
        <v>Karan Malhotra</v>
      </c>
      <c r="I673" t="str">
        <f>_xlfn.XLOOKUP(G673,SM[Employee ID],SM[Region])</f>
        <v>East</v>
      </c>
      <c r="J673" t="str">
        <f>_xlfn.XLOOKUP(G673,SM[Employee ID],SM[State/City])</f>
        <v>Kolkata</v>
      </c>
      <c r="K673" s="2">
        <f>_xlfn.XLOOKUP(Sales7[[#This Row],[Order ID]],ST[Order ID],ST[Units Sold])</f>
        <v>5</v>
      </c>
      <c r="L673">
        <f t="shared" si="10"/>
        <v>5550</v>
      </c>
    </row>
    <row r="674" spans="1:12" x14ac:dyDescent="0.35">
      <c r="A674" s="7">
        <v>1706</v>
      </c>
      <c r="B674" s="1">
        <v>45604</v>
      </c>
      <c r="C674" s="2" t="s">
        <v>12</v>
      </c>
      <c r="D674" t="str">
        <f>_xlfn.XLOOKUP(Merged_Sales_Data!C674,PM[Product ID],PM[Product Name])</f>
        <v>Bookshelf Unit</v>
      </c>
      <c r="E674" t="str">
        <f>VLOOKUP(C674,PM[],3,FALSE)</f>
        <v>Furniture</v>
      </c>
      <c r="F674">
        <f>_xlfn.XLOOKUP(C674,PM[Product ID],PM[Unit Price (₹)])</f>
        <v>3910</v>
      </c>
      <c r="G674" t="str">
        <f>_xlfn.XLOOKUP(Sales7[[#This Row],[Order ID]],ST[Order ID],ST[Employee ID])</f>
        <v>E02</v>
      </c>
      <c r="H674" t="str">
        <f>_xlfn.XLOOKUP(G674,SM[Employee ID],SM[Salesperson])</f>
        <v>Ishita Verma</v>
      </c>
      <c r="I674" t="str">
        <f>_xlfn.XLOOKUP(G674,SM[Employee ID],SM[Region])</f>
        <v>North</v>
      </c>
      <c r="J674" t="str">
        <f>_xlfn.XLOOKUP(G674,SM[Employee ID],SM[State/City])</f>
        <v>Chandigarh</v>
      </c>
      <c r="K674" s="2">
        <f>_xlfn.XLOOKUP(Sales7[[#This Row],[Order ID]],ST[Order ID],ST[Units Sold])</f>
        <v>2</v>
      </c>
      <c r="L674">
        <f t="shared" si="10"/>
        <v>7820</v>
      </c>
    </row>
    <row r="675" spans="1:12" x14ac:dyDescent="0.35">
      <c r="A675" s="7">
        <v>1702</v>
      </c>
      <c r="B675" s="1">
        <v>45605</v>
      </c>
      <c r="C675" s="2" t="s">
        <v>18</v>
      </c>
      <c r="D675" t="str">
        <f>_xlfn.XLOOKUP(Merged_Sales_Data!C675,PM[Product ID],PM[Product Name])</f>
        <v>LED Monitor 24"</v>
      </c>
      <c r="E675" t="str">
        <f>VLOOKUP(C675,PM[],3,FALSE)</f>
        <v>Electronics</v>
      </c>
      <c r="F675">
        <f>_xlfn.XLOOKUP(C675,PM[Product ID],PM[Unit Price (₹)])</f>
        <v>7700</v>
      </c>
      <c r="G675" t="str">
        <f>_xlfn.XLOOKUP(Sales7[[#This Row],[Order ID]],ST[Order ID],ST[Employee ID])</f>
        <v>E07</v>
      </c>
      <c r="H675" t="str">
        <f>_xlfn.XLOOKUP(G675,SM[Employee ID],SM[Salesperson])</f>
        <v>Aditya Kapoor</v>
      </c>
      <c r="I675" t="str">
        <f>_xlfn.XLOOKUP(G675,SM[Employee ID],SM[Region])</f>
        <v>West</v>
      </c>
      <c r="J675" t="str">
        <f>_xlfn.XLOOKUP(G675,SM[Employee ID],SM[State/City])</f>
        <v>Mumbai</v>
      </c>
      <c r="K675" s="2">
        <f>_xlfn.XLOOKUP(Sales7[[#This Row],[Order ID]],ST[Order ID],ST[Units Sold])</f>
        <v>1</v>
      </c>
      <c r="L675">
        <f t="shared" si="10"/>
        <v>7700</v>
      </c>
    </row>
    <row r="676" spans="1:12" x14ac:dyDescent="0.35">
      <c r="A676" s="7">
        <v>1704</v>
      </c>
      <c r="B676" s="1">
        <v>45605</v>
      </c>
      <c r="C676" s="2" t="s">
        <v>18</v>
      </c>
      <c r="D676" t="str">
        <f>_xlfn.XLOOKUP(Merged_Sales_Data!C676,PM[Product ID],PM[Product Name])</f>
        <v>LED Monitor 24"</v>
      </c>
      <c r="E676" t="str">
        <f>VLOOKUP(C676,PM[],3,FALSE)</f>
        <v>Electronics</v>
      </c>
      <c r="F676">
        <f>_xlfn.XLOOKUP(C676,PM[Product ID],PM[Unit Price (₹)])</f>
        <v>7700</v>
      </c>
      <c r="G676" t="str">
        <f>_xlfn.XLOOKUP(Sales7[[#This Row],[Order ID]],ST[Order ID],ST[Employee ID])</f>
        <v>E02</v>
      </c>
      <c r="H676" t="str">
        <f>_xlfn.XLOOKUP(G676,SM[Employee ID],SM[Salesperson])</f>
        <v>Ishita Verma</v>
      </c>
      <c r="I676" t="str">
        <f>_xlfn.XLOOKUP(G676,SM[Employee ID],SM[Region])</f>
        <v>North</v>
      </c>
      <c r="J676" t="str">
        <f>_xlfn.XLOOKUP(G676,SM[Employee ID],SM[State/City])</f>
        <v>Chandigarh</v>
      </c>
      <c r="K676" s="2">
        <f>_xlfn.XLOOKUP(Sales7[[#This Row],[Order ID]],ST[Order ID],ST[Units Sold])</f>
        <v>4</v>
      </c>
      <c r="L676">
        <f t="shared" si="10"/>
        <v>30800</v>
      </c>
    </row>
    <row r="677" spans="1:12" x14ac:dyDescent="0.35">
      <c r="A677" s="7">
        <v>1693</v>
      </c>
      <c r="B677" s="1">
        <v>45606</v>
      </c>
      <c r="C677" s="2" t="s">
        <v>11</v>
      </c>
      <c r="D677" t="str">
        <f>_xlfn.XLOOKUP(Merged_Sales_Data!C677,PM[Product ID],PM[Product Name])</f>
        <v>Bluetooth Speaker</v>
      </c>
      <c r="E677" t="str">
        <f>VLOOKUP(C677,PM[],3,FALSE)</f>
        <v>Electronics</v>
      </c>
      <c r="F677">
        <f>_xlfn.XLOOKUP(C677,PM[Product ID],PM[Unit Price (₹)])</f>
        <v>1430</v>
      </c>
      <c r="G677" t="str">
        <f>_xlfn.XLOOKUP(Sales7[[#This Row],[Order ID]],ST[Order ID],ST[Employee ID])</f>
        <v>E02</v>
      </c>
      <c r="H677" t="str">
        <f>_xlfn.XLOOKUP(G677,SM[Employee ID],SM[Salesperson])</f>
        <v>Ishita Verma</v>
      </c>
      <c r="I677" t="str">
        <f>_xlfn.XLOOKUP(G677,SM[Employee ID],SM[Region])</f>
        <v>North</v>
      </c>
      <c r="J677" t="str">
        <f>_xlfn.XLOOKUP(G677,SM[Employee ID],SM[State/City])</f>
        <v>Chandigarh</v>
      </c>
      <c r="K677" s="2">
        <f>_xlfn.XLOOKUP(Sales7[[#This Row],[Order ID]],ST[Order ID],ST[Units Sold])</f>
        <v>1</v>
      </c>
      <c r="L677">
        <f t="shared" si="10"/>
        <v>1430</v>
      </c>
    </row>
    <row r="678" spans="1:12" x14ac:dyDescent="0.35">
      <c r="A678" s="7">
        <v>1699</v>
      </c>
      <c r="B678" s="1">
        <v>45606</v>
      </c>
      <c r="C678" s="2" t="s">
        <v>10</v>
      </c>
      <c r="D678" t="str">
        <f>_xlfn.XLOOKUP(Merged_Sales_Data!C678,PM[Product ID],PM[Product Name])</f>
        <v>Filing Cabinet</v>
      </c>
      <c r="E678" t="str">
        <f>VLOOKUP(C678,PM[],3,FALSE)</f>
        <v>Furniture</v>
      </c>
      <c r="F678">
        <f>_xlfn.XLOOKUP(C678,PM[Product ID],PM[Unit Price (₹)])</f>
        <v>4070</v>
      </c>
      <c r="G678" t="str">
        <f>_xlfn.XLOOKUP(Sales7[[#This Row],[Order ID]],ST[Order ID],ST[Employee ID])</f>
        <v>E06</v>
      </c>
      <c r="H678" t="str">
        <f>_xlfn.XLOOKUP(G678,SM[Employee ID],SM[Salesperson])</f>
        <v>Sneha Roy</v>
      </c>
      <c r="I678" t="str">
        <f>_xlfn.XLOOKUP(G678,SM[Employee ID],SM[Region])</f>
        <v>East</v>
      </c>
      <c r="J678" t="str">
        <f>_xlfn.XLOOKUP(G678,SM[Employee ID],SM[State/City])</f>
        <v>Kolkata</v>
      </c>
      <c r="K678" s="2">
        <f>_xlfn.XLOOKUP(Sales7[[#This Row],[Order ID]],ST[Order ID],ST[Units Sold])</f>
        <v>1</v>
      </c>
      <c r="L678">
        <f t="shared" si="10"/>
        <v>4070</v>
      </c>
    </row>
    <row r="679" spans="1:12" x14ac:dyDescent="0.35">
      <c r="A679" s="7">
        <v>1692</v>
      </c>
      <c r="B679" s="1">
        <v>45608</v>
      </c>
      <c r="C679" s="2" t="s">
        <v>10</v>
      </c>
      <c r="D679" t="str">
        <f>_xlfn.XLOOKUP(Merged_Sales_Data!C679,PM[Product ID],PM[Product Name])</f>
        <v>Filing Cabinet</v>
      </c>
      <c r="E679" t="str">
        <f>VLOOKUP(C679,PM[],3,FALSE)</f>
        <v>Furniture</v>
      </c>
      <c r="F679">
        <f>_xlfn.XLOOKUP(C679,PM[Product ID],PM[Unit Price (₹)])</f>
        <v>4070</v>
      </c>
      <c r="G679" t="str">
        <f>_xlfn.XLOOKUP(Sales7[[#This Row],[Order ID]],ST[Order ID],ST[Employee ID])</f>
        <v>E03</v>
      </c>
      <c r="H679" t="str">
        <f>_xlfn.XLOOKUP(G679,SM[Employee ID],SM[Salesperson])</f>
        <v>Rohan Mehta</v>
      </c>
      <c r="I679" t="str">
        <f>_xlfn.XLOOKUP(G679,SM[Employee ID],SM[Region])</f>
        <v>South</v>
      </c>
      <c r="J679" t="str">
        <f>_xlfn.XLOOKUP(G679,SM[Employee ID],SM[State/City])</f>
        <v>Bengaluru</v>
      </c>
      <c r="K679" s="2">
        <f>_xlfn.XLOOKUP(Sales7[[#This Row],[Order ID]],ST[Order ID],ST[Units Sold])</f>
        <v>3</v>
      </c>
      <c r="L679">
        <f t="shared" si="10"/>
        <v>12210</v>
      </c>
    </row>
    <row r="680" spans="1:12" x14ac:dyDescent="0.35">
      <c r="A680" s="7">
        <v>1670</v>
      </c>
      <c r="B680" s="1">
        <v>45609</v>
      </c>
      <c r="C680" s="2" t="s">
        <v>21</v>
      </c>
      <c r="D680" t="str">
        <f>_xlfn.XLOOKUP(Merged_Sales_Data!C680,PM[Product ID],PM[Product Name])</f>
        <v>Wireless Mouse</v>
      </c>
      <c r="E680" t="str">
        <f>VLOOKUP(C680,PM[],3,FALSE)</f>
        <v>Electronics</v>
      </c>
      <c r="F680">
        <f>_xlfn.XLOOKUP(C680,PM[Product ID],PM[Unit Price (₹)])</f>
        <v>780</v>
      </c>
      <c r="G680" t="str">
        <f>_xlfn.XLOOKUP(Sales7[[#This Row],[Order ID]],ST[Order ID],ST[Employee ID])</f>
        <v>E02</v>
      </c>
      <c r="H680" t="str">
        <f>_xlfn.XLOOKUP(G680,SM[Employee ID],SM[Salesperson])</f>
        <v>Ishita Verma</v>
      </c>
      <c r="I680" t="str">
        <f>_xlfn.XLOOKUP(G680,SM[Employee ID],SM[Region])</f>
        <v>North</v>
      </c>
      <c r="J680" t="str">
        <f>_xlfn.XLOOKUP(G680,SM[Employee ID],SM[State/City])</f>
        <v>Chandigarh</v>
      </c>
      <c r="K680" s="2">
        <f>_xlfn.XLOOKUP(Sales7[[#This Row],[Order ID]],ST[Order ID],ST[Units Sold])</f>
        <v>1</v>
      </c>
      <c r="L680">
        <f t="shared" si="10"/>
        <v>780</v>
      </c>
    </row>
    <row r="681" spans="1:12" x14ac:dyDescent="0.35">
      <c r="A681" s="7">
        <v>1708</v>
      </c>
      <c r="B681" s="1">
        <v>45609</v>
      </c>
      <c r="C681" s="2" t="s">
        <v>20</v>
      </c>
      <c r="D681" t="str">
        <f>_xlfn.XLOOKUP(Merged_Sales_Data!C681,PM[Product ID],PM[Product Name])</f>
        <v>Standing Desk</v>
      </c>
      <c r="E681" t="str">
        <f>VLOOKUP(C681,PM[],3,FALSE)</f>
        <v>Office Supplies</v>
      </c>
      <c r="F681">
        <f>_xlfn.XLOOKUP(C681,PM[Product ID],PM[Unit Price (₹)])</f>
        <v>11010</v>
      </c>
      <c r="G681" t="str">
        <f>_xlfn.XLOOKUP(Sales7[[#This Row],[Order ID]],ST[Order ID],ST[Employee ID])</f>
        <v>E03</v>
      </c>
      <c r="H681" t="str">
        <f>_xlfn.XLOOKUP(G681,SM[Employee ID],SM[Salesperson])</f>
        <v>Rohan Mehta</v>
      </c>
      <c r="I681" t="str">
        <f>_xlfn.XLOOKUP(G681,SM[Employee ID],SM[Region])</f>
        <v>South</v>
      </c>
      <c r="J681" t="str">
        <f>_xlfn.XLOOKUP(G681,SM[Employee ID],SM[State/City])</f>
        <v>Bengaluru</v>
      </c>
      <c r="K681" s="2">
        <f>_xlfn.XLOOKUP(Sales7[[#This Row],[Order ID]],ST[Order ID],ST[Units Sold])</f>
        <v>1</v>
      </c>
      <c r="L681">
        <f t="shared" si="10"/>
        <v>11010</v>
      </c>
    </row>
    <row r="682" spans="1:12" x14ac:dyDescent="0.35">
      <c r="A682" s="7">
        <v>1688</v>
      </c>
      <c r="B682" s="1">
        <v>45610</v>
      </c>
      <c r="C682" s="2" t="s">
        <v>8</v>
      </c>
      <c r="D682" t="str">
        <f>_xlfn.XLOOKUP(Merged_Sales_Data!C682,PM[Product ID],PM[Product Name])</f>
        <v>USB-C Hub</v>
      </c>
      <c r="E682" t="str">
        <f>VLOOKUP(C682,PM[],3,FALSE)</f>
        <v>Accessories</v>
      </c>
      <c r="F682">
        <f>_xlfn.XLOOKUP(C682,PM[Product ID],PM[Unit Price (₹)])</f>
        <v>880</v>
      </c>
      <c r="G682" t="str">
        <f>_xlfn.XLOOKUP(Sales7[[#This Row],[Order ID]],ST[Order ID],ST[Employee ID])</f>
        <v>E06</v>
      </c>
      <c r="H682" t="str">
        <f>_xlfn.XLOOKUP(G682,SM[Employee ID],SM[Salesperson])</f>
        <v>Sneha Roy</v>
      </c>
      <c r="I682" t="str">
        <f>_xlfn.XLOOKUP(G682,SM[Employee ID],SM[Region])</f>
        <v>East</v>
      </c>
      <c r="J682" t="str">
        <f>_xlfn.XLOOKUP(G682,SM[Employee ID],SM[State/City])</f>
        <v>Kolkata</v>
      </c>
      <c r="K682" s="2">
        <f>_xlfn.XLOOKUP(Sales7[[#This Row],[Order ID]],ST[Order ID],ST[Units Sold])</f>
        <v>4</v>
      </c>
      <c r="L682">
        <f t="shared" si="10"/>
        <v>3520</v>
      </c>
    </row>
    <row r="683" spans="1:12" x14ac:dyDescent="0.35">
      <c r="A683" s="7">
        <v>1695</v>
      </c>
      <c r="B683" s="1">
        <v>45610</v>
      </c>
      <c r="C683" s="2" t="s">
        <v>11</v>
      </c>
      <c r="D683" t="str">
        <f>_xlfn.XLOOKUP(Merged_Sales_Data!C683,PM[Product ID],PM[Product Name])</f>
        <v>Bluetooth Speaker</v>
      </c>
      <c r="E683" t="str">
        <f>VLOOKUP(C683,PM[],3,FALSE)</f>
        <v>Electronics</v>
      </c>
      <c r="F683">
        <f>_xlfn.XLOOKUP(C683,PM[Product ID],PM[Unit Price (₹)])</f>
        <v>1430</v>
      </c>
      <c r="G683" t="str">
        <f>_xlfn.XLOOKUP(Sales7[[#This Row],[Order ID]],ST[Order ID],ST[Employee ID])</f>
        <v>E03</v>
      </c>
      <c r="H683" t="str">
        <f>_xlfn.XLOOKUP(G683,SM[Employee ID],SM[Salesperson])</f>
        <v>Rohan Mehta</v>
      </c>
      <c r="I683" t="str">
        <f>_xlfn.XLOOKUP(G683,SM[Employee ID],SM[Region])</f>
        <v>South</v>
      </c>
      <c r="J683" t="str">
        <f>_xlfn.XLOOKUP(G683,SM[Employee ID],SM[State/City])</f>
        <v>Bengaluru</v>
      </c>
      <c r="K683" s="2">
        <f>_xlfn.XLOOKUP(Sales7[[#This Row],[Order ID]],ST[Order ID],ST[Units Sold])</f>
        <v>1</v>
      </c>
      <c r="L683">
        <f t="shared" si="10"/>
        <v>1430</v>
      </c>
    </row>
    <row r="684" spans="1:12" x14ac:dyDescent="0.35">
      <c r="A684" s="7">
        <v>1671</v>
      </c>
      <c r="B684" s="1">
        <v>45612</v>
      </c>
      <c r="C684" s="2" t="s">
        <v>10</v>
      </c>
      <c r="D684" t="str">
        <f>_xlfn.XLOOKUP(Merged_Sales_Data!C684,PM[Product ID],PM[Product Name])</f>
        <v>Filing Cabinet</v>
      </c>
      <c r="E684" t="str">
        <f>VLOOKUP(C684,PM[],3,FALSE)</f>
        <v>Furniture</v>
      </c>
      <c r="F684">
        <f>_xlfn.XLOOKUP(C684,PM[Product ID],PM[Unit Price (₹)])</f>
        <v>4070</v>
      </c>
      <c r="G684" t="str">
        <f>_xlfn.XLOOKUP(Sales7[[#This Row],[Order ID]],ST[Order ID],ST[Employee ID])</f>
        <v>E07</v>
      </c>
      <c r="H684" t="str">
        <f>_xlfn.XLOOKUP(G684,SM[Employee ID],SM[Salesperson])</f>
        <v>Aditya Kapoor</v>
      </c>
      <c r="I684" t="str">
        <f>_xlfn.XLOOKUP(G684,SM[Employee ID],SM[Region])</f>
        <v>West</v>
      </c>
      <c r="J684" t="str">
        <f>_xlfn.XLOOKUP(G684,SM[Employee ID],SM[State/City])</f>
        <v>Mumbai</v>
      </c>
      <c r="K684" s="2">
        <f>_xlfn.XLOOKUP(Sales7[[#This Row],[Order ID]],ST[Order ID],ST[Units Sold])</f>
        <v>6</v>
      </c>
      <c r="L684">
        <f t="shared" si="10"/>
        <v>24420</v>
      </c>
    </row>
    <row r="685" spans="1:12" x14ac:dyDescent="0.35">
      <c r="A685" s="7">
        <v>1662</v>
      </c>
      <c r="B685" s="1">
        <v>45613</v>
      </c>
      <c r="C685" s="2" t="s">
        <v>21</v>
      </c>
      <c r="D685" t="str">
        <f>_xlfn.XLOOKUP(Merged_Sales_Data!C685,PM[Product ID],PM[Product Name])</f>
        <v>Wireless Mouse</v>
      </c>
      <c r="E685" t="str">
        <f>VLOOKUP(C685,PM[],3,FALSE)</f>
        <v>Electronics</v>
      </c>
      <c r="F685">
        <f>_xlfn.XLOOKUP(C685,PM[Product ID],PM[Unit Price (₹)])</f>
        <v>780</v>
      </c>
      <c r="G685" t="str">
        <f>_xlfn.XLOOKUP(Sales7[[#This Row],[Order ID]],ST[Order ID],ST[Employee ID])</f>
        <v>E07</v>
      </c>
      <c r="H685" t="str">
        <f>_xlfn.XLOOKUP(G685,SM[Employee ID],SM[Salesperson])</f>
        <v>Aditya Kapoor</v>
      </c>
      <c r="I685" t="str">
        <f>_xlfn.XLOOKUP(G685,SM[Employee ID],SM[Region])</f>
        <v>West</v>
      </c>
      <c r="J685" t="str">
        <f>_xlfn.XLOOKUP(G685,SM[Employee ID],SM[State/City])</f>
        <v>Mumbai</v>
      </c>
      <c r="K685" s="2">
        <f>_xlfn.XLOOKUP(Sales7[[#This Row],[Order ID]],ST[Order ID],ST[Units Sold])</f>
        <v>1</v>
      </c>
      <c r="L685">
        <f t="shared" si="10"/>
        <v>780</v>
      </c>
    </row>
    <row r="686" spans="1:12" x14ac:dyDescent="0.35">
      <c r="A686" s="7">
        <v>1696</v>
      </c>
      <c r="B686" s="1">
        <v>45613</v>
      </c>
      <c r="C686" s="2" t="s">
        <v>8</v>
      </c>
      <c r="D686" t="str">
        <f>_xlfn.XLOOKUP(Merged_Sales_Data!C686,PM[Product ID],PM[Product Name])</f>
        <v>USB-C Hub</v>
      </c>
      <c r="E686" t="str">
        <f>VLOOKUP(C686,PM[],3,FALSE)</f>
        <v>Accessories</v>
      </c>
      <c r="F686">
        <f>_xlfn.XLOOKUP(C686,PM[Product ID],PM[Unit Price (₹)])</f>
        <v>880</v>
      </c>
      <c r="G686" t="str">
        <f>_xlfn.XLOOKUP(Sales7[[#This Row],[Order ID]],ST[Order ID],ST[Employee ID])</f>
        <v>E08</v>
      </c>
      <c r="H686" t="str">
        <f>_xlfn.XLOOKUP(G686,SM[Employee ID],SM[Salesperson])</f>
        <v>Neha Joshi</v>
      </c>
      <c r="I686" t="str">
        <f>_xlfn.XLOOKUP(G686,SM[Employee ID],SM[Region])</f>
        <v>West</v>
      </c>
      <c r="J686" t="str">
        <f>_xlfn.XLOOKUP(G686,SM[Employee ID],SM[State/City])</f>
        <v>Ahmedabad</v>
      </c>
      <c r="K686" s="2">
        <f>_xlfn.XLOOKUP(Sales7[[#This Row],[Order ID]],ST[Order ID],ST[Units Sold])</f>
        <v>6</v>
      </c>
      <c r="L686">
        <f t="shared" si="10"/>
        <v>5280</v>
      </c>
    </row>
    <row r="687" spans="1:12" x14ac:dyDescent="0.35">
      <c r="A687" s="7">
        <v>1668</v>
      </c>
      <c r="B687" s="1">
        <v>45615</v>
      </c>
      <c r="C687" s="2" t="s">
        <v>10</v>
      </c>
      <c r="D687" t="str">
        <f>_xlfn.XLOOKUP(Merged_Sales_Data!C687,PM[Product ID],PM[Product Name])</f>
        <v>Filing Cabinet</v>
      </c>
      <c r="E687" t="str">
        <f>VLOOKUP(C687,PM[],3,FALSE)</f>
        <v>Furniture</v>
      </c>
      <c r="F687">
        <f>_xlfn.XLOOKUP(C687,PM[Product ID],PM[Unit Price (₹)])</f>
        <v>4070</v>
      </c>
      <c r="G687" t="str">
        <f>_xlfn.XLOOKUP(Sales7[[#This Row],[Order ID]],ST[Order ID],ST[Employee ID])</f>
        <v>E06</v>
      </c>
      <c r="H687" t="str">
        <f>_xlfn.XLOOKUP(G687,SM[Employee ID],SM[Salesperson])</f>
        <v>Sneha Roy</v>
      </c>
      <c r="I687" t="str">
        <f>_xlfn.XLOOKUP(G687,SM[Employee ID],SM[Region])</f>
        <v>East</v>
      </c>
      <c r="J687" t="str">
        <f>_xlfn.XLOOKUP(G687,SM[Employee ID],SM[State/City])</f>
        <v>Kolkata</v>
      </c>
      <c r="K687" s="2">
        <f>_xlfn.XLOOKUP(Sales7[[#This Row],[Order ID]],ST[Order ID],ST[Units Sold])</f>
        <v>5</v>
      </c>
      <c r="L687">
        <f t="shared" si="10"/>
        <v>20350</v>
      </c>
    </row>
    <row r="688" spans="1:12" x14ac:dyDescent="0.35">
      <c r="A688" s="7">
        <v>1677</v>
      </c>
      <c r="B688" s="1">
        <v>45615</v>
      </c>
      <c r="C688" s="2" t="s">
        <v>20</v>
      </c>
      <c r="D688" t="str">
        <f>_xlfn.XLOOKUP(Merged_Sales_Data!C688,PM[Product ID],PM[Product Name])</f>
        <v>Standing Desk</v>
      </c>
      <c r="E688" t="str">
        <f>VLOOKUP(C688,PM[],3,FALSE)</f>
        <v>Office Supplies</v>
      </c>
      <c r="F688">
        <f>_xlfn.XLOOKUP(C688,PM[Product ID],PM[Unit Price (₹)])</f>
        <v>11010</v>
      </c>
      <c r="G688" t="str">
        <f>_xlfn.XLOOKUP(Sales7[[#This Row],[Order ID]],ST[Order ID],ST[Employee ID])</f>
        <v>E02</v>
      </c>
      <c r="H688" t="str">
        <f>_xlfn.XLOOKUP(G688,SM[Employee ID],SM[Salesperson])</f>
        <v>Ishita Verma</v>
      </c>
      <c r="I688" t="str">
        <f>_xlfn.XLOOKUP(G688,SM[Employee ID],SM[Region])</f>
        <v>North</v>
      </c>
      <c r="J688" t="str">
        <f>_xlfn.XLOOKUP(G688,SM[Employee ID],SM[State/City])</f>
        <v>Chandigarh</v>
      </c>
      <c r="K688" s="2">
        <f>_xlfn.XLOOKUP(Sales7[[#This Row],[Order ID]],ST[Order ID],ST[Units Sold])</f>
        <v>6</v>
      </c>
      <c r="L688">
        <f t="shared" si="10"/>
        <v>66060</v>
      </c>
    </row>
    <row r="689" spans="1:12" x14ac:dyDescent="0.35">
      <c r="A689" s="7">
        <v>1680</v>
      </c>
      <c r="B689" s="1">
        <v>45615</v>
      </c>
      <c r="C689" s="2" t="s">
        <v>20</v>
      </c>
      <c r="D689" t="str">
        <f>_xlfn.XLOOKUP(Merged_Sales_Data!C689,PM[Product ID],PM[Product Name])</f>
        <v>Standing Desk</v>
      </c>
      <c r="E689" t="str">
        <f>VLOOKUP(C689,PM[],3,FALSE)</f>
        <v>Office Supplies</v>
      </c>
      <c r="F689">
        <f>_xlfn.XLOOKUP(C689,PM[Product ID],PM[Unit Price (₹)])</f>
        <v>11010</v>
      </c>
      <c r="G689" t="str">
        <f>_xlfn.XLOOKUP(Sales7[[#This Row],[Order ID]],ST[Order ID],ST[Employee ID])</f>
        <v>E02</v>
      </c>
      <c r="H689" t="str">
        <f>_xlfn.XLOOKUP(G689,SM[Employee ID],SM[Salesperson])</f>
        <v>Ishita Verma</v>
      </c>
      <c r="I689" t="str">
        <f>_xlfn.XLOOKUP(G689,SM[Employee ID],SM[Region])</f>
        <v>North</v>
      </c>
      <c r="J689" t="str">
        <f>_xlfn.XLOOKUP(G689,SM[Employee ID],SM[State/City])</f>
        <v>Chandigarh</v>
      </c>
      <c r="K689" s="2">
        <f>_xlfn.XLOOKUP(Sales7[[#This Row],[Order ID]],ST[Order ID],ST[Units Sold])</f>
        <v>1</v>
      </c>
      <c r="L689">
        <f t="shared" si="10"/>
        <v>11010</v>
      </c>
    </row>
    <row r="690" spans="1:12" x14ac:dyDescent="0.35">
      <c r="A690" s="7">
        <v>1698</v>
      </c>
      <c r="B690" s="1">
        <v>45616</v>
      </c>
      <c r="C690" s="2" t="s">
        <v>8</v>
      </c>
      <c r="D690" t="str">
        <f>_xlfn.XLOOKUP(Merged_Sales_Data!C690,PM[Product ID],PM[Product Name])</f>
        <v>USB-C Hub</v>
      </c>
      <c r="E690" t="str">
        <f>VLOOKUP(C690,PM[],3,FALSE)</f>
        <v>Accessories</v>
      </c>
      <c r="F690">
        <f>_xlfn.XLOOKUP(C690,PM[Product ID],PM[Unit Price (₹)])</f>
        <v>880</v>
      </c>
      <c r="G690" t="str">
        <f>_xlfn.XLOOKUP(Sales7[[#This Row],[Order ID]],ST[Order ID],ST[Employee ID])</f>
        <v>E06</v>
      </c>
      <c r="H690" t="str">
        <f>_xlfn.XLOOKUP(G690,SM[Employee ID],SM[Salesperson])</f>
        <v>Sneha Roy</v>
      </c>
      <c r="I690" t="str">
        <f>_xlfn.XLOOKUP(G690,SM[Employee ID],SM[Region])</f>
        <v>East</v>
      </c>
      <c r="J690" t="str">
        <f>_xlfn.XLOOKUP(G690,SM[Employee ID],SM[State/City])</f>
        <v>Kolkata</v>
      </c>
      <c r="K690" s="2">
        <f>_xlfn.XLOOKUP(Sales7[[#This Row],[Order ID]],ST[Order ID],ST[Units Sold])</f>
        <v>1</v>
      </c>
      <c r="L690">
        <f t="shared" si="10"/>
        <v>880</v>
      </c>
    </row>
    <row r="691" spans="1:12" x14ac:dyDescent="0.35">
      <c r="A691" s="7">
        <v>1660</v>
      </c>
      <c r="B691" s="1">
        <v>45617</v>
      </c>
      <c r="C691" s="2" t="s">
        <v>21</v>
      </c>
      <c r="D691" t="str">
        <f>_xlfn.XLOOKUP(Merged_Sales_Data!C691,PM[Product ID],PM[Product Name])</f>
        <v>Wireless Mouse</v>
      </c>
      <c r="E691" t="str">
        <f>VLOOKUP(C691,PM[],3,FALSE)</f>
        <v>Electronics</v>
      </c>
      <c r="F691">
        <f>_xlfn.XLOOKUP(C691,PM[Product ID],PM[Unit Price (₹)])</f>
        <v>780</v>
      </c>
      <c r="G691" t="str">
        <f>_xlfn.XLOOKUP(Sales7[[#This Row],[Order ID]],ST[Order ID],ST[Employee ID])</f>
        <v>E06</v>
      </c>
      <c r="H691" t="str">
        <f>_xlfn.XLOOKUP(G691,SM[Employee ID],SM[Salesperson])</f>
        <v>Sneha Roy</v>
      </c>
      <c r="I691" t="str">
        <f>_xlfn.XLOOKUP(G691,SM[Employee ID],SM[Region])</f>
        <v>East</v>
      </c>
      <c r="J691" t="str">
        <f>_xlfn.XLOOKUP(G691,SM[Employee ID],SM[State/City])</f>
        <v>Kolkata</v>
      </c>
      <c r="K691" s="2">
        <f>_xlfn.XLOOKUP(Sales7[[#This Row],[Order ID]],ST[Order ID],ST[Units Sold])</f>
        <v>8</v>
      </c>
      <c r="L691">
        <f t="shared" si="10"/>
        <v>6240</v>
      </c>
    </row>
    <row r="692" spans="1:12" x14ac:dyDescent="0.35">
      <c r="A692" s="7">
        <v>1686</v>
      </c>
      <c r="B692" s="1">
        <v>45617</v>
      </c>
      <c r="C692" s="2" t="s">
        <v>12</v>
      </c>
      <c r="D692" t="str">
        <f>_xlfn.XLOOKUP(Merged_Sales_Data!C692,PM[Product ID],PM[Product Name])</f>
        <v>Bookshelf Unit</v>
      </c>
      <c r="E692" t="str">
        <f>VLOOKUP(C692,PM[],3,FALSE)</f>
        <v>Furniture</v>
      </c>
      <c r="F692">
        <f>_xlfn.XLOOKUP(C692,PM[Product ID],PM[Unit Price (₹)])</f>
        <v>3910</v>
      </c>
      <c r="G692" t="str">
        <f>_xlfn.XLOOKUP(Sales7[[#This Row],[Order ID]],ST[Order ID],ST[Employee ID])</f>
        <v>E07</v>
      </c>
      <c r="H692" t="str">
        <f>_xlfn.XLOOKUP(G692,SM[Employee ID],SM[Salesperson])</f>
        <v>Aditya Kapoor</v>
      </c>
      <c r="I692" t="str">
        <f>_xlfn.XLOOKUP(G692,SM[Employee ID],SM[Region])</f>
        <v>West</v>
      </c>
      <c r="J692" t="str">
        <f>_xlfn.XLOOKUP(G692,SM[Employee ID],SM[State/City])</f>
        <v>Mumbai</v>
      </c>
      <c r="K692" s="2">
        <f>_xlfn.XLOOKUP(Sales7[[#This Row],[Order ID]],ST[Order ID],ST[Units Sold])</f>
        <v>1</v>
      </c>
      <c r="L692">
        <f t="shared" si="10"/>
        <v>3910</v>
      </c>
    </row>
    <row r="693" spans="1:12" x14ac:dyDescent="0.35">
      <c r="A693" s="7">
        <v>1669</v>
      </c>
      <c r="B693" s="1">
        <v>45618</v>
      </c>
      <c r="C693" s="2" t="s">
        <v>5</v>
      </c>
      <c r="D693" t="str">
        <f>_xlfn.XLOOKUP(Merged_Sales_Data!C693,PM[Product ID],PM[Product Name])</f>
        <v>Ergo Office Chair</v>
      </c>
      <c r="E693" t="str">
        <f>VLOOKUP(C693,PM[],3,FALSE)</f>
        <v>Office Supplies</v>
      </c>
      <c r="F693">
        <f>_xlfn.XLOOKUP(C693,PM[Product ID],PM[Unit Price (₹)])</f>
        <v>6750</v>
      </c>
      <c r="G693" t="str">
        <f>_xlfn.XLOOKUP(Sales7[[#This Row],[Order ID]],ST[Order ID],ST[Employee ID])</f>
        <v>E04</v>
      </c>
      <c r="H693" t="str">
        <f>_xlfn.XLOOKUP(G693,SM[Employee ID],SM[Salesperson])</f>
        <v>Priya Nair</v>
      </c>
      <c r="I693" t="str">
        <f>_xlfn.XLOOKUP(G693,SM[Employee ID],SM[Region])</f>
        <v>South</v>
      </c>
      <c r="J693" t="str">
        <f>_xlfn.XLOOKUP(G693,SM[Employee ID],SM[State/City])</f>
        <v>Bengaluru</v>
      </c>
      <c r="K693" s="2">
        <f>_xlfn.XLOOKUP(Sales7[[#This Row],[Order ID]],ST[Order ID],ST[Units Sold])</f>
        <v>2</v>
      </c>
      <c r="L693">
        <f t="shared" si="10"/>
        <v>13500</v>
      </c>
    </row>
    <row r="694" spans="1:12" x14ac:dyDescent="0.35">
      <c r="A694" s="7">
        <v>1701</v>
      </c>
      <c r="B694" s="1">
        <v>45618</v>
      </c>
      <c r="C694" s="2" t="s">
        <v>8</v>
      </c>
      <c r="D694" t="str">
        <f>_xlfn.XLOOKUP(Merged_Sales_Data!C694,PM[Product ID],PM[Product Name])</f>
        <v>USB-C Hub</v>
      </c>
      <c r="E694" t="str">
        <f>VLOOKUP(C694,PM[],3,FALSE)</f>
        <v>Accessories</v>
      </c>
      <c r="F694">
        <f>_xlfn.XLOOKUP(C694,PM[Product ID],PM[Unit Price (₹)])</f>
        <v>880</v>
      </c>
      <c r="G694" t="str">
        <f>_xlfn.XLOOKUP(Sales7[[#This Row],[Order ID]],ST[Order ID],ST[Employee ID])</f>
        <v>E04</v>
      </c>
      <c r="H694" t="str">
        <f>_xlfn.XLOOKUP(G694,SM[Employee ID],SM[Salesperson])</f>
        <v>Priya Nair</v>
      </c>
      <c r="I694" t="str">
        <f>_xlfn.XLOOKUP(G694,SM[Employee ID],SM[Region])</f>
        <v>South</v>
      </c>
      <c r="J694" t="str">
        <f>_xlfn.XLOOKUP(G694,SM[Employee ID],SM[State/City])</f>
        <v>Bengaluru</v>
      </c>
      <c r="K694" s="2">
        <f>_xlfn.XLOOKUP(Sales7[[#This Row],[Order ID]],ST[Order ID],ST[Units Sold])</f>
        <v>1</v>
      </c>
      <c r="L694">
        <f t="shared" si="10"/>
        <v>880</v>
      </c>
    </row>
    <row r="695" spans="1:12" x14ac:dyDescent="0.35">
      <c r="A695" s="7">
        <v>1691</v>
      </c>
      <c r="B695" s="1">
        <v>45619</v>
      </c>
      <c r="C695" s="2" t="s">
        <v>18</v>
      </c>
      <c r="D695" t="str">
        <f>_xlfn.XLOOKUP(Merged_Sales_Data!C695,PM[Product ID],PM[Product Name])</f>
        <v>LED Monitor 24"</v>
      </c>
      <c r="E695" t="str">
        <f>VLOOKUP(C695,PM[],3,FALSE)</f>
        <v>Electronics</v>
      </c>
      <c r="F695">
        <f>_xlfn.XLOOKUP(C695,PM[Product ID],PM[Unit Price (₹)])</f>
        <v>7700</v>
      </c>
      <c r="G695" t="str">
        <f>_xlfn.XLOOKUP(Sales7[[#This Row],[Order ID]],ST[Order ID],ST[Employee ID])</f>
        <v>E05</v>
      </c>
      <c r="H695" t="str">
        <f>_xlfn.XLOOKUP(G695,SM[Employee ID],SM[Salesperson])</f>
        <v>Karan Malhotra</v>
      </c>
      <c r="I695" t="str">
        <f>_xlfn.XLOOKUP(G695,SM[Employee ID],SM[Region])</f>
        <v>East</v>
      </c>
      <c r="J695" t="str">
        <f>_xlfn.XLOOKUP(G695,SM[Employee ID],SM[State/City])</f>
        <v>Kolkata</v>
      </c>
      <c r="K695" s="2">
        <f>_xlfn.XLOOKUP(Sales7[[#This Row],[Order ID]],ST[Order ID],ST[Units Sold])</f>
        <v>4</v>
      </c>
      <c r="L695">
        <f t="shared" si="10"/>
        <v>30800</v>
      </c>
    </row>
    <row r="696" spans="1:12" x14ac:dyDescent="0.35">
      <c r="A696" s="7">
        <v>1700</v>
      </c>
      <c r="B696" s="1">
        <v>45620</v>
      </c>
      <c r="C696" s="2" t="s">
        <v>10</v>
      </c>
      <c r="D696" t="str">
        <f>_xlfn.XLOOKUP(Merged_Sales_Data!C696,PM[Product ID],PM[Product Name])</f>
        <v>Filing Cabinet</v>
      </c>
      <c r="E696" t="str">
        <f>VLOOKUP(C696,PM[],3,FALSE)</f>
        <v>Furniture</v>
      </c>
      <c r="F696">
        <f>_xlfn.XLOOKUP(C696,PM[Product ID],PM[Unit Price (₹)])</f>
        <v>4070</v>
      </c>
      <c r="G696" t="str">
        <f>_xlfn.XLOOKUP(Sales7[[#This Row],[Order ID]],ST[Order ID],ST[Employee ID])</f>
        <v>E07</v>
      </c>
      <c r="H696" t="str">
        <f>_xlfn.XLOOKUP(G696,SM[Employee ID],SM[Salesperson])</f>
        <v>Aditya Kapoor</v>
      </c>
      <c r="I696" t="str">
        <f>_xlfn.XLOOKUP(G696,SM[Employee ID],SM[Region])</f>
        <v>West</v>
      </c>
      <c r="J696" t="str">
        <f>_xlfn.XLOOKUP(G696,SM[Employee ID],SM[State/City])</f>
        <v>Mumbai</v>
      </c>
      <c r="K696" s="2">
        <f>_xlfn.XLOOKUP(Sales7[[#This Row],[Order ID]],ST[Order ID],ST[Units Sold])</f>
        <v>1</v>
      </c>
      <c r="L696">
        <f t="shared" si="10"/>
        <v>4070</v>
      </c>
    </row>
    <row r="697" spans="1:12" x14ac:dyDescent="0.35">
      <c r="A697" s="7">
        <v>1685</v>
      </c>
      <c r="B697" s="1">
        <v>45621</v>
      </c>
      <c r="C697" s="2" t="s">
        <v>12</v>
      </c>
      <c r="D697" t="str">
        <f>_xlfn.XLOOKUP(Merged_Sales_Data!C697,PM[Product ID],PM[Product Name])</f>
        <v>Bookshelf Unit</v>
      </c>
      <c r="E697" t="str">
        <f>VLOOKUP(C697,PM[],3,FALSE)</f>
        <v>Furniture</v>
      </c>
      <c r="F697">
        <f>_xlfn.XLOOKUP(C697,PM[Product ID],PM[Unit Price (₹)])</f>
        <v>3910</v>
      </c>
      <c r="G697" t="str">
        <f>_xlfn.XLOOKUP(Sales7[[#This Row],[Order ID]],ST[Order ID],ST[Employee ID])</f>
        <v>E02</v>
      </c>
      <c r="H697" t="str">
        <f>_xlfn.XLOOKUP(G697,SM[Employee ID],SM[Salesperson])</f>
        <v>Ishita Verma</v>
      </c>
      <c r="I697" t="str">
        <f>_xlfn.XLOOKUP(G697,SM[Employee ID],SM[Region])</f>
        <v>North</v>
      </c>
      <c r="J697" t="str">
        <f>_xlfn.XLOOKUP(G697,SM[Employee ID],SM[State/City])</f>
        <v>Chandigarh</v>
      </c>
      <c r="K697" s="2">
        <f>_xlfn.XLOOKUP(Sales7[[#This Row],[Order ID]],ST[Order ID],ST[Units Sold])</f>
        <v>8</v>
      </c>
      <c r="L697">
        <f t="shared" si="10"/>
        <v>31280</v>
      </c>
    </row>
    <row r="698" spans="1:12" x14ac:dyDescent="0.35">
      <c r="A698" s="7">
        <v>1689</v>
      </c>
      <c r="B698" s="1">
        <v>45621</v>
      </c>
      <c r="C698" s="2" t="s">
        <v>10</v>
      </c>
      <c r="D698" t="str">
        <f>_xlfn.XLOOKUP(Merged_Sales_Data!C698,PM[Product ID],PM[Product Name])</f>
        <v>Filing Cabinet</v>
      </c>
      <c r="E698" t="str">
        <f>VLOOKUP(C698,PM[],3,FALSE)</f>
        <v>Furniture</v>
      </c>
      <c r="F698">
        <f>_xlfn.XLOOKUP(C698,PM[Product ID],PM[Unit Price (₹)])</f>
        <v>4070</v>
      </c>
      <c r="G698" t="str">
        <f>_xlfn.XLOOKUP(Sales7[[#This Row],[Order ID]],ST[Order ID],ST[Employee ID])</f>
        <v>E03</v>
      </c>
      <c r="H698" t="str">
        <f>_xlfn.XLOOKUP(G698,SM[Employee ID],SM[Salesperson])</f>
        <v>Rohan Mehta</v>
      </c>
      <c r="I698" t="str">
        <f>_xlfn.XLOOKUP(G698,SM[Employee ID],SM[Region])</f>
        <v>South</v>
      </c>
      <c r="J698" t="str">
        <f>_xlfn.XLOOKUP(G698,SM[Employee ID],SM[State/City])</f>
        <v>Bengaluru</v>
      </c>
      <c r="K698" s="2">
        <f>_xlfn.XLOOKUP(Sales7[[#This Row],[Order ID]],ST[Order ID],ST[Units Sold])</f>
        <v>1</v>
      </c>
      <c r="L698">
        <f t="shared" si="10"/>
        <v>4070</v>
      </c>
    </row>
    <row r="699" spans="1:12" x14ac:dyDescent="0.35">
      <c r="A699" s="7">
        <v>1673</v>
      </c>
      <c r="B699" s="1">
        <v>45622</v>
      </c>
      <c r="C699" s="2" t="s">
        <v>10</v>
      </c>
      <c r="D699" t="str">
        <f>_xlfn.XLOOKUP(Merged_Sales_Data!C699,PM[Product ID],PM[Product Name])</f>
        <v>Filing Cabinet</v>
      </c>
      <c r="E699" t="str">
        <f>VLOOKUP(C699,PM[],3,FALSE)</f>
        <v>Furniture</v>
      </c>
      <c r="F699">
        <f>_xlfn.XLOOKUP(C699,PM[Product ID],PM[Unit Price (₹)])</f>
        <v>4070</v>
      </c>
      <c r="G699" t="str">
        <f>_xlfn.XLOOKUP(Sales7[[#This Row],[Order ID]],ST[Order ID],ST[Employee ID])</f>
        <v>E08</v>
      </c>
      <c r="H699" t="str">
        <f>_xlfn.XLOOKUP(G699,SM[Employee ID],SM[Salesperson])</f>
        <v>Neha Joshi</v>
      </c>
      <c r="I699" t="str">
        <f>_xlfn.XLOOKUP(G699,SM[Employee ID],SM[Region])</f>
        <v>West</v>
      </c>
      <c r="J699" t="str">
        <f>_xlfn.XLOOKUP(G699,SM[Employee ID],SM[State/City])</f>
        <v>Ahmedabad</v>
      </c>
      <c r="K699" s="2">
        <f>_xlfn.XLOOKUP(Sales7[[#This Row],[Order ID]],ST[Order ID],ST[Units Sold])</f>
        <v>10</v>
      </c>
      <c r="L699">
        <f t="shared" si="10"/>
        <v>40700</v>
      </c>
    </row>
    <row r="700" spans="1:12" x14ac:dyDescent="0.35">
      <c r="A700" s="7">
        <v>1682</v>
      </c>
      <c r="B700" s="1">
        <v>45622</v>
      </c>
      <c r="C700" s="2" t="s">
        <v>10</v>
      </c>
      <c r="D700" t="str">
        <f>_xlfn.XLOOKUP(Merged_Sales_Data!C700,PM[Product ID],PM[Product Name])</f>
        <v>Filing Cabinet</v>
      </c>
      <c r="E700" t="str">
        <f>VLOOKUP(C700,PM[],3,FALSE)</f>
        <v>Furniture</v>
      </c>
      <c r="F700">
        <f>_xlfn.XLOOKUP(C700,PM[Product ID],PM[Unit Price (₹)])</f>
        <v>4070</v>
      </c>
      <c r="G700" t="str">
        <f>_xlfn.XLOOKUP(Sales7[[#This Row],[Order ID]],ST[Order ID],ST[Employee ID])</f>
        <v>E06</v>
      </c>
      <c r="H700" t="str">
        <f>_xlfn.XLOOKUP(G700,SM[Employee ID],SM[Salesperson])</f>
        <v>Sneha Roy</v>
      </c>
      <c r="I700" t="str">
        <f>_xlfn.XLOOKUP(G700,SM[Employee ID],SM[Region])</f>
        <v>East</v>
      </c>
      <c r="J700" t="str">
        <f>_xlfn.XLOOKUP(G700,SM[Employee ID],SM[State/City])</f>
        <v>Kolkata</v>
      </c>
      <c r="K700" s="2">
        <f>_xlfn.XLOOKUP(Sales7[[#This Row],[Order ID]],ST[Order ID],ST[Units Sold])</f>
        <v>1</v>
      </c>
      <c r="L700">
        <f t="shared" si="10"/>
        <v>4070</v>
      </c>
    </row>
    <row r="701" spans="1:12" x14ac:dyDescent="0.35">
      <c r="A701" s="7">
        <v>1705</v>
      </c>
      <c r="B701" s="1">
        <v>45622</v>
      </c>
      <c r="C701" s="2" t="s">
        <v>20</v>
      </c>
      <c r="D701" t="str">
        <f>_xlfn.XLOOKUP(Merged_Sales_Data!C701,PM[Product ID],PM[Product Name])</f>
        <v>Standing Desk</v>
      </c>
      <c r="E701" t="str">
        <f>VLOOKUP(C701,PM[],3,FALSE)</f>
        <v>Office Supplies</v>
      </c>
      <c r="F701">
        <f>_xlfn.XLOOKUP(C701,PM[Product ID],PM[Unit Price (₹)])</f>
        <v>11010</v>
      </c>
      <c r="G701" t="str">
        <f>_xlfn.XLOOKUP(Sales7[[#This Row],[Order ID]],ST[Order ID],ST[Employee ID])</f>
        <v>E07</v>
      </c>
      <c r="H701" t="str">
        <f>_xlfn.XLOOKUP(G701,SM[Employee ID],SM[Salesperson])</f>
        <v>Aditya Kapoor</v>
      </c>
      <c r="I701" t="str">
        <f>_xlfn.XLOOKUP(G701,SM[Employee ID],SM[Region])</f>
        <v>West</v>
      </c>
      <c r="J701" t="str">
        <f>_xlfn.XLOOKUP(G701,SM[Employee ID],SM[State/City])</f>
        <v>Mumbai</v>
      </c>
      <c r="K701" s="2">
        <f>_xlfn.XLOOKUP(Sales7[[#This Row],[Order ID]],ST[Order ID],ST[Units Sold])</f>
        <v>5</v>
      </c>
      <c r="L701">
        <f t="shared" si="10"/>
        <v>55050</v>
      </c>
    </row>
    <row r="702" spans="1:12" x14ac:dyDescent="0.35">
      <c r="A702" s="7">
        <v>1666</v>
      </c>
      <c r="B702" s="1">
        <v>45623</v>
      </c>
      <c r="C702" s="2" t="s">
        <v>8</v>
      </c>
      <c r="D702" t="str">
        <f>_xlfn.XLOOKUP(Merged_Sales_Data!C702,PM[Product ID],PM[Product Name])</f>
        <v>USB-C Hub</v>
      </c>
      <c r="E702" t="str">
        <f>VLOOKUP(C702,PM[],3,FALSE)</f>
        <v>Accessories</v>
      </c>
      <c r="F702">
        <f>_xlfn.XLOOKUP(C702,PM[Product ID],PM[Unit Price (₹)])</f>
        <v>880</v>
      </c>
      <c r="G702" t="str">
        <f>_xlfn.XLOOKUP(Sales7[[#This Row],[Order ID]],ST[Order ID],ST[Employee ID])</f>
        <v>E04</v>
      </c>
      <c r="H702" t="str">
        <f>_xlfn.XLOOKUP(G702,SM[Employee ID],SM[Salesperson])</f>
        <v>Priya Nair</v>
      </c>
      <c r="I702" t="str">
        <f>_xlfn.XLOOKUP(G702,SM[Employee ID],SM[Region])</f>
        <v>South</v>
      </c>
      <c r="J702" t="str">
        <f>_xlfn.XLOOKUP(G702,SM[Employee ID],SM[State/City])</f>
        <v>Bengaluru</v>
      </c>
      <c r="K702" s="2">
        <f>_xlfn.XLOOKUP(Sales7[[#This Row],[Order ID]],ST[Order ID],ST[Units Sold])</f>
        <v>2</v>
      </c>
      <c r="L702">
        <f t="shared" si="10"/>
        <v>1760</v>
      </c>
    </row>
    <row r="703" spans="1:12" x14ac:dyDescent="0.35">
      <c r="A703" s="7">
        <v>1684</v>
      </c>
      <c r="B703" s="1">
        <v>45623</v>
      </c>
      <c r="C703" s="2" t="s">
        <v>10</v>
      </c>
      <c r="D703" t="str">
        <f>_xlfn.XLOOKUP(Merged_Sales_Data!C703,PM[Product ID],PM[Product Name])</f>
        <v>Filing Cabinet</v>
      </c>
      <c r="E703" t="str">
        <f>VLOOKUP(C703,PM[],3,FALSE)</f>
        <v>Furniture</v>
      </c>
      <c r="F703">
        <f>_xlfn.XLOOKUP(C703,PM[Product ID],PM[Unit Price (₹)])</f>
        <v>4070</v>
      </c>
      <c r="G703" t="str">
        <f>_xlfn.XLOOKUP(Sales7[[#This Row],[Order ID]],ST[Order ID],ST[Employee ID])</f>
        <v>E02</v>
      </c>
      <c r="H703" t="str">
        <f>_xlfn.XLOOKUP(G703,SM[Employee ID],SM[Salesperson])</f>
        <v>Ishita Verma</v>
      </c>
      <c r="I703" t="str">
        <f>_xlfn.XLOOKUP(G703,SM[Employee ID],SM[Region])</f>
        <v>North</v>
      </c>
      <c r="J703" t="str">
        <f>_xlfn.XLOOKUP(G703,SM[Employee ID],SM[State/City])</f>
        <v>Chandigarh</v>
      </c>
      <c r="K703" s="2">
        <f>_xlfn.XLOOKUP(Sales7[[#This Row],[Order ID]],ST[Order ID],ST[Units Sold])</f>
        <v>2</v>
      </c>
      <c r="L703">
        <f t="shared" si="10"/>
        <v>8140</v>
      </c>
    </row>
    <row r="704" spans="1:12" x14ac:dyDescent="0.35">
      <c r="A704" s="7">
        <v>1675</v>
      </c>
      <c r="B704" s="1">
        <v>45625</v>
      </c>
      <c r="C704" s="2" t="s">
        <v>5</v>
      </c>
      <c r="D704" t="str">
        <f>_xlfn.XLOOKUP(Merged_Sales_Data!C704,PM[Product ID],PM[Product Name])</f>
        <v>Ergo Office Chair</v>
      </c>
      <c r="E704" t="str">
        <f>VLOOKUP(C704,PM[],3,FALSE)</f>
        <v>Office Supplies</v>
      </c>
      <c r="F704">
        <f>_xlfn.XLOOKUP(C704,PM[Product ID],PM[Unit Price (₹)])</f>
        <v>6750</v>
      </c>
      <c r="G704" t="str">
        <f>_xlfn.XLOOKUP(Sales7[[#This Row],[Order ID]],ST[Order ID],ST[Employee ID])</f>
        <v>E01</v>
      </c>
      <c r="H704" t="str">
        <f>_xlfn.XLOOKUP(G704,SM[Employee ID],SM[Salesperson])</f>
        <v>Aarav Sharma</v>
      </c>
      <c r="I704" t="str">
        <f>_xlfn.XLOOKUP(G704,SM[Employee ID],SM[Region])</f>
        <v>North</v>
      </c>
      <c r="J704" t="str">
        <f>_xlfn.XLOOKUP(G704,SM[Employee ID],SM[State/City])</f>
        <v>Lucknow</v>
      </c>
      <c r="K704" s="2">
        <f>_xlfn.XLOOKUP(Sales7[[#This Row],[Order ID]],ST[Order ID],ST[Units Sold])</f>
        <v>2</v>
      </c>
      <c r="L704">
        <f t="shared" si="10"/>
        <v>13500</v>
      </c>
    </row>
    <row r="705" spans="1:12" x14ac:dyDescent="0.35">
      <c r="A705" s="7">
        <v>1681</v>
      </c>
      <c r="B705" s="1">
        <v>45625</v>
      </c>
      <c r="C705" s="2" t="s">
        <v>10</v>
      </c>
      <c r="D705" t="str">
        <f>_xlfn.XLOOKUP(Merged_Sales_Data!C705,PM[Product ID],PM[Product Name])</f>
        <v>Filing Cabinet</v>
      </c>
      <c r="E705" t="str">
        <f>VLOOKUP(C705,PM[],3,FALSE)</f>
        <v>Furniture</v>
      </c>
      <c r="F705">
        <f>_xlfn.XLOOKUP(C705,PM[Product ID],PM[Unit Price (₹)])</f>
        <v>4070</v>
      </c>
      <c r="G705" t="str">
        <f>_xlfn.XLOOKUP(Sales7[[#This Row],[Order ID]],ST[Order ID],ST[Employee ID])</f>
        <v>E04</v>
      </c>
      <c r="H705" t="str">
        <f>_xlfn.XLOOKUP(G705,SM[Employee ID],SM[Salesperson])</f>
        <v>Priya Nair</v>
      </c>
      <c r="I705" t="str">
        <f>_xlfn.XLOOKUP(G705,SM[Employee ID],SM[Region])</f>
        <v>South</v>
      </c>
      <c r="J705" t="str">
        <f>_xlfn.XLOOKUP(G705,SM[Employee ID],SM[State/City])</f>
        <v>Bengaluru</v>
      </c>
      <c r="K705" s="2">
        <f>_xlfn.XLOOKUP(Sales7[[#This Row],[Order ID]],ST[Order ID],ST[Units Sold])</f>
        <v>10</v>
      </c>
      <c r="L705">
        <f t="shared" si="10"/>
        <v>40700</v>
      </c>
    </row>
    <row r="706" spans="1:12" x14ac:dyDescent="0.35">
      <c r="A706" s="7">
        <v>1664</v>
      </c>
      <c r="B706" s="1">
        <v>45626</v>
      </c>
      <c r="C706" s="2" t="s">
        <v>18</v>
      </c>
      <c r="D706" t="str">
        <f>_xlfn.XLOOKUP(Merged_Sales_Data!C706,PM[Product ID],PM[Product Name])</f>
        <v>LED Monitor 24"</v>
      </c>
      <c r="E706" t="str">
        <f>VLOOKUP(C706,PM[],3,FALSE)</f>
        <v>Electronics</v>
      </c>
      <c r="F706">
        <f>_xlfn.XLOOKUP(C706,PM[Product ID],PM[Unit Price (₹)])</f>
        <v>7700</v>
      </c>
      <c r="G706" t="str">
        <f>_xlfn.XLOOKUP(Sales7[[#This Row],[Order ID]],ST[Order ID],ST[Employee ID])</f>
        <v>E07</v>
      </c>
      <c r="H706" t="str">
        <f>_xlfn.XLOOKUP(G706,SM[Employee ID],SM[Salesperson])</f>
        <v>Aditya Kapoor</v>
      </c>
      <c r="I706" t="str">
        <f>_xlfn.XLOOKUP(G706,SM[Employee ID],SM[Region])</f>
        <v>West</v>
      </c>
      <c r="J706" t="str">
        <f>_xlfn.XLOOKUP(G706,SM[Employee ID],SM[State/City])</f>
        <v>Mumbai</v>
      </c>
      <c r="K706" s="2">
        <f>_xlfn.XLOOKUP(Sales7[[#This Row],[Order ID]],ST[Order ID],ST[Units Sold])</f>
        <v>1</v>
      </c>
      <c r="L706">
        <f t="shared" si="10"/>
        <v>7700</v>
      </c>
    </row>
    <row r="707" spans="1:12" x14ac:dyDescent="0.35">
      <c r="A707" s="7">
        <v>1674</v>
      </c>
      <c r="B707" s="1">
        <v>45626</v>
      </c>
      <c r="C707" s="2" t="s">
        <v>11</v>
      </c>
      <c r="D707" t="str">
        <f>_xlfn.XLOOKUP(Merged_Sales_Data!C707,PM[Product ID],PM[Product Name])</f>
        <v>Bluetooth Speaker</v>
      </c>
      <c r="E707" t="str">
        <f>VLOOKUP(C707,PM[],3,FALSE)</f>
        <v>Electronics</v>
      </c>
      <c r="F707">
        <f>_xlfn.XLOOKUP(C707,PM[Product ID],PM[Unit Price (₹)])</f>
        <v>1430</v>
      </c>
      <c r="G707" t="str">
        <f>_xlfn.XLOOKUP(Sales7[[#This Row],[Order ID]],ST[Order ID],ST[Employee ID])</f>
        <v>E06</v>
      </c>
      <c r="H707" t="str">
        <f>_xlfn.XLOOKUP(G707,SM[Employee ID],SM[Salesperson])</f>
        <v>Sneha Roy</v>
      </c>
      <c r="I707" t="str">
        <f>_xlfn.XLOOKUP(G707,SM[Employee ID],SM[Region])</f>
        <v>East</v>
      </c>
      <c r="J707" t="str">
        <f>_xlfn.XLOOKUP(G707,SM[Employee ID],SM[State/City])</f>
        <v>Kolkata</v>
      </c>
      <c r="K707" s="2">
        <f>_xlfn.XLOOKUP(Sales7[[#This Row],[Order ID]],ST[Order ID],ST[Units Sold])</f>
        <v>6</v>
      </c>
      <c r="L707">
        <f t="shared" ref="L707:L743" si="11">F707*K707</f>
        <v>8580</v>
      </c>
    </row>
    <row r="708" spans="1:12" x14ac:dyDescent="0.35">
      <c r="A708" s="7">
        <v>1676</v>
      </c>
      <c r="B708" s="1">
        <v>45626</v>
      </c>
      <c r="C708" s="2" t="s">
        <v>20</v>
      </c>
      <c r="D708" t="str">
        <f>_xlfn.XLOOKUP(Merged_Sales_Data!C708,PM[Product ID],PM[Product Name])</f>
        <v>Standing Desk</v>
      </c>
      <c r="E708" t="str">
        <f>VLOOKUP(C708,PM[],3,FALSE)</f>
        <v>Office Supplies</v>
      </c>
      <c r="F708">
        <f>_xlfn.XLOOKUP(C708,PM[Product ID],PM[Unit Price (₹)])</f>
        <v>11010</v>
      </c>
      <c r="G708" t="str">
        <f>_xlfn.XLOOKUP(Sales7[[#This Row],[Order ID]],ST[Order ID],ST[Employee ID])</f>
        <v>E08</v>
      </c>
      <c r="H708" t="str">
        <f>_xlfn.XLOOKUP(G708,SM[Employee ID],SM[Salesperson])</f>
        <v>Neha Joshi</v>
      </c>
      <c r="I708" t="str">
        <f>_xlfn.XLOOKUP(G708,SM[Employee ID],SM[Region])</f>
        <v>West</v>
      </c>
      <c r="J708" t="str">
        <f>_xlfn.XLOOKUP(G708,SM[Employee ID],SM[State/City])</f>
        <v>Ahmedabad</v>
      </c>
      <c r="K708" s="2">
        <f>_xlfn.XLOOKUP(Sales7[[#This Row],[Order ID]],ST[Order ID],ST[Units Sold])</f>
        <v>1</v>
      </c>
      <c r="L708">
        <f t="shared" si="11"/>
        <v>11010</v>
      </c>
    </row>
    <row r="709" spans="1:12" x14ac:dyDescent="0.35">
      <c r="A709" s="7">
        <v>1679</v>
      </c>
      <c r="B709" s="1">
        <v>45626</v>
      </c>
      <c r="C709" s="2" t="s">
        <v>18</v>
      </c>
      <c r="D709" t="str">
        <f>_xlfn.XLOOKUP(Merged_Sales_Data!C709,PM[Product ID],PM[Product Name])</f>
        <v>LED Monitor 24"</v>
      </c>
      <c r="E709" t="str">
        <f>VLOOKUP(C709,PM[],3,FALSE)</f>
        <v>Electronics</v>
      </c>
      <c r="F709">
        <f>_xlfn.XLOOKUP(C709,PM[Product ID],PM[Unit Price (₹)])</f>
        <v>7700</v>
      </c>
      <c r="G709" t="str">
        <f>_xlfn.XLOOKUP(Sales7[[#This Row],[Order ID]],ST[Order ID],ST[Employee ID])</f>
        <v>E04</v>
      </c>
      <c r="H709" t="str">
        <f>_xlfn.XLOOKUP(G709,SM[Employee ID],SM[Salesperson])</f>
        <v>Priya Nair</v>
      </c>
      <c r="I709" t="str">
        <f>_xlfn.XLOOKUP(G709,SM[Employee ID],SM[Region])</f>
        <v>South</v>
      </c>
      <c r="J709" t="str">
        <f>_xlfn.XLOOKUP(G709,SM[Employee ID],SM[State/City])</f>
        <v>Bengaluru</v>
      </c>
      <c r="K709" s="2">
        <f>_xlfn.XLOOKUP(Sales7[[#This Row],[Order ID]],ST[Order ID],ST[Units Sold])</f>
        <v>4</v>
      </c>
      <c r="L709">
        <f t="shared" si="11"/>
        <v>30800</v>
      </c>
    </row>
    <row r="710" spans="1:12" x14ac:dyDescent="0.35">
      <c r="A710" s="7">
        <v>1714</v>
      </c>
      <c r="B710" s="1">
        <v>45630</v>
      </c>
      <c r="C710" s="2" t="s">
        <v>10</v>
      </c>
      <c r="D710" t="str">
        <f>_xlfn.XLOOKUP(Merged_Sales_Data!C710,PM[Product ID],PM[Product Name])</f>
        <v>Filing Cabinet</v>
      </c>
      <c r="E710" t="str">
        <f>VLOOKUP(C710,PM[],3,FALSE)</f>
        <v>Furniture</v>
      </c>
      <c r="F710">
        <f>_xlfn.XLOOKUP(C710,PM[Product ID],PM[Unit Price (₹)])</f>
        <v>4070</v>
      </c>
      <c r="G710" t="str">
        <f>_xlfn.XLOOKUP(Sales7[[#This Row],[Order ID]],ST[Order ID],ST[Employee ID])</f>
        <v>E05</v>
      </c>
      <c r="H710" t="str">
        <f>_xlfn.XLOOKUP(G710,SM[Employee ID],SM[Salesperson])</f>
        <v>Karan Malhotra</v>
      </c>
      <c r="I710" t="str">
        <f>_xlfn.XLOOKUP(G710,SM[Employee ID],SM[Region])</f>
        <v>East</v>
      </c>
      <c r="J710" t="str">
        <f>_xlfn.XLOOKUP(G710,SM[Employee ID],SM[State/City])</f>
        <v>Kolkata</v>
      </c>
      <c r="K710" s="2">
        <f>_xlfn.XLOOKUP(Sales7[[#This Row],[Order ID]],ST[Order ID],ST[Units Sold])</f>
        <v>3</v>
      </c>
      <c r="L710">
        <f t="shared" si="11"/>
        <v>12210</v>
      </c>
    </row>
    <row r="711" spans="1:12" x14ac:dyDescent="0.35">
      <c r="A711" s="7">
        <v>1727</v>
      </c>
      <c r="B711" s="1">
        <v>45630</v>
      </c>
      <c r="C711" s="2" t="s">
        <v>11</v>
      </c>
      <c r="D711" t="str">
        <f>_xlfn.XLOOKUP(Merged_Sales_Data!C711,PM[Product ID],PM[Product Name])</f>
        <v>Bluetooth Speaker</v>
      </c>
      <c r="E711" t="str">
        <f>VLOOKUP(C711,PM[],3,FALSE)</f>
        <v>Electronics</v>
      </c>
      <c r="F711">
        <f>_xlfn.XLOOKUP(C711,PM[Product ID],PM[Unit Price (₹)])</f>
        <v>1430</v>
      </c>
      <c r="G711" t="str">
        <f>_xlfn.XLOOKUP(Sales7[[#This Row],[Order ID]],ST[Order ID],ST[Employee ID])</f>
        <v>E07</v>
      </c>
      <c r="H711" t="str">
        <f>_xlfn.XLOOKUP(G711,SM[Employee ID],SM[Salesperson])</f>
        <v>Aditya Kapoor</v>
      </c>
      <c r="I711" t="str">
        <f>_xlfn.XLOOKUP(G711,SM[Employee ID],SM[Region])</f>
        <v>West</v>
      </c>
      <c r="J711" t="str">
        <f>_xlfn.XLOOKUP(G711,SM[Employee ID],SM[State/City])</f>
        <v>Mumbai</v>
      </c>
      <c r="K711" s="2">
        <f>_xlfn.XLOOKUP(Sales7[[#This Row],[Order ID]],ST[Order ID],ST[Units Sold])</f>
        <v>1</v>
      </c>
      <c r="L711">
        <f t="shared" si="11"/>
        <v>1430</v>
      </c>
    </row>
    <row r="712" spans="1:12" x14ac:dyDescent="0.35">
      <c r="A712" s="7">
        <v>1719</v>
      </c>
      <c r="B712" s="1">
        <v>45631</v>
      </c>
      <c r="C712" s="2" t="s">
        <v>20</v>
      </c>
      <c r="D712" t="str">
        <f>_xlfn.XLOOKUP(Merged_Sales_Data!C712,PM[Product ID],PM[Product Name])</f>
        <v>Standing Desk</v>
      </c>
      <c r="E712" t="str">
        <f>VLOOKUP(C712,PM[],3,FALSE)</f>
        <v>Office Supplies</v>
      </c>
      <c r="F712">
        <f>_xlfn.XLOOKUP(C712,PM[Product ID],PM[Unit Price (₹)])</f>
        <v>11010</v>
      </c>
      <c r="G712" t="str">
        <f>_xlfn.XLOOKUP(Sales7[[#This Row],[Order ID]],ST[Order ID],ST[Employee ID])</f>
        <v>E04</v>
      </c>
      <c r="H712" t="str">
        <f>_xlfn.XLOOKUP(G712,SM[Employee ID],SM[Salesperson])</f>
        <v>Priya Nair</v>
      </c>
      <c r="I712" t="str">
        <f>_xlfn.XLOOKUP(G712,SM[Employee ID],SM[Region])</f>
        <v>South</v>
      </c>
      <c r="J712" t="str">
        <f>_xlfn.XLOOKUP(G712,SM[Employee ID],SM[State/City])</f>
        <v>Bengaluru</v>
      </c>
      <c r="K712" s="2">
        <f>_xlfn.XLOOKUP(Sales7[[#This Row],[Order ID]],ST[Order ID],ST[Units Sold])</f>
        <v>10</v>
      </c>
      <c r="L712">
        <f t="shared" si="11"/>
        <v>110100</v>
      </c>
    </row>
    <row r="713" spans="1:12" x14ac:dyDescent="0.35">
      <c r="A713" s="7">
        <v>1711</v>
      </c>
      <c r="B713" s="1">
        <v>45632</v>
      </c>
      <c r="C713" s="2" t="s">
        <v>14</v>
      </c>
      <c r="D713" t="str">
        <f>_xlfn.XLOOKUP(Merged_Sales_Data!C713,PM[Product ID],PM[Product Name])</f>
        <v>Laptop Backpack</v>
      </c>
      <c r="E713" t="str">
        <f>VLOOKUP(C713,PM[],3,FALSE)</f>
        <v>Accessories</v>
      </c>
      <c r="F713">
        <f>_xlfn.XLOOKUP(C713,PM[Product ID],PM[Unit Price (₹)])</f>
        <v>1110</v>
      </c>
      <c r="G713" t="str">
        <f>_xlfn.XLOOKUP(Sales7[[#This Row],[Order ID]],ST[Order ID],ST[Employee ID])</f>
        <v>E04</v>
      </c>
      <c r="H713" t="str">
        <f>_xlfn.XLOOKUP(G713,SM[Employee ID],SM[Salesperson])</f>
        <v>Priya Nair</v>
      </c>
      <c r="I713" t="str">
        <f>_xlfn.XLOOKUP(G713,SM[Employee ID],SM[Region])</f>
        <v>South</v>
      </c>
      <c r="J713" t="str">
        <f>_xlfn.XLOOKUP(G713,SM[Employee ID],SM[State/City])</f>
        <v>Bengaluru</v>
      </c>
      <c r="K713" s="2">
        <f>_xlfn.XLOOKUP(Sales7[[#This Row],[Order ID]],ST[Order ID],ST[Units Sold])</f>
        <v>3</v>
      </c>
      <c r="L713">
        <f t="shared" si="11"/>
        <v>3330</v>
      </c>
    </row>
    <row r="714" spans="1:12" x14ac:dyDescent="0.35">
      <c r="A714" s="7">
        <v>1739</v>
      </c>
      <c r="B714" s="1">
        <v>45632</v>
      </c>
      <c r="C714" s="2" t="s">
        <v>5</v>
      </c>
      <c r="D714" t="str">
        <f>_xlfn.XLOOKUP(Merged_Sales_Data!C714,PM[Product ID],PM[Product Name])</f>
        <v>Ergo Office Chair</v>
      </c>
      <c r="E714" t="str">
        <f>VLOOKUP(C714,PM[],3,FALSE)</f>
        <v>Office Supplies</v>
      </c>
      <c r="F714">
        <f>_xlfn.XLOOKUP(C714,PM[Product ID],PM[Unit Price (₹)])</f>
        <v>6750</v>
      </c>
      <c r="G714" t="str">
        <f>_xlfn.XLOOKUP(Sales7[[#This Row],[Order ID]],ST[Order ID],ST[Employee ID])</f>
        <v>E03</v>
      </c>
      <c r="H714" t="str">
        <f>_xlfn.XLOOKUP(G714,SM[Employee ID],SM[Salesperson])</f>
        <v>Rohan Mehta</v>
      </c>
      <c r="I714" t="str">
        <f>_xlfn.XLOOKUP(G714,SM[Employee ID],SM[Region])</f>
        <v>South</v>
      </c>
      <c r="J714" t="str">
        <f>_xlfn.XLOOKUP(G714,SM[Employee ID],SM[State/City])</f>
        <v>Bengaluru</v>
      </c>
      <c r="K714" s="2">
        <f>_xlfn.XLOOKUP(Sales7[[#This Row],[Order ID]],ST[Order ID],ST[Units Sold])</f>
        <v>6</v>
      </c>
      <c r="L714">
        <f t="shared" si="11"/>
        <v>40500</v>
      </c>
    </row>
    <row r="715" spans="1:12" x14ac:dyDescent="0.35">
      <c r="A715" s="7">
        <v>1718</v>
      </c>
      <c r="B715" s="1">
        <v>45636</v>
      </c>
      <c r="C715" s="2" t="s">
        <v>18</v>
      </c>
      <c r="D715" t="str">
        <f>_xlfn.XLOOKUP(Merged_Sales_Data!C715,PM[Product ID],PM[Product Name])</f>
        <v>LED Monitor 24"</v>
      </c>
      <c r="E715" t="str">
        <f>VLOOKUP(C715,PM[],3,FALSE)</f>
        <v>Electronics</v>
      </c>
      <c r="F715">
        <f>_xlfn.XLOOKUP(C715,PM[Product ID],PM[Unit Price (₹)])</f>
        <v>7700</v>
      </c>
      <c r="G715" t="str">
        <f>_xlfn.XLOOKUP(Sales7[[#This Row],[Order ID]],ST[Order ID],ST[Employee ID])</f>
        <v>E08</v>
      </c>
      <c r="H715" t="str">
        <f>_xlfn.XLOOKUP(G715,SM[Employee ID],SM[Salesperson])</f>
        <v>Neha Joshi</v>
      </c>
      <c r="I715" t="str">
        <f>_xlfn.XLOOKUP(G715,SM[Employee ID],SM[Region])</f>
        <v>West</v>
      </c>
      <c r="J715" t="str">
        <f>_xlfn.XLOOKUP(G715,SM[Employee ID],SM[State/City])</f>
        <v>Ahmedabad</v>
      </c>
      <c r="K715" s="2">
        <f>_xlfn.XLOOKUP(Sales7[[#This Row],[Order ID]],ST[Order ID],ST[Units Sold])</f>
        <v>10</v>
      </c>
      <c r="L715">
        <f t="shared" si="11"/>
        <v>77000</v>
      </c>
    </row>
    <row r="716" spans="1:12" x14ac:dyDescent="0.35">
      <c r="A716" s="7">
        <v>1731</v>
      </c>
      <c r="B716" s="1">
        <v>45636</v>
      </c>
      <c r="C716" s="2" t="s">
        <v>14</v>
      </c>
      <c r="D716" t="str">
        <f>_xlfn.XLOOKUP(Merged_Sales_Data!C716,PM[Product ID],PM[Product Name])</f>
        <v>Laptop Backpack</v>
      </c>
      <c r="E716" t="str">
        <f>VLOOKUP(C716,PM[],3,FALSE)</f>
        <v>Accessories</v>
      </c>
      <c r="F716">
        <f>_xlfn.XLOOKUP(C716,PM[Product ID],PM[Unit Price (₹)])</f>
        <v>1110</v>
      </c>
      <c r="G716" t="str">
        <f>_xlfn.XLOOKUP(Sales7[[#This Row],[Order ID]],ST[Order ID],ST[Employee ID])</f>
        <v>E01</v>
      </c>
      <c r="H716" t="str">
        <f>_xlfn.XLOOKUP(G716,SM[Employee ID],SM[Salesperson])</f>
        <v>Aarav Sharma</v>
      </c>
      <c r="I716" t="str">
        <f>_xlfn.XLOOKUP(G716,SM[Employee ID],SM[Region])</f>
        <v>North</v>
      </c>
      <c r="J716" t="str">
        <f>_xlfn.XLOOKUP(G716,SM[Employee ID],SM[State/City])</f>
        <v>Lucknow</v>
      </c>
      <c r="K716" s="2">
        <f>_xlfn.XLOOKUP(Sales7[[#This Row],[Order ID]],ST[Order ID],ST[Units Sold])</f>
        <v>1</v>
      </c>
      <c r="L716">
        <f t="shared" si="11"/>
        <v>1110</v>
      </c>
    </row>
    <row r="717" spans="1:12" x14ac:dyDescent="0.35">
      <c r="A717" s="7">
        <v>1736</v>
      </c>
      <c r="B717" s="1">
        <v>45636</v>
      </c>
      <c r="C717" s="2" t="s">
        <v>12</v>
      </c>
      <c r="D717" t="str">
        <f>_xlfn.XLOOKUP(Merged_Sales_Data!C717,PM[Product ID],PM[Product Name])</f>
        <v>Bookshelf Unit</v>
      </c>
      <c r="E717" t="str">
        <f>VLOOKUP(C717,PM[],3,FALSE)</f>
        <v>Furniture</v>
      </c>
      <c r="F717">
        <f>_xlfn.XLOOKUP(C717,PM[Product ID],PM[Unit Price (₹)])</f>
        <v>3910</v>
      </c>
      <c r="G717" t="str">
        <f>_xlfn.XLOOKUP(Sales7[[#This Row],[Order ID]],ST[Order ID],ST[Employee ID])</f>
        <v>E08</v>
      </c>
      <c r="H717" t="str">
        <f>_xlfn.XLOOKUP(G717,SM[Employee ID],SM[Salesperson])</f>
        <v>Neha Joshi</v>
      </c>
      <c r="I717" t="str">
        <f>_xlfn.XLOOKUP(G717,SM[Employee ID],SM[Region])</f>
        <v>West</v>
      </c>
      <c r="J717" t="str">
        <f>_xlfn.XLOOKUP(G717,SM[Employee ID],SM[State/City])</f>
        <v>Ahmedabad</v>
      </c>
      <c r="K717" s="2">
        <f>_xlfn.XLOOKUP(Sales7[[#This Row],[Order ID]],ST[Order ID],ST[Units Sold])</f>
        <v>1</v>
      </c>
      <c r="L717">
        <f t="shared" si="11"/>
        <v>3910</v>
      </c>
    </row>
    <row r="718" spans="1:12" x14ac:dyDescent="0.35">
      <c r="A718" s="7">
        <v>1709</v>
      </c>
      <c r="B718" s="1">
        <v>45637</v>
      </c>
      <c r="C718" s="2" t="s">
        <v>12</v>
      </c>
      <c r="D718" t="str">
        <f>_xlfn.XLOOKUP(Merged_Sales_Data!C718,PM[Product ID],PM[Product Name])</f>
        <v>Bookshelf Unit</v>
      </c>
      <c r="E718" t="str">
        <f>VLOOKUP(C718,PM[],3,FALSE)</f>
        <v>Furniture</v>
      </c>
      <c r="F718">
        <f>_xlfn.XLOOKUP(C718,PM[Product ID],PM[Unit Price (₹)])</f>
        <v>3910</v>
      </c>
      <c r="G718" t="str">
        <f>_xlfn.XLOOKUP(Sales7[[#This Row],[Order ID]],ST[Order ID],ST[Employee ID])</f>
        <v>E07</v>
      </c>
      <c r="H718" t="str">
        <f>_xlfn.XLOOKUP(G718,SM[Employee ID],SM[Salesperson])</f>
        <v>Aditya Kapoor</v>
      </c>
      <c r="I718" t="str">
        <f>_xlfn.XLOOKUP(G718,SM[Employee ID],SM[Region])</f>
        <v>West</v>
      </c>
      <c r="J718" t="str">
        <f>_xlfn.XLOOKUP(G718,SM[Employee ID],SM[State/City])</f>
        <v>Mumbai</v>
      </c>
      <c r="K718" s="2">
        <f>_xlfn.XLOOKUP(Sales7[[#This Row],[Order ID]],ST[Order ID],ST[Units Sold])</f>
        <v>5</v>
      </c>
      <c r="L718">
        <f t="shared" si="11"/>
        <v>19550</v>
      </c>
    </row>
    <row r="719" spans="1:12" x14ac:dyDescent="0.35">
      <c r="A719" s="7">
        <v>1710</v>
      </c>
      <c r="B719" s="1">
        <v>45637</v>
      </c>
      <c r="C719" s="2" t="s">
        <v>18</v>
      </c>
      <c r="D719" t="str">
        <f>_xlfn.XLOOKUP(Merged_Sales_Data!C719,PM[Product ID],PM[Product Name])</f>
        <v>LED Monitor 24"</v>
      </c>
      <c r="E719" t="str">
        <f>VLOOKUP(C719,PM[],3,FALSE)</f>
        <v>Electronics</v>
      </c>
      <c r="F719">
        <f>_xlfn.XLOOKUP(C719,PM[Product ID],PM[Unit Price (₹)])</f>
        <v>7700</v>
      </c>
      <c r="G719" t="str">
        <f>_xlfn.XLOOKUP(Sales7[[#This Row],[Order ID]],ST[Order ID],ST[Employee ID])</f>
        <v>E07</v>
      </c>
      <c r="H719" t="str">
        <f>_xlfn.XLOOKUP(G719,SM[Employee ID],SM[Salesperson])</f>
        <v>Aditya Kapoor</v>
      </c>
      <c r="I719" t="str">
        <f>_xlfn.XLOOKUP(G719,SM[Employee ID],SM[Region])</f>
        <v>West</v>
      </c>
      <c r="J719" t="str">
        <f>_xlfn.XLOOKUP(G719,SM[Employee ID],SM[State/City])</f>
        <v>Mumbai</v>
      </c>
      <c r="K719" s="2">
        <f>_xlfn.XLOOKUP(Sales7[[#This Row],[Order ID]],ST[Order ID],ST[Units Sold])</f>
        <v>2</v>
      </c>
      <c r="L719">
        <f t="shared" si="11"/>
        <v>15400</v>
      </c>
    </row>
    <row r="720" spans="1:12" x14ac:dyDescent="0.35">
      <c r="A720" s="7">
        <v>1733</v>
      </c>
      <c r="B720" s="1">
        <v>45637</v>
      </c>
      <c r="C720" s="2" t="s">
        <v>12</v>
      </c>
      <c r="D720" t="str">
        <f>_xlfn.XLOOKUP(Merged_Sales_Data!C720,PM[Product ID],PM[Product Name])</f>
        <v>Bookshelf Unit</v>
      </c>
      <c r="E720" t="str">
        <f>VLOOKUP(C720,PM[],3,FALSE)</f>
        <v>Furniture</v>
      </c>
      <c r="F720">
        <f>_xlfn.XLOOKUP(C720,PM[Product ID],PM[Unit Price (₹)])</f>
        <v>3910</v>
      </c>
      <c r="G720" t="str">
        <f>_xlfn.XLOOKUP(Sales7[[#This Row],[Order ID]],ST[Order ID],ST[Employee ID])</f>
        <v>E03</v>
      </c>
      <c r="H720" t="str">
        <f>_xlfn.XLOOKUP(G720,SM[Employee ID],SM[Salesperson])</f>
        <v>Rohan Mehta</v>
      </c>
      <c r="I720" t="str">
        <f>_xlfn.XLOOKUP(G720,SM[Employee ID],SM[Region])</f>
        <v>South</v>
      </c>
      <c r="J720" t="str">
        <f>_xlfn.XLOOKUP(G720,SM[Employee ID],SM[State/City])</f>
        <v>Bengaluru</v>
      </c>
      <c r="K720" s="2">
        <f>_xlfn.XLOOKUP(Sales7[[#This Row],[Order ID]],ST[Order ID],ST[Units Sold])</f>
        <v>2</v>
      </c>
      <c r="L720">
        <f t="shared" si="11"/>
        <v>7820</v>
      </c>
    </row>
    <row r="721" spans="1:12" x14ac:dyDescent="0.35">
      <c r="A721" s="7">
        <v>1730</v>
      </c>
      <c r="B721" s="1">
        <v>45638</v>
      </c>
      <c r="C721" s="2" t="s">
        <v>8</v>
      </c>
      <c r="D721" t="str">
        <f>_xlfn.XLOOKUP(Merged_Sales_Data!C721,PM[Product ID],PM[Product Name])</f>
        <v>USB-C Hub</v>
      </c>
      <c r="E721" t="str">
        <f>VLOOKUP(C721,PM[],3,FALSE)</f>
        <v>Accessories</v>
      </c>
      <c r="F721">
        <f>_xlfn.XLOOKUP(C721,PM[Product ID],PM[Unit Price (₹)])</f>
        <v>880</v>
      </c>
      <c r="G721" t="str">
        <f>_xlfn.XLOOKUP(Sales7[[#This Row],[Order ID]],ST[Order ID],ST[Employee ID])</f>
        <v>E08</v>
      </c>
      <c r="H721" t="str">
        <f>_xlfn.XLOOKUP(G721,SM[Employee ID],SM[Salesperson])</f>
        <v>Neha Joshi</v>
      </c>
      <c r="I721" t="str">
        <f>_xlfn.XLOOKUP(G721,SM[Employee ID],SM[Region])</f>
        <v>West</v>
      </c>
      <c r="J721" t="str">
        <f>_xlfn.XLOOKUP(G721,SM[Employee ID],SM[State/City])</f>
        <v>Ahmedabad</v>
      </c>
      <c r="K721" s="2">
        <f>_xlfn.XLOOKUP(Sales7[[#This Row],[Order ID]],ST[Order ID],ST[Units Sold])</f>
        <v>1</v>
      </c>
      <c r="L721">
        <f t="shared" si="11"/>
        <v>880</v>
      </c>
    </row>
    <row r="722" spans="1:12" x14ac:dyDescent="0.35">
      <c r="A722" s="7">
        <v>1713</v>
      </c>
      <c r="B722" s="1">
        <v>45639</v>
      </c>
      <c r="C722" s="2" t="s">
        <v>5</v>
      </c>
      <c r="D722" t="str">
        <f>_xlfn.XLOOKUP(Merged_Sales_Data!C722,PM[Product ID],PM[Product Name])</f>
        <v>Ergo Office Chair</v>
      </c>
      <c r="E722" t="str">
        <f>VLOOKUP(C722,PM[],3,FALSE)</f>
        <v>Office Supplies</v>
      </c>
      <c r="F722">
        <f>_xlfn.XLOOKUP(C722,PM[Product ID],PM[Unit Price (₹)])</f>
        <v>6750</v>
      </c>
      <c r="G722" t="str">
        <f>_xlfn.XLOOKUP(Sales7[[#This Row],[Order ID]],ST[Order ID],ST[Employee ID])</f>
        <v>E08</v>
      </c>
      <c r="H722" t="str">
        <f>_xlfn.XLOOKUP(G722,SM[Employee ID],SM[Salesperson])</f>
        <v>Neha Joshi</v>
      </c>
      <c r="I722" t="str">
        <f>_xlfn.XLOOKUP(G722,SM[Employee ID],SM[Region])</f>
        <v>West</v>
      </c>
      <c r="J722" t="str">
        <f>_xlfn.XLOOKUP(G722,SM[Employee ID],SM[State/City])</f>
        <v>Ahmedabad</v>
      </c>
      <c r="K722" s="2">
        <f>_xlfn.XLOOKUP(Sales7[[#This Row],[Order ID]],ST[Order ID],ST[Units Sold])</f>
        <v>3</v>
      </c>
      <c r="L722">
        <f t="shared" si="11"/>
        <v>20250</v>
      </c>
    </row>
    <row r="723" spans="1:12" x14ac:dyDescent="0.35">
      <c r="A723" s="7">
        <v>1729</v>
      </c>
      <c r="B723" s="1">
        <v>45639</v>
      </c>
      <c r="C723" s="2" t="s">
        <v>14</v>
      </c>
      <c r="D723" t="str">
        <f>_xlfn.XLOOKUP(Merged_Sales_Data!C723,PM[Product ID],PM[Product Name])</f>
        <v>Laptop Backpack</v>
      </c>
      <c r="E723" t="str">
        <f>VLOOKUP(C723,PM[],3,FALSE)</f>
        <v>Accessories</v>
      </c>
      <c r="F723">
        <f>_xlfn.XLOOKUP(C723,PM[Product ID],PM[Unit Price (₹)])</f>
        <v>1110</v>
      </c>
      <c r="G723" t="str">
        <f>_xlfn.XLOOKUP(Sales7[[#This Row],[Order ID]],ST[Order ID],ST[Employee ID])</f>
        <v>E04</v>
      </c>
      <c r="H723" t="str">
        <f>_xlfn.XLOOKUP(G723,SM[Employee ID],SM[Salesperson])</f>
        <v>Priya Nair</v>
      </c>
      <c r="I723" t="str">
        <f>_xlfn.XLOOKUP(G723,SM[Employee ID],SM[Region])</f>
        <v>South</v>
      </c>
      <c r="J723" t="str">
        <f>_xlfn.XLOOKUP(G723,SM[Employee ID],SM[State/City])</f>
        <v>Bengaluru</v>
      </c>
      <c r="K723" s="2">
        <f>_xlfn.XLOOKUP(Sales7[[#This Row],[Order ID]],ST[Order ID],ST[Units Sold])</f>
        <v>3</v>
      </c>
      <c r="L723">
        <f t="shared" si="11"/>
        <v>3330</v>
      </c>
    </row>
    <row r="724" spans="1:12" x14ac:dyDescent="0.35">
      <c r="A724" s="7">
        <v>1740</v>
      </c>
      <c r="B724" s="1">
        <v>45640</v>
      </c>
      <c r="C724" s="2" t="s">
        <v>12</v>
      </c>
      <c r="D724" t="str">
        <f>_xlfn.XLOOKUP(Merged_Sales_Data!C724,PM[Product ID],PM[Product Name])</f>
        <v>Bookshelf Unit</v>
      </c>
      <c r="E724" t="str">
        <f>VLOOKUP(C724,PM[],3,FALSE)</f>
        <v>Furniture</v>
      </c>
      <c r="F724">
        <f>_xlfn.XLOOKUP(C724,PM[Product ID],PM[Unit Price (₹)])</f>
        <v>3910</v>
      </c>
      <c r="G724" t="str">
        <f>_xlfn.XLOOKUP(Sales7[[#This Row],[Order ID]],ST[Order ID],ST[Employee ID])</f>
        <v>E03</v>
      </c>
      <c r="H724" t="str">
        <f>_xlfn.XLOOKUP(G724,SM[Employee ID],SM[Salesperson])</f>
        <v>Rohan Mehta</v>
      </c>
      <c r="I724" t="str">
        <f>_xlfn.XLOOKUP(G724,SM[Employee ID],SM[Region])</f>
        <v>South</v>
      </c>
      <c r="J724" t="str">
        <f>_xlfn.XLOOKUP(G724,SM[Employee ID],SM[State/City])</f>
        <v>Bengaluru</v>
      </c>
      <c r="K724" s="2">
        <f>_xlfn.XLOOKUP(Sales7[[#This Row],[Order ID]],ST[Order ID],ST[Units Sold])</f>
        <v>6</v>
      </c>
      <c r="L724">
        <f t="shared" si="11"/>
        <v>23460</v>
      </c>
    </row>
    <row r="725" spans="1:12" x14ac:dyDescent="0.35">
      <c r="A725" s="7">
        <v>1716</v>
      </c>
      <c r="B725" s="1">
        <v>45641</v>
      </c>
      <c r="C725" s="2" t="s">
        <v>14</v>
      </c>
      <c r="D725" t="str">
        <f>_xlfn.XLOOKUP(Merged_Sales_Data!C725,PM[Product ID],PM[Product Name])</f>
        <v>Laptop Backpack</v>
      </c>
      <c r="E725" t="str">
        <f>VLOOKUP(C725,PM[],3,FALSE)</f>
        <v>Accessories</v>
      </c>
      <c r="F725">
        <f>_xlfn.XLOOKUP(C725,PM[Product ID],PM[Unit Price (₹)])</f>
        <v>1110</v>
      </c>
      <c r="G725" t="str">
        <f>_xlfn.XLOOKUP(Sales7[[#This Row],[Order ID]],ST[Order ID],ST[Employee ID])</f>
        <v>E01</v>
      </c>
      <c r="H725" t="str">
        <f>_xlfn.XLOOKUP(G725,SM[Employee ID],SM[Salesperson])</f>
        <v>Aarav Sharma</v>
      </c>
      <c r="I725" t="str">
        <f>_xlfn.XLOOKUP(G725,SM[Employee ID],SM[Region])</f>
        <v>North</v>
      </c>
      <c r="J725" t="str">
        <f>_xlfn.XLOOKUP(G725,SM[Employee ID],SM[State/City])</f>
        <v>Lucknow</v>
      </c>
      <c r="K725" s="2">
        <f>_xlfn.XLOOKUP(Sales7[[#This Row],[Order ID]],ST[Order ID],ST[Units Sold])</f>
        <v>2</v>
      </c>
      <c r="L725">
        <f t="shared" si="11"/>
        <v>2220</v>
      </c>
    </row>
    <row r="726" spans="1:12" x14ac:dyDescent="0.35">
      <c r="A726" s="7">
        <v>1720</v>
      </c>
      <c r="B726" s="1">
        <v>45641</v>
      </c>
      <c r="C726" s="2" t="s">
        <v>10</v>
      </c>
      <c r="D726" t="str">
        <f>_xlfn.XLOOKUP(Merged_Sales_Data!C726,PM[Product ID],PM[Product Name])</f>
        <v>Filing Cabinet</v>
      </c>
      <c r="E726" t="str">
        <f>VLOOKUP(C726,PM[],3,FALSE)</f>
        <v>Furniture</v>
      </c>
      <c r="F726">
        <f>_xlfn.XLOOKUP(C726,PM[Product ID],PM[Unit Price (₹)])</f>
        <v>4070</v>
      </c>
      <c r="G726" t="str">
        <f>_xlfn.XLOOKUP(Sales7[[#This Row],[Order ID]],ST[Order ID],ST[Employee ID])</f>
        <v>E07</v>
      </c>
      <c r="H726" t="str">
        <f>_xlfn.XLOOKUP(G726,SM[Employee ID],SM[Salesperson])</f>
        <v>Aditya Kapoor</v>
      </c>
      <c r="I726" t="str">
        <f>_xlfn.XLOOKUP(G726,SM[Employee ID],SM[Region])</f>
        <v>West</v>
      </c>
      <c r="J726" t="str">
        <f>_xlfn.XLOOKUP(G726,SM[Employee ID],SM[State/City])</f>
        <v>Mumbai</v>
      </c>
      <c r="K726" s="2">
        <f>_xlfn.XLOOKUP(Sales7[[#This Row],[Order ID]],ST[Order ID],ST[Units Sold])</f>
        <v>1</v>
      </c>
      <c r="L726">
        <f t="shared" si="11"/>
        <v>4070</v>
      </c>
    </row>
    <row r="727" spans="1:12" x14ac:dyDescent="0.35">
      <c r="A727" s="7">
        <v>1735</v>
      </c>
      <c r="B727" s="1">
        <v>45641</v>
      </c>
      <c r="C727" s="2" t="s">
        <v>14</v>
      </c>
      <c r="D727" t="str">
        <f>_xlfn.XLOOKUP(Merged_Sales_Data!C727,PM[Product ID],PM[Product Name])</f>
        <v>Laptop Backpack</v>
      </c>
      <c r="E727" t="str">
        <f>VLOOKUP(C727,PM[],3,FALSE)</f>
        <v>Accessories</v>
      </c>
      <c r="F727">
        <f>_xlfn.XLOOKUP(C727,PM[Product ID],PM[Unit Price (₹)])</f>
        <v>1110</v>
      </c>
      <c r="G727" t="str">
        <f>_xlfn.XLOOKUP(Sales7[[#This Row],[Order ID]],ST[Order ID],ST[Employee ID])</f>
        <v>E06</v>
      </c>
      <c r="H727" t="str">
        <f>_xlfn.XLOOKUP(G727,SM[Employee ID],SM[Salesperson])</f>
        <v>Sneha Roy</v>
      </c>
      <c r="I727" t="str">
        <f>_xlfn.XLOOKUP(G727,SM[Employee ID],SM[Region])</f>
        <v>East</v>
      </c>
      <c r="J727" t="str">
        <f>_xlfn.XLOOKUP(G727,SM[Employee ID],SM[State/City])</f>
        <v>Kolkata</v>
      </c>
      <c r="K727" s="2">
        <f>_xlfn.XLOOKUP(Sales7[[#This Row],[Order ID]],ST[Order ID],ST[Units Sold])</f>
        <v>1</v>
      </c>
      <c r="L727">
        <f t="shared" si="11"/>
        <v>1110</v>
      </c>
    </row>
    <row r="728" spans="1:12" x14ac:dyDescent="0.35">
      <c r="A728" s="7">
        <v>1734</v>
      </c>
      <c r="B728" s="1">
        <v>45642</v>
      </c>
      <c r="C728" s="2" t="s">
        <v>5</v>
      </c>
      <c r="D728" t="str">
        <f>_xlfn.XLOOKUP(Merged_Sales_Data!C728,PM[Product ID],PM[Product Name])</f>
        <v>Ergo Office Chair</v>
      </c>
      <c r="E728" t="str">
        <f>VLOOKUP(C728,PM[],3,FALSE)</f>
        <v>Office Supplies</v>
      </c>
      <c r="F728">
        <f>_xlfn.XLOOKUP(C728,PM[Product ID],PM[Unit Price (₹)])</f>
        <v>6750</v>
      </c>
      <c r="G728" t="str">
        <f>_xlfn.XLOOKUP(Sales7[[#This Row],[Order ID]],ST[Order ID],ST[Employee ID])</f>
        <v>E08</v>
      </c>
      <c r="H728" t="str">
        <f>_xlfn.XLOOKUP(G728,SM[Employee ID],SM[Salesperson])</f>
        <v>Neha Joshi</v>
      </c>
      <c r="I728" t="str">
        <f>_xlfn.XLOOKUP(G728,SM[Employee ID],SM[Region])</f>
        <v>West</v>
      </c>
      <c r="J728" t="str">
        <f>_xlfn.XLOOKUP(G728,SM[Employee ID],SM[State/City])</f>
        <v>Ahmedabad</v>
      </c>
      <c r="K728" s="2">
        <f>_xlfn.XLOOKUP(Sales7[[#This Row],[Order ID]],ST[Order ID],ST[Units Sold])</f>
        <v>6</v>
      </c>
      <c r="L728">
        <f t="shared" si="11"/>
        <v>40500</v>
      </c>
    </row>
    <row r="729" spans="1:12" x14ac:dyDescent="0.35">
      <c r="A729" s="7">
        <v>1721</v>
      </c>
      <c r="B729" s="1">
        <v>45643</v>
      </c>
      <c r="C729" s="2" t="s">
        <v>10</v>
      </c>
      <c r="D729" t="str">
        <f>_xlfn.XLOOKUP(Merged_Sales_Data!C729,PM[Product ID],PM[Product Name])</f>
        <v>Filing Cabinet</v>
      </c>
      <c r="E729" t="str">
        <f>VLOOKUP(C729,PM[],3,FALSE)</f>
        <v>Furniture</v>
      </c>
      <c r="F729">
        <f>_xlfn.XLOOKUP(C729,PM[Product ID],PM[Unit Price (₹)])</f>
        <v>4070</v>
      </c>
      <c r="G729" t="str">
        <f>_xlfn.XLOOKUP(Sales7[[#This Row],[Order ID]],ST[Order ID],ST[Employee ID])</f>
        <v>E08</v>
      </c>
      <c r="H729" t="str">
        <f>_xlfn.XLOOKUP(G729,SM[Employee ID],SM[Salesperson])</f>
        <v>Neha Joshi</v>
      </c>
      <c r="I729" t="str">
        <f>_xlfn.XLOOKUP(G729,SM[Employee ID],SM[Region])</f>
        <v>West</v>
      </c>
      <c r="J729" t="str">
        <f>_xlfn.XLOOKUP(G729,SM[Employee ID],SM[State/City])</f>
        <v>Ahmedabad</v>
      </c>
      <c r="K729" s="2">
        <f>_xlfn.XLOOKUP(Sales7[[#This Row],[Order ID]],ST[Order ID],ST[Units Sold])</f>
        <v>6</v>
      </c>
      <c r="L729">
        <f t="shared" si="11"/>
        <v>24420</v>
      </c>
    </row>
    <row r="730" spans="1:12" x14ac:dyDescent="0.35">
      <c r="A730" s="7">
        <v>1725</v>
      </c>
      <c r="B730" s="1">
        <v>45646</v>
      </c>
      <c r="C730" s="2" t="s">
        <v>18</v>
      </c>
      <c r="D730" t="str">
        <f>_xlfn.XLOOKUP(Merged_Sales_Data!C730,PM[Product ID],PM[Product Name])</f>
        <v>LED Monitor 24"</v>
      </c>
      <c r="E730" t="str">
        <f>VLOOKUP(C730,PM[],3,FALSE)</f>
        <v>Electronics</v>
      </c>
      <c r="F730">
        <f>_xlfn.XLOOKUP(C730,PM[Product ID],PM[Unit Price (₹)])</f>
        <v>7700</v>
      </c>
      <c r="G730" t="str">
        <f>_xlfn.XLOOKUP(Sales7[[#This Row],[Order ID]],ST[Order ID],ST[Employee ID])</f>
        <v>E06</v>
      </c>
      <c r="H730" t="str">
        <f>_xlfn.XLOOKUP(G730,SM[Employee ID],SM[Salesperson])</f>
        <v>Sneha Roy</v>
      </c>
      <c r="I730" t="str">
        <f>_xlfn.XLOOKUP(G730,SM[Employee ID],SM[Region])</f>
        <v>East</v>
      </c>
      <c r="J730" t="str">
        <f>_xlfn.XLOOKUP(G730,SM[Employee ID],SM[State/City])</f>
        <v>Kolkata</v>
      </c>
      <c r="K730" s="2">
        <f>_xlfn.XLOOKUP(Sales7[[#This Row],[Order ID]],ST[Order ID],ST[Units Sold])</f>
        <v>10</v>
      </c>
      <c r="L730">
        <f t="shared" si="11"/>
        <v>77000</v>
      </c>
    </row>
    <row r="731" spans="1:12" x14ac:dyDescent="0.35">
      <c r="A731" s="7">
        <v>1723</v>
      </c>
      <c r="B731" s="1">
        <v>45647</v>
      </c>
      <c r="C731" s="2" t="s">
        <v>8</v>
      </c>
      <c r="D731" t="str">
        <f>_xlfn.XLOOKUP(Merged_Sales_Data!C731,PM[Product ID],PM[Product Name])</f>
        <v>USB-C Hub</v>
      </c>
      <c r="E731" t="str">
        <f>VLOOKUP(C731,PM[],3,FALSE)</f>
        <v>Accessories</v>
      </c>
      <c r="F731">
        <f>_xlfn.XLOOKUP(C731,PM[Product ID],PM[Unit Price (₹)])</f>
        <v>880</v>
      </c>
      <c r="G731" t="str">
        <f>_xlfn.XLOOKUP(Sales7[[#This Row],[Order ID]],ST[Order ID],ST[Employee ID])</f>
        <v>E06</v>
      </c>
      <c r="H731" t="str">
        <f>_xlfn.XLOOKUP(G731,SM[Employee ID],SM[Salesperson])</f>
        <v>Sneha Roy</v>
      </c>
      <c r="I731" t="str">
        <f>_xlfn.XLOOKUP(G731,SM[Employee ID],SM[Region])</f>
        <v>East</v>
      </c>
      <c r="J731" t="str">
        <f>_xlfn.XLOOKUP(G731,SM[Employee ID],SM[State/City])</f>
        <v>Kolkata</v>
      </c>
      <c r="K731" s="2">
        <f>_xlfn.XLOOKUP(Sales7[[#This Row],[Order ID]],ST[Order ID],ST[Units Sold])</f>
        <v>8</v>
      </c>
      <c r="L731">
        <f t="shared" si="11"/>
        <v>7040</v>
      </c>
    </row>
    <row r="732" spans="1:12" x14ac:dyDescent="0.35">
      <c r="A732" s="7">
        <v>1741</v>
      </c>
      <c r="B732" s="1">
        <v>45647</v>
      </c>
      <c r="C732" s="2" t="s">
        <v>5</v>
      </c>
      <c r="D732" t="str">
        <f>_xlfn.XLOOKUP(Merged_Sales_Data!C732,PM[Product ID],PM[Product Name])</f>
        <v>Ergo Office Chair</v>
      </c>
      <c r="E732" t="str">
        <f>VLOOKUP(C732,PM[],3,FALSE)</f>
        <v>Office Supplies</v>
      </c>
      <c r="F732">
        <f>_xlfn.XLOOKUP(C732,PM[Product ID],PM[Unit Price (₹)])</f>
        <v>6750</v>
      </c>
      <c r="G732" t="str">
        <f>_xlfn.XLOOKUP(Sales7[[#This Row],[Order ID]],ST[Order ID],ST[Employee ID])</f>
        <v>E08</v>
      </c>
      <c r="H732" t="str">
        <f>_xlfn.XLOOKUP(G732,SM[Employee ID],SM[Salesperson])</f>
        <v>Neha Joshi</v>
      </c>
      <c r="I732" t="str">
        <f>_xlfn.XLOOKUP(G732,SM[Employee ID],SM[Region])</f>
        <v>West</v>
      </c>
      <c r="J732" t="str">
        <f>_xlfn.XLOOKUP(G732,SM[Employee ID],SM[State/City])</f>
        <v>Ahmedabad</v>
      </c>
      <c r="K732" s="2">
        <f>_xlfn.XLOOKUP(Sales7[[#This Row],[Order ID]],ST[Order ID],ST[Units Sold])</f>
        <v>4</v>
      </c>
      <c r="L732">
        <f t="shared" si="11"/>
        <v>27000</v>
      </c>
    </row>
    <row r="733" spans="1:12" x14ac:dyDescent="0.35">
      <c r="A733" s="7">
        <v>1715</v>
      </c>
      <c r="B733" s="1">
        <v>45648</v>
      </c>
      <c r="C733" s="2" t="s">
        <v>8</v>
      </c>
      <c r="D733" t="str">
        <f>_xlfn.XLOOKUP(Merged_Sales_Data!C733,PM[Product ID],PM[Product Name])</f>
        <v>USB-C Hub</v>
      </c>
      <c r="E733" t="str">
        <f>VLOOKUP(C733,PM[],3,FALSE)</f>
        <v>Accessories</v>
      </c>
      <c r="F733">
        <f>_xlfn.XLOOKUP(C733,PM[Product ID],PM[Unit Price (₹)])</f>
        <v>880</v>
      </c>
      <c r="G733" t="str">
        <f>_xlfn.XLOOKUP(Sales7[[#This Row],[Order ID]],ST[Order ID],ST[Employee ID])</f>
        <v>E04</v>
      </c>
      <c r="H733" t="str">
        <f>_xlfn.XLOOKUP(G733,SM[Employee ID],SM[Salesperson])</f>
        <v>Priya Nair</v>
      </c>
      <c r="I733" t="str">
        <f>_xlfn.XLOOKUP(G733,SM[Employee ID],SM[Region])</f>
        <v>South</v>
      </c>
      <c r="J733" t="str">
        <f>_xlfn.XLOOKUP(G733,SM[Employee ID],SM[State/City])</f>
        <v>Bengaluru</v>
      </c>
      <c r="K733" s="2">
        <f>_xlfn.XLOOKUP(Sales7[[#This Row],[Order ID]],ST[Order ID],ST[Units Sold])</f>
        <v>1</v>
      </c>
      <c r="L733">
        <f t="shared" si="11"/>
        <v>880</v>
      </c>
    </row>
    <row r="734" spans="1:12" x14ac:dyDescent="0.35">
      <c r="A734" s="7">
        <v>1717</v>
      </c>
      <c r="B734" s="1">
        <v>45648</v>
      </c>
      <c r="C734" s="2" t="s">
        <v>11</v>
      </c>
      <c r="D734" t="str">
        <f>_xlfn.XLOOKUP(Merged_Sales_Data!C734,PM[Product ID],PM[Product Name])</f>
        <v>Bluetooth Speaker</v>
      </c>
      <c r="E734" t="str">
        <f>VLOOKUP(C734,PM[],3,FALSE)</f>
        <v>Electronics</v>
      </c>
      <c r="F734">
        <f>_xlfn.XLOOKUP(C734,PM[Product ID],PM[Unit Price (₹)])</f>
        <v>1430</v>
      </c>
      <c r="G734" t="str">
        <f>_xlfn.XLOOKUP(Sales7[[#This Row],[Order ID]],ST[Order ID],ST[Employee ID])</f>
        <v>E05</v>
      </c>
      <c r="H734" t="str">
        <f>_xlfn.XLOOKUP(G734,SM[Employee ID],SM[Salesperson])</f>
        <v>Karan Malhotra</v>
      </c>
      <c r="I734" t="str">
        <f>_xlfn.XLOOKUP(G734,SM[Employee ID],SM[Region])</f>
        <v>East</v>
      </c>
      <c r="J734" t="str">
        <f>_xlfn.XLOOKUP(G734,SM[Employee ID],SM[State/City])</f>
        <v>Kolkata</v>
      </c>
      <c r="K734" s="2">
        <f>_xlfn.XLOOKUP(Sales7[[#This Row],[Order ID]],ST[Order ID],ST[Units Sold])</f>
        <v>4</v>
      </c>
      <c r="L734">
        <f t="shared" si="11"/>
        <v>5720</v>
      </c>
    </row>
    <row r="735" spans="1:12" x14ac:dyDescent="0.35">
      <c r="A735" s="7">
        <v>1724</v>
      </c>
      <c r="B735" s="1">
        <v>45648</v>
      </c>
      <c r="C735" s="2" t="s">
        <v>11</v>
      </c>
      <c r="D735" t="str">
        <f>_xlfn.XLOOKUP(Merged_Sales_Data!C735,PM[Product ID],PM[Product Name])</f>
        <v>Bluetooth Speaker</v>
      </c>
      <c r="E735" t="str">
        <f>VLOOKUP(C735,PM[],3,FALSE)</f>
        <v>Electronics</v>
      </c>
      <c r="F735">
        <f>_xlfn.XLOOKUP(C735,PM[Product ID],PM[Unit Price (₹)])</f>
        <v>1430</v>
      </c>
      <c r="G735" t="str">
        <f>_xlfn.XLOOKUP(Sales7[[#This Row],[Order ID]],ST[Order ID],ST[Employee ID])</f>
        <v>E02</v>
      </c>
      <c r="H735" t="str">
        <f>_xlfn.XLOOKUP(G735,SM[Employee ID],SM[Salesperson])</f>
        <v>Ishita Verma</v>
      </c>
      <c r="I735" t="str">
        <f>_xlfn.XLOOKUP(G735,SM[Employee ID],SM[Region])</f>
        <v>North</v>
      </c>
      <c r="J735" t="str">
        <f>_xlfn.XLOOKUP(G735,SM[Employee ID],SM[State/City])</f>
        <v>Chandigarh</v>
      </c>
      <c r="K735" s="2">
        <f>_xlfn.XLOOKUP(Sales7[[#This Row],[Order ID]],ST[Order ID],ST[Units Sold])</f>
        <v>2</v>
      </c>
      <c r="L735">
        <f t="shared" si="11"/>
        <v>2860</v>
      </c>
    </row>
    <row r="736" spans="1:12" x14ac:dyDescent="0.35">
      <c r="A736" s="7">
        <v>1742</v>
      </c>
      <c r="B736" s="1">
        <v>45648</v>
      </c>
      <c r="C736" s="2" t="s">
        <v>18</v>
      </c>
      <c r="D736" t="str">
        <f>_xlfn.XLOOKUP(Merged_Sales_Data!C736,PM[Product ID],PM[Product Name])</f>
        <v>LED Monitor 24"</v>
      </c>
      <c r="E736" t="str">
        <f>VLOOKUP(C736,PM[],3,FALSE)</f>
        <v>Electronics</v>
      </c>
      <c r="F736">
        <f>_xlfn.XLOOKUP(C736,PM[Product ID],PM[Unit Price (₹)])</f>
        <v>7700</v>
      </c>
      <c r="G736" t="str">
        <f>_xlfn.XLOOKUP(Sales7[[#This Row],[Order ID]],ST[Order ID],ST[Employee ID])</f>
        <v>E03</v>
      </c>
      <c r="H736" t="str">
        <f>_xlfn.XLOOKUP(G736,SM[Employee ID],SM[Salesperson])</f>
        <v>Rohan Mehta</v>
      </c>
      <c r="I736" t="str">
        <f>_xlfn.XLOOKUP(G736,SM[Employee ID],SM[Region])</f>
        <v>South</v>
      </c>
      <c r="J736" t="str">
        <f>_xlfn.XLOOKUP(G736,SM[Employee ID],SM[State/City])</f>
        <v>Bengaluru</v>
      </c>
      <c r="K736" s="2">
        <f>_xlfn.XLOOKUP(Sales7[[#This Row],[Order ID]],ST[Order ID],ST[Units Sold])</f>
        <v>10</v>
      </c>
      <c r="L736">
        <f t="shared" si="11"/>
        <v>77000</v>
      </c>
    </row>
    <row r="737" spans="1:12" x14ac:dyDescent="0.35">
      <c r="A737" s="7">
        <v>1712</v>
      </c>
      <c r="B737" s="1">
        <v>45650</v>
      </c>
      <c r="C737" s="2" t="s">
        <v>12</v>
      </c>
      <c r="D737" t="str">
        <f>_xlfn.XLOOKUP(Merged_Sales_Data!C737,PM[Product ID],PM[Product Name])</f>
        <v>Bookshelf Unit</v>
      </c>
      <c r="E737" t="str">
        <f>VLOOKUP(C737,PM[],3,FALSE)</f>
        <v>Furniture</v>
      </c>
      <c r="F737">
        <f>_xlfn.XLOOKUP(C737,PM[Product ID],PM[Unit Price (₹)])</f>
        <v>3910</v>
      </c>
      <c r="G737" t="str">
        <f>_xlfn.XLOOKUP(Sales7[[#This Row],[Order ID]],ST[Order ID],ST[Employee ID])</f>
        <v>E07</v>
      </c>
      <c r="H737" t="str">
        <f>_xlfn.XLOOKUP(G737,SM[Employee ID],SM[Salesperson])</f>
        <v>Aditya Kapoor</v>
      </c>
      <c r="I737" t="str">
        <f>_xlfn.XLOOKUP(G737,SM[Employee ID],SM[Region])</f>
        <v>West</v>
      </c>
      <c r="J737" t="str">
        <f>_xlfn.XLOOKUP(G737,SM[Employee ID],SM[State/City])</f>
        <v>Mumbai</v>
      </c>
      <c r="K737" s="2">
        <f>_xlfn.XLOOKUP(Sales7[[#This Row],[Order ID]],ST[Order ID],ST[Units Sold])</f>
        <v>2</v>
      </c>
      <c r="L737">
        <f t="shared" si="11"/>
        <v>7820</v>
      </c>
    </row>
    <row r="738" spans="1:12" x14ac:dyDescent="0.35">
      <c r="A738" s="7">
        <v>1728</v>
      </c>
      <c r="B738" s="1">
        <v>45650</v>
      </c>
      <c r="C738" s="2" t="s">
        <v>5</v>
      </c>
      <c r="D738" t="str">
        <f>_xlfn.XLOOKUP(Merged_Sales_Data!C738,PM[Product ID],PM[Product Name])</f>
        <v>Ergo Office Chair</v>
      </c>
      <c r="E738" t="str">
        <f>VLOOKUP(C738,PM[],3,FALSE)</f>
        <v>Office Supplies</v>
      </c>
      <c r="F738">
        <f>_xlfn.XLOOKUP(C738,PM[Product ID],PM[Unit Price (₹)])</f>
        <v>6750</v>
      </c>
      <c r="G738" t="str">
        <f>_xlfn.XLOOKUP(Sales7[[#This Row],[Order ID]],ST[Order ID],ST[Employee ID])</f>
        <v>E05</v>
      </c>
      <c r="H738" t="str">
        <f>_xlfn.XLOOKUP(G738,SM[Employee ID],SM[Salesperson])</f>
        <v>Karan Malhotra</v>
      </c>
      <c r="I738" t="str">
        <f>_xlfn.XLOOKUP(G738,SM[Employee ID],SM[Region])</f>
        <v>East</v>
      </c>
      <c r="J738" t="str">
        <f>_xlfn.XLOOKUP(G738,SM[Employee ID],SM[State/City])</f>
        <v>Kolkata</v>
      </c>
      <c r="K738" s="2">
        <f>_xlfn.XLOOKUP(Sales7[[#This Row],[Order ID]],ST[Order ID],ST[Units Sold])</f>
        <v>6</v>
      </c>
      <c r="L738">
        <f t="shared" si="11"/>
        <v>40500</v>
      </c>
    </row>
    <row r="739" spans="1:12" x14ac:dyDescent="0.35">
      <c r="A739" s="7">
        <v>1722</v>
      </c>
      <c r="B739" s="1">
        <v>45652</v>
      </c>
      <c r="C739" s="2" t="s">
        <v>8</v>
      </c>
      <c r="D739" t="str">
        <f>_xlfn.XLOOKUP(Merged_Sales_Data!C739,PM[Product ID],PM[Product Name])</f>
        <v>USB-C Hub</v>
      </c>
      <c r="E739" t="str">
        <f>VLOOKUP(C739,PM[],3,FALSE)</f>
        <v>Accessories</v>
      </c>
      <c r="F739">
        <f>_xlfn.XLOOKUP(C739,PM[Product ID],PM[Unit Price (₹)])</f>
        <v>880</v>
      </c>
      <c r="G739" t="str">
        <f>_xlfn.XLOOKUP(Sales7[[#This Row],[Order ID]],ST[Order ID],ST[Employee ID])</f>
        <v>E07</v>
      </c>
      <c r="H739" t="str">
        <f>_xlfn.XLOOKUP(G739,SM[Employee ID],SM[Salesperson])</f>
        <v>Aditya Kapoor</v>
      </c>
      <c r="I739" t="str">
        <f>_xlfn.XLOOKUP(G739,SM[Employee ID],SM[Region])</f>
        <v>West</v>
      </c>
      <c r="J739" t="str">
        <f>_xlfn.XLOOKUP(G739,SM[Employee ID],SM[State/City])</f>
        <v>Mumbai</v>
      </c>
      <c r="K739" s="2">
        <f>_xlfn.XLOOKUP(Sales7[[#This Row],[Order ID]],ST[Order ID],ST[Units Sold])</f>
        <v>1</v>
      </c>
      <c r="L739">
        <f t="shared" si="11"/>
        <v>880</v>
      </c>
    </row>
    <row r="740" spans="1:12" x14ac:dyDescent="0.35">
      <c r="A740" s="7">
        <v>1738</v>
      </c>
      <c r="B740" s="1">
        <v>45652</v>
      </c>
      <c r="C740" s="2" t="s">
        <v>11</v>
      </c>
      <c r="D740" t="str">
        <f>_xlfn.XLOOKUP(Merged_Sales_Data!C740,PM[Product ID],PM[Product Name])</f>
        <v>Bluetooth Speaker</v>
      </c>
      <c r="E740" t="str">
        <f>VLOOKUP(C740,PM[],3,FALSE)</f>
        <v>Electronics</v>
      </c>
      <c r="F740">
        <f>_xlfn.XLOOKUP(C740,PM[Product ID],PM[Unit Price (₹)])</f>
        <v>1430</v>
      </c>
      <c r="G740" t="str">
        <f>_xlfn.XLOOKUP(Sales7[[#This Row],[Order ID]],ST[Order ID],ST[Employee ID])</f>
        <v>E06</v>
      </c>
      <c r="H740" t="str">
        <f>_xlfn.XLOOKUP(G740,SM[Employee ID],SM[Salesperson])</f>
        <v>Sneha Roy</v>
      </c>
      <c r="I740" t="str">
        <f>_xlfn.XLOOKUP(G740,SM[Employee ID],SM[Region])</f>
        <v>East</v>
      </c>
      <c r="J740" t="str">
        <f>_xlfn.XLOOKUP(G740,SM[Employee ID],SM[State/City])</f>
        <v>Kolkata</v>
      </c>
      <c r="K740" s="2">
        <f>_xlfn.XLOOKUP(Sales7[[#This Row],[Order ID]],ST[Order ID],ST[Units Sold])</f>
        <v>10</v>
      </c>
      <c r="L740">
        <f t="shared" si="11"/>
        <v>14300</v>
      </c>
    </row>
    <row r="741" spans="1:12" x14ac:dyDescent="0.35">
      <c r="A741" s="7">
        <v>1732</v>
      </c>
      <c r="B741" s="1">
        <v>45653</v>
      </c>
      <c r="C741" s="2" t="s">
        <v>11</v>
      </c>
      <c r="D741" t="str">
        <f>_xlfn.XLOOKUP(Merged_Sales_Data!C741,PM[Product ID],PM[Product Name])</f>
        <v>Bluetooth Speaker</v>
      </c>
      <c r="E741" t="str">
        <f>VLOOKUP(C741,PM[],3,FALSE)</f>
        <v>Electronics</v>
      </c>
      <c r="F741">
        <f>_xlfn.XLOOKUP(C741,PM[Product ID],PM[Unit Price (₹)])</f>
        <v>1430</v>
      </c>
      <c r="G741" t="str">
        <f>_xlfn.XLOOKUP(Sales7[[#This Row],[Order ID]],ST[Order ID],ST[Employee ID])</f>
        <v>E07</v>
      </c>
      <c r="H741" t="str">
        <f>_xlfn.XLOOKUP(G741,SM[Employee ID],SM[Salesperson])</f>
        <v>Aditya Kapoor</v>
      </c>
      <c r="I741" t="str">
        <f>_xlfn.XLOOKUP(G741,SM[Employee ID],SM[Region])</f>
        <v>West</v>
      </c>
      <c r="J741" t="str">
        <f>_xlfn.XLOOKUP(G741,SM[Employee ID],SM[State/City])</f>
        <v>Mumbai</v>
      </c>
      <c r="K741" s="2">
        <f>_xlfn.XLOOKUP(Sales7[[#This Row],[Order ID]],ST[Order ID],ST[Units Sold])</f>
        <v>1</v>
      </c>
      <c r="L741">
        <f t="shared" si="11"/>
        <v>1430</v>
      </c>
    </row>
    <row r="742" spans="1:12" x14ac:dyDescent="0.35">
      <c r="A742" s="7">
        <v>1737</v>
      </c>
      <c r="B742" s="1">
        <v>45654</v>
      </c>
      <c r="C742" s="2" t="s">
        <v>11</v>
      </c>
      <c r="D742" t="str">
        <f>_xlfn.XLOOKUP(Merged_Sales_Data!C742,PM[Product ID],PM[Product Name])</f>
        <v>Bluetooth Speaker</v>
      </c>
      <c r="E742" t="str">
        <f>VLOOKUP(C742,PM[],3,FALSE)</f>
        <v>Electronics</v>
      </c>
      <c r="F742">
        <f>_xlfn.XLOOKUP(C742,PM[Product ID],PM[Unit Price (₹)])</f>
        <v>1430</v>
      </c>
      <c r="G742" t="str">
        <f>_xlfn.XLOOKUP(Sales7[[#This Row],[Order ID]],ST[Order ID],ST[Employee ID])</f>
        <v>E01</v>
      </c>
      <c r="H742" t="str">
        <f>_xlfn.XLOOKUP(G742,SM[Employee ID],SM[Salesperson])</f>
        <v>Aarav Sharma</v>
      </c>
      <c r="I742" t="str">
        <f>_xlfn.XLOOKUP(G742,SM[Employee ID],SM[Region])</f>
        <v>North</v>
      </c>
      <c r="J742" t="str">
        <f>_xlfn.XLOOKUP(G742,SM[Employee ID],SM[State/City])</f>
        <v>Lucknow</v>
      </c>
      <c r="K742" s="2">
        <f>_xlfn.XLOOKUP(Sales7[[#This Row],[Order ID]],ST[Order ID],ST[Units Sold])</f>
        <v>1</v>
      </c>
      <c r="L742">
        <f t="shared" si="11"/>
        <v>1430</v>
      </c>
    </row>
    <row r="743" spans="1:12" x14ac:dyDescent="0.35">
      <c r="A743" s="7">
        <v>1726</v>
      </c>
      <c r="B743" s="1">
        <v>45657</v>
      </c>
      <c r="C743" s="2" t="s">
        <v>10</v>
      </c>
      <c r="D743" t="str">
        <f>_xlfn.XLOOKUP(Merged_Sales_Data!C743,PM[Product ID],PM[Product Name])</f>
        <v>Filing Cabinet</v>
      </c>
      <c r="E743" t="str">
        <f>VLOOKUP(C743,PM[],3,FALSE)</f>
        <v>Furniture</v>
      </c>
      <c r="F743">
        <f>_xlfn.XLOOKUP(C743,PM[Product ID],PM[Unit Price (₹)])</f>
        <v>4070</v>
      </c>
      <c r="G743" t="str">
        <f>_xlfn.XLOOKUP(Sales7[[#This Row],[Order ID]],ST[Order ID],ST[Employee ID])</f>
        <v>E01</v>
      </c>
      <c r="H743" t="str">
        <f>_xlfn.XLOOKUP(G743,SM[Employee ID],SM[Salesperson])</f>
        <v>Aarav Sharma</v>
      </c>
      <c r="I743" t="str">
        <f>_xlfn.XLOOKUP(G743,SM[Employee ID],SM[Region])</f>
        <v>North</v>
      </c>
      <c r="J743" t="str">
        <f>_xlfn.XLOOKUP(G743,SM[Employee ID],SM[State/City])</f>
        <v>Lucknow</v>
      </c>
      <c r="K743" s="2">
        <f>_xlfn.XLOOKUP(Sales7[[#This Row],[Order ID]],ST[Order ID],ST[Units Sold])</f>
        <v>3</v>
      </c>
      <c r="L743">
        <f t="shared" si="11"/>
        <v>12210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27"/>
  <sheetViews>
    <sheetView showGridLines="0" workbookViewId="0"/>
  </sheetViews>
  <sheetFormatPr defaultRowHeight="14.5" x14ac:dyDescent="0.35"/>
  <cols>
    <col min="1" max="1" width="3" customWidth="1"/>
    <col min="2" max="2" width="95" customWidth="1"/>
  </cols>
  <sheetData>
    <row r="2" spans="2:2" ht="18" x14ac:dyDescent="0.4">
      <c r="B2" s="3" t="s">
        <v>62</v>
      </c>
    </row>
    <row r="3" spans="2:2" x14ac:dyDescent="0.35">
      <c r="B3" s="4"/>
    </row>
    <row r="4" spans="2:2" x14ac:dyDescent="0.35">
      <c r="B4" s="5" t="s">
        <v>63</v>
      </c>
    </row>
    <row r="5" spans="2:2" x14ac:dyDescent="0.35">
      <c r="B5" s="4" t="s">
        <v>64</v>
      </c>
    </row>
    <row r="6" spans="2:2" x14ac:dyDescent="0.35">
      <c r="B6" s="4" t="s">
        <v>65</v>
      </c>
    </row>
    <row r="7" spans="2:2" x14ac:dyDescent="0.35">
      <c r="B7" s="4"/>
    </row>
    <row r="8" spans="2:2" x14ac:dyDescent="0.35">
      <c r="B8" s="5" t="s">
        <v>66</v>
      </c>
    </row>
    <row r="9" spans="2:2" x14ac:dyDescent="0.35">
      <c r="B9" s="4" t="s">
        <v>67</v>
      </c>
    </row>
    <row r="10" spans="2:2" x14ac:dyDescent="0.35">
      <c r="B10" s="4" t="s">
        <v>68</v>
      </c>
    </row>
    <row r="11" spans="2:2" x14ac:dyDescent="0.35">
      <c r="B11" s="4" t="s">
        <v>69</v>
      </c>
    </row>
    <row r="12" spans="2:2" x14ac:dyDescent="0.35">
      <c r="B12" s="4" t="s">
        <v>70</v>
      </c>
    </row>
    <row r="13" spans="2:2" x14ac:dyDescent="0.35">
      <c r="B13" s="4" t="s">
        <v>71</v>
      </c>
    </row>
    <row r="14" spans="2:2" x14ac:dyDescent="0.35">
      <c r="B14" s="4" t="s">
        <v>72</v>
      </c>
    </row>
    <row r="15" spans="2:2" x14ac:dyDescent="0.35">
      <c r="B15" s="4" t="s">
        <v>73</v>
      </c>
    </row>
    <row r="16" spans="2:2" x14ac:dyDescent="0.35">
      <c r="B16" s="4" t="s">
        <v>74</v>
      </c>
    </row>
    <row r="17" spans="2:2" x14ac:dyDescent="0.35">
      <c r="B17" s="4"/>
    </row>
    <row r="18" spans="2:2" x14ac:dyDescent="0.35">
      <c r="B18" s="5" t="s">
        <v>75</v>
      </c>
    </row>
    <row r="19" spans="2:2" x14ac:dyDescent="0.35">
      <c r="B19" s="4" t="s">
        <v>76</v>
      </c>
    </row>
    <row r="20" spans="2:2" x14ac:dyDescent="0.35">
      <c r="B20" s="4" t="s">
        <v>77</v>
      </c>
    </row>
    <row r="21" spans="2:2" x14ac:dyDescent="0.35">
      <c r="B21" s="4" t="s">
        <v>78</v>
      </c>
    </row>
    <row r="22" spans="2:2" x14ac:dyDescent="0.35">
      <c r="B22" s="4"/>
    </row>
    <row r="23" spans="2:2" x14ac:dyDescent="0.35">
      <c r="B23" s="5" t="s">
        <v>79</v>
      </c>
    </row>
    <row r="24" spans="2:2" x14ac:dyDescent="0.35">
      <c r="B24" s="4" t="s">
        <v>80</v>
      </c>
    </row>
    <row r="25" spans="2:2" x14ac:dyDescent="0.35">
      <c r="B25" s="4" t="s">
        <v>81</v>
      </c>
    </row>
    <row r="26" spans="2:2" x14ac:dyDescent="0.35">
      <c r="B26" s="4"/>
    </row>
    <row r="27" spans="2:2" x14ac:dyDescent="0.35">
      <c r="B27" s="6" t="s">
        <v>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7215-517B-42DF-8595-5E59FDA5F71C}">
  <dimension ref="A1:N51"/>
  <sheetViews>
    <sheetView topLeftCell="B39" workbookViewId="0">
      <selection activeCell="A45" sqref="A45:N51"/>
      <pivotSelection pane="bottomRight" activeRow="44" click="1" r:id="rId4">
        <pivotArea type="all" dataOnly="0" outline="0" fieldPosition="0"/>
      </pivotSelection>
    </sheetView>
  </sheetViews>
  <sheetFormatPr defaultRowHeight="14.5" x14ac:dyDescent="0.35"/>
  <cols>
    <col min="1" max="1" width="17.1796875" bestFit="1" customWidth="1"/>
    <col min="2" max="13" width="20.90625" bestFit="1" customWidth="1"/>
    <col min="14" max="14" width="10.7265625" bestFit="1" customWidth="1"/>
    <col min="15" max="15" width="10.90625" customWidth="1"/>
    <col min="16" max="16" width="24" customWidth="1"/>
    <col min="17" max="17" width="10.453125" customWidth="1"/>
    <col min="18" max="20" width="6.81640625" bestFit="1" customWidth="1"/>
    <col min="21" max="21" width="8.54296875" bestFit="1" customWidth="1"/>
    <col min="22" max="25" width="6.81640625" bestFit="1" customWidth="1"/>
    <col min="26" max="26" width="9.1796875" bestFit="1" customWidth="1"/>
    <col min="27" max="30" width="6.81640625" bestFit="1" customWidth="1"/>
    <col min="31" max="31" width="8.36328125" bestFit="1" customWidth="1"/>
    <col min="32" max="35" width="6.81640625" bestFit="1" customWidth="1"/>
    <col min="36" max="36" width="7.7265625" bestFit="1" customWidth="1"/>
    <col min="37" max="40" width="6.81640625" bestFit="1" customWidth="1"/>
    <col min="41" max="41" width="8.7265625" bestFit="1" customWidth="1"/>
    <col min="42" max="45" width="6.81640625" bestFit="1" customWidth="1"/>
    <col min="46" max="46" width="8.54296875" bestFit="1" customWidth="1"/>
    <col min="47" max="50" width="6.81640625" bestFit="1" customWidth="1"/>
    <col min="51" max="51" width="8.453125" bestFit="1" customWidth="1"/>
    <col min="52" max="55" width="6.81640625" bestFit="1" customWidth="1"/>
    <col min="56" max="56" width="8.81640625" bestFit="1" customWidth="1"/>
    <col min="57" max="60" width="6.81640625" bestFit="1" customWidth="1"/>
    <col min="61" max="61" width="8.6328125" bestFit="1" customWidth="1"/>
    <col min="62" max="62" width="10.7265625" bestFit="1" customWidth="1"/>
  </cols>
  <sheetData>
    <row r="1" spans="1:2" x14ac:dyDescent="0.35">
      <c r="A1" s="20" t="s">
        <v>84</v>
      </c>
    </row>
    <row r="2" spans="1:2" x14ac:dyDescent="0.35">
      <c r="A2" s="20" t="s">
        <v>23</v>
      </c>
      <c r="B2" t="s">
        <v>85</v>
      </c>
    </row>
    <row r="3" spans="1:2" x14ac:dyDescent="0.35">
      <c r="A3" t="s">
        <v>36</v>
      </c>
      <c r="B3">
        <v>15190</v>
      </c>
    </row>
    <row r="4" spans="1:2" x14ac:dyDescent="0.35">
      <c r="A4" t="s">
        <v>26</v>
      </c>
      <c r="B4">
        <v>43120</v>
      </c>
    </row>
    <row r="5" spans="1:2" x14ac:dyDescent="0.35">
      <c r="A5" t="s">
        <v>33</v>
      </c>
      <c r="B5">
        <v>87300</v>
      </c>
    </row>
    <row r="6" spans="1:2" x14ac:dyDescent="0.35">
      <c r="A6" t="s">
        <v>30</v>
      </c>
      <c r="B6">
        <v>158790</v>
      </c>
    </row>
    <row r="7" spans="1:2" x14ac:dyDescent="0.35">
      <c r="A7" t="s">
        <v>83</v>
      </c>
      <c r="B7">
        <v>304400</v>
      </c>
    </row>
    <row r="11" spans="1:2" x14ac:dyDescent="0.35">
      <c r="A11" s="20" t="s">
        <v>84</v>
      </c>
    </row>
    <row r="12" spans="1:2" x14ac:dyDescent="0.35">
      <c r="A12" s="20" t="s">
        <v>39</v>
      </c>
      <c r="B12" t="s">
        <v>85</v>
      </c>
    </row>
    <row r="13" spans="1:2" x14ac:dyDescent="0.35">
      <c r="A13" t="s">
        <v>51</v>
      </c>
      <c r="B13">
        <v>130070</v>
      </c>
    </row>
    <row r="14" spans="1:2" x14ac:dyDescent="0.35">
      <c r="A14" t="s">
        <v>42</v>
      </c>
      <c r="B14">
        <v>48870</v>
      </c>
    </row>
    <row r="15" spans="1:2" x14ac:dyDescent="0.35">
      <c r="A15" t="s">
        <v>47</v>
      </c>
      <c r="B15">
        <v>40210</v>
      </c>
    </row>
    <row r="16" spans="1:2" x14ac:dyDescent="0.35">
      <c r="A16" t="s">
        <v>55</v>
      </c>
      <c r="B16">
        <v>85250</v>
      </c>
    </row>
    <row r="17" spans="1:5" x14ac:dyDescent="0.35">
      <c r="A17" t="s">
        <v>86</v>
      </c>
    </row>
    <row r="18" spans="1:5" x14ac:dyDescent="0.35">
      <c r="A18" t="s">
        <v>83</v>
      </c>
      <c r="B18">
        <v>304400</v>
      </c>
    </row>
    <row r="22" spans="1:5" x14ac:dyDescent="0.35">
      <c r="C22" s="20" t="s">
        <v>97</v>
      </c>
    </row>
    <row r="23" spans="1:5" x14ac:dyDescent="0.35">
      <c r="A23" s="20" t="s">
        <v>2</v>
      </c>
      <c r="B23" s="20" t="s">
        <v>22</v>
      </c>
      <c r="C23" t="s">
        <v>96</v>
      </c>
      <c r="D23" t="s">
        <v>84</v>
      </c>
      <c r="E23" t="s">
        <v>98</v>
      </c>
    </row>
    <row r="24" spans="1:5" x14ac:dyDescent="0.35">
      <c r="A24" t="s">
        <v>21</v>
      </c>
      <c r="B24" t="s">
        <v>25</v>
      </c>
      <c r="E24">
        <v>780</v>
      </c>
    </row>
    <row r="25" spans="1:5" x14ac:dyDescent="0.35">
      <c r="A25" t="s">
        <v>87</v>
      </c>
      <c r="E25">
        <v>780</v>
      </c>
    </row>
    <row r="26" spans="1:5" x14ac:dyDescent="0.35">
      <c r="A26" t="s">
        <v>11</v>
      </c>
      <c r="B26" t="s">
        <v>27</v>
      </c>
      <c r="C26">
        <v>14</v>
      </c>
      <c r="D26">
        <v>20020</v>
      </c>
      <c r="E26">
        <v>1430</v>
      </c>
    </row>
    <row r="27" spans="1:5" x14ac:dyDescent="0.35">
      <c r="A27" t="s">
        <v>88</v>
      </c>
      <c r="C27">
        <v>14</v>
      </c>
      <c r="D27">
        <v>20020</v>
      </c>
      <c r="E27">
        <v>1430</v>
      </c>
    </row>
    <row r="28" spans="1:5" x14ac:dyDescent="0.35">
      <c r="A28" t="s">
        <v>18</v>
      </c>
      <c r="B28" t="s">
        <v>28</v>
      </c>
      <c r="C28">
        <v>3</v>
      </c>
      <c r="D28">
        <v>23100</v>
      </c>
      <c r="E28">
        <v>7700</v>
      </c>
    </row>
    <row r="29" spans="1:5" x14ac:dyDescent="0.35">
      <c r="A29" t="s">
        <v>89</v>
      </c>
      <c r="C29">
        <v>3</v>
      </c>
      <c r="D29">
        <v>23100</v>
      </c>
      <c r="E29">
        <v>7700</v>
      </c>
    </row>
    <row r="30" spans="1:5" x14ac:dyDescent="0.35">
      <c r="A30" t="s">
        <v>5</v>
      </c>
      <c r="B30" t="s">
        <v>29</v>
      </c>
      <c r="C30">
        <v>17</v>
      </c>
      <c r="D30">
        <v>114750</v>
      </c>
      <c r="E30">
        <v>6750</v>
      </c>
    </row>
    <row r="31" spans="1:5" x14ac:dyDescent="0.35">
      <c r="A31" t="s">
        <v>90</v>
      </c>
      <c r="C31">
        <v>17</v>
      </c>
      <c r="D31">
        <v>114750</v>
      </c>
      <c r="E31">
        <v>6750</v>
      </c>
    </row>
    <row r="32" spans="1:5" x14ac:dyDescent="0.35">
      <c r="A32" t="s">
        <v>20</v>
      </c>
      <c r="B32" t="s">
        <v>31</v>
      </c>
      <c r="C32">
        <v>4</v>
      </c>
      <c r="D32">
        <v>44040</v>
      </c>
      <c r="E32">
        <v>11010</v>
      </c>
    </row>
    <row r="33" spans="1:14" x14ac:dyDescent="0.35">
      <c r="A33" t="s">
        <v>91</v>
      </c>
      <c r="C33">
        <v>4</v>
      </c>
      <c r="D33">
        <v>44040</v>
      </c>
      <c r="E33">
        <v>11010</v>
      </c>
    </row>
    <row r="34" spans="1:14" x14ac:dyDescent="0.35">
      <c r="A34" t="s">
        <v>12</v>
      </c>
      <c r="B34" t="s">
        <v>32</v>
      </c>
      <c r="C34">
        <v>14</v>
      </c>
      <c r="D34">
        <v>54740</v>
      </c>
      <c r="E34">
        <v>3910</v>
      </c>
    </row>
    <row r="35" spans="1:14" x14ac:dyDescent="0.35">
      <c r="A35" t="s">
        <v>92</v>
      </c>
      <c r="C35">
        <v>14</v>
      </c>
      <c r="D35">
        <v>54740</v>
      </c>
      <c r="E35">
        <v>3910</v>
      </c>
    </row>
    <row r="36" spans="1:14" x14ac:dyDescent="0.35">
      <c r="A36" t="s">
        <v>10</v>
      </c>
      <c r="B36" t="s">
        <v>34</v>
      </c>
      <c r="C36">
        <v>8</v>
      </c>
      <c r="D36">
        <v>32560</v>
      </c>
      <c r="E36">
        <v>4070</v>
      </c>
    </row>
    <row r="37" spans="1:14" x14ac:dyDescent="0.35">
      <c r="A37" t="s">
        <v>93</v>
      </c>
      <c r="C37">
        <v>8</v>
      </c>
      <c r="D37">
        <v>32560</v>
      </c>
      <c r="E37">
        <v>4070</v>
      </c>
    </row>
    <row r="38" spans="1:14" x14ac:dyDescent="0.35">
      <c r="A38" t="s">
        <v>14</v>
      </c>
      <c r="B38" t="s">
        <v>35</v>
      </c>
      <c r="C38">
        <v>1</v>
      </c>
      <c r="D38">
        <v>1110</v>
      </c>
      <c r="E38">
        <v>1110</v>
      </c>
    </row>
    <row r="39" spans="1:14" x14ac:dyDescent="0.35">
      <c r="A39" t="s">
        <v>94</v>
      </c>
      <c r="C39">
        <v>1</v>
      </c>
      <c r="D39">
        <v>1110</v>
      </c>
      <c r="E39">
        <v>1110</v>
      </c>
    </row>
    <row r="40" spans="1:14" x14ac:dyDescent="0.35">
      <c r="A40" t="s">
        <v>8</v>
      </c>
      <c r="B40" t="s">
        <v>37</v>
      </c>
      <c r="C40">
        <v>16</v>
      </c>
      <c r="D40">
        <v>14080</v>
      </c>
      <c r="E40">
        <v>880</v>
      </c>
    </row>
    <row r="41" spans="1:14" x14ac:dyDescent="0.35">
      <c r="A41" t="s">
        <v>95</v>
      </c>
      <c r="C41">
        <v>16</v>
      </c>
      <c r="D41">
        <v>14080</v>
      </c>
      <c r="E41">
        <v>880</v>
      </c>
    </row>
    <row r="42" spans="1:14" x14ac:dyDescent="0.35">
      <c r="A42" t="s">
        <v>83</v>
      </c>
      <c r="C42">
        <v>77</v>
      </c>
      <c r="D42">
        <v>304400</v>
      </c>
      <c r="E42">
        <v>4188.4097035040431</v>
      </c>
    </row>
    <row r="45" spans="1:14" x14ac:dyDescent="0.35">
      <c r="A45" s="20" t="s">
        <v>84</v>
      </c>
      <c r="B45" s="20" t="s">
        <v>99</v>
      </c>
    </row>
    <row r="46" spans="1:14" x14ac:dyDescent="0.35">
      <c r="A46" s="20" t="s">
        <v>39</v>
      </c>
      <c r="B46" t="s">
        <v>100</v>
      </c>
      <c r="C46" t="s">
        <v>101</v>
      </c>
      <c r="D46" t="s">
        <v>102</v>
      </c>
      <c r="E46" t="s">
        <v>103</v>
      </c>
      <c r="F46" t="s">
        <v>104</v>
      </c>
      <c r="G46" t="s">
        <v>105</v>
      </c>
      <c r="H46" t="s">
        <v>106</v>
      </c>
      <c r="I46" t="s">
        <v>107</v>
      </c>
      <c r="J46" t="s">
        <v>108</v>
      </c>
      <c r="K46" t="s">
        <v>109</v>
      </c>
      <c r="L46" t="s">
        <v>110</v>
      </c>
      <c r="M46" t="s">
        <v>111</v>
      </c>
      <c r="N46" t="s">
        <v>83</v>
      </c>
    </row>
    <row r="47" spans="1:14" x14ac:dyDescent="0.35">
      <c r="A47" t="s">
        <v>51</v>
      </c>
      <c r="B47">
        <v>235880</v>
      </c>
      <c r="C47">
        <v>114170</v>
      </c>
      <c r="D47">
        <v>228960</v>
      </c>
      <c r="E47">
        <v>392260</v>
      </c>
      <c r="F47">
        <v>85790</v>
      </c>
      <c r="G47">
        <v>326390</v>
      </c>
      <c r="H47">
        <v>84740</v>
      </c>
      <c r="I47">
        <v>310850</v>
      </c>
      <c r="J47">
        <v>149740</v>
      </c>
      <c r="K47">
        <v>241260</v>
      </c>
      <c r="L47">
        <v>421910</v>
      </c>
      <c r="M47">
        <v>208830</v>
      </c>
      <c r="N47">
        <v>2800780</v>
      </c>
    </row>
    <row r="48" spans="1:14" x14ac:dyDescent="0.35">
      <c r="A48" t="s">
        <v>42</v>
      </c>
      <c r="B48">
        <v>162790</v>
      </c>
      <c r="C48">
        <v>248750</v>
      </c>
      <c r="D48">
        <v>173130</v>
      </c>
      <c r="E48">
        <v>174540</v>
      </c>
      <c r="F48">
        <v>349300</v>
      </c>
      <c r="G48">
        <v>225590</v>
      </c>
      <c r="H48">
        <v>348080</v>
      </c>
      <c r="I48">
        <v>219230</v>
      </c>
      <c r="J48">
        <v>304200</v>
      </c>
      <c r="K48">
        <v>377700</v>
      </c>
      <c r="L48">
        <v>317660</v>
      </c>
      <c r="M48">
        <v>103400</v>
      </c>
      <c r="N48">
        <v>3004370</v>
      </c>
    </row>
    <row r="49" spans="1:14" x14ac:dyDescent="0.35">
      <c r="A49" t="s">
        <v>47</v>
      </c>
      <c r="B49">
        <v>188830</v>
      </c>
      <c r="C49">
        <v>321620</v>
      </c>
      <c r="D49">
        <v>301960</v>
      </c>
      <c r="E49">
        <v>237510</v>
      </c>
      <c r="F49">
        <v>129360</v>
      </c>
      <c r="G49">
        <v>480220</v>
      </c>
      <c r="H49">
        <v>133470</v>
      </c>
      <c r="I49">
        <v>241520</v>
      </c>
      <c r="J49">
        <v>352560</v>
      </c>
      <c r="K49">
        <v>287790</v>
      </c>
      <c r="L49">
        <v>327230</v>
      </c>
      <c r="M49">
        <v>385200</v>
      </c>
      <c r="N49">
        <v>3387270</v>
      </c>
    </row>
    <row r="50" spans="1:14" x14ac:dyDescent="0.35">
      <c r="A50" t="s">
        <v>55</v>
      </c>
      <c r="B50">
        <v>125570</v>
      </c>
      <c r="C50">
        <v>186820</v>
      </c>
      <c r="D50">
        <v>297630</v>
      </c>
      <c r="E50">
        <v>190600</v>
      </c>
      <c r="F50">
        <v>239840</v>
      </c>
      <c r="G50">
        <v>256290</v>
      </c>
      <c r="H50">
        <v>358330</v>
      </c>
      <c r="I50">
        <v>349630</v>
      </c>
      <c r="J50">
        <v>279140</v>
      </c>
      <c r="K50">
        <v>591870</v>
      </c>
      <c r="L50">
        <v>433850</v>
      </c>
      <c r="M50">
        <v>308130</v>
      </c>
      <c r="N50">
        <v>3617700</v>
      </c>
    </row>
    <row r="51" spans="1:14" x14ac:dyDescent="0.35">
      <c r="A51" t="s">
        <v>83</v>
      </c>
      <c r="B51">
        <v>713070</v>
      </c>
      <c r="C51">
        <v>871360</v>
      </c>
      <c r="D51">
        <v>1001680</v>
      </c>
      <c r="E51">
        <v>994910</v>
      </c>
      <c r="F51">
        <v>804290</v>
      </c>
      <c r="G51">
        <v>1288490</v>
      </c>
      <c r="H51">
        <v>924620</v>
      </c>
      <c r="I51">
        <v>1121230</v>
      </c>
      <c r="J51">
        <v>1085640</v>
      </c>
      <c r="K51">
        <v>1498620</v>
      </c>
      <c r="L51">
        <v>1500650</v>
      </c>
      <c r="M51">
        <v>1005560</v>
      </c>
      <c r="N51">
        <v>12810120</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345E-BB8D-421D-92C1-96857CF55FB7}">
  <dimension ref="A1:P39"/>
  <sheetViews>
    <sheetView showGridLines="0" tabSelected="1" workbookViewId="0">
      <selection activeCell="P15" sqref="P15"/>
    </sheetView>
  </sheetViews>
  <sheetFormatPr defaultColWidth="0" defaultRowHeight="14.5" zeroHeight="1" x14ac:dyDescent="0.35"/>
  <cols>
    <col min="1" max="9" width="8.7265625" style="21" customWidth="1"/>
    <col min="10" max="10" width="23" style="21" customWidth="1"/>
    <col min="11" max="16" width="8.7265625" style="21" customWidth="1"/>
    <col min="17" max="16384" width="8.7265625" style="21" hidden="1"/>
  </cols>
  <sheetData>
    <row r="1" s="21" customFormat="1" x14ac:dyDescent="0.35"/>
    <row r="2" s="21" customFormat="1" x14ac:dyDescent="0.35"/>
    <row r="3" s="21" customFormat="1" x14ac:dyDescent="0.35"/>
    <row r="4" s="21" customFormat="1" x14ac:dyDescent="0.35"/>
    <row r="5" s="21" customFormat="1" x14ac:dyDescent="0.35"/>
    <row r="6" s="21" customFormat="1" x14ac:dyDescent="0.35"/>
    <row r="7" s="21" customFormat="1" x14ac:dyDescent="0.35"/>
    <row r="8" s="21" customFormat="1" x14ac:dyDescent="0.35"/>
    <row r="9" s="21" customFormat="1" x14ac:dyDescent="0.35"/>
    <row r="10" s="21" customFormat="1" x14ac:dyDescent="0.35"/>
    <row r="11" s="21" customFormat="1" x14ac:dyDescent="0.35"/>
    <row r="12" s="21" customFormat="1" x14ac:dyDescent="0.35"/>
    <row r="13" s="21" customFormat="1" x14ac:dyDescent="0.35"/>
    <row r="14" s="21" customFormat="1" x14ac:dyDescent="0.35"/>
    <row r="15" s="21" customFormat="1" x14ac:dyDescent="0.35"/>
    <row r="16" s="21" customFormat="1" x14ac:dyDescent="0.35"/>
    <row r="17" spans="9:10" x14ac:dyDescent="0.35"/>
    <row r="18" spans="9:10" x14ac:dyDescent="0.35"/>
    <row r="19" spans="9:10" x14ac:dyDescent="0.35"/>
    <row r="20" spans="9:10" x14ac:dyDescent="0.35"/>
    <row r="21" spans="9:10" x14ac:dyDescent="0.35"/>
    <row r="22" spans="9:10" x14ac:dyDescent="0.35"/>
    <row r="23" spans="9:10" x14ac:dyDescent="0.35"/>
    <row r="24" spans="9:10" x14ac:dyDescent="0.35">
      <c r="I24" s="23" t="s">
        <v>39</v>
      </c>
      <c r="J24" s="22"/>
    </row>
    <row r="25" spans="9:10" x14ac:dyDescent="0.35">
      <c r="I25" s="24" t="s">
        <v>51</v>
      </c>
    </row>
    <row r="26" spans="9:10" x14ac:dyDescent="0.35">
      <c r="I26" s="24" t="s">
        <v>42</v>
      </c>
    </row>
    <row r="27" spans="9:10" x14ac:dyDescent="0.35">
      <c r="I27" s="24" t="s">
        <v>47</v>
      </c>
    </row>
    <row r="28" spans="9:10" x14ac:dyDescent="0.35">
      <c r="I28" s="24" t="s">
        <v>55</v>
      </c>
    </row>
    <row r="29" spans="9:10" x14ac:dyDescent="0.35"/>
    <row r="30" spans="9:10" x14ac:dyDescent="0.35"/>
    <row r="31" spans="9:10" x14ac:dyDescent="0.35"/>
    <row r="32" spans="9:10" x14ac:dyDescent="0.35"/>
    <row r="33" s="21" customFormat="1" x14ac:dyDescent="0.35"/>
    <row r="34" s="21" customFormat="1" x14ac:dyDescent="0.35"/>
    <row r="35" s="21" customFormat="1" x14ac:dyDescent="0.35"/>
    <row r="36" s="21" customFormat="1" x14ac:dyDescent="0.35"/>
    <row r="37" s="21" customFormat="1" x14ac:dyDescent="0.35"/>
    <row r="38" s="21" customFormat="1" x14ac:dyDescent="0.35"/>
    <row r="39" s="21" customFormat="1" x14ac:dyDescent="0.35"/>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negative="1" xr2:uid="{27F224E7-1240-43EB-970D-3B86A3ECC68C}">
          <x14:colorSeries rgb="FF00B050"/>
          <x14:colorNegative rgb="FFFF0000"/>
          <x14:colorAxis rgb="FF000000"/>
          <x14:colorMarkers rgb="FF0070C0"/>
          <x14:colorFirst rgb="FFFFC000"/>
          <x14:colorLast rgb="FFFFC000"/>
          <x14:colorHigh rgb="FF00B050"/>
          <x14:colorLow rgb="FFFF0000"/>
          <x14:sparklines>
            <x14:sparkline>
              <xm:f>Dashboard!J17:V17</xm:f>
              <xm:sqref>K25</xm:sqref>
            </x14:sparkline>
            <x14:sparkline>
              <xm:f>Dashboard!J18:V18</xm:f>
              <xm:sqref>K26</xm:sqref>
            </x14:sparkline>
            <x14:sparkline>
              <xm:f>Dashboard!J19:V19</xm:f>
              <xm:sqref>K27</xm:sqref>
            </x14:sparkline>
            <x14:sparkline>
              <xm:f>Dashboard!J20:V20</xm:f>
              <xm:sqref>K28</xm:sqref>
            </x14:sparkline>
          </x14:sparklines>
        </x14:sparklineGroup>
        <x14:sparklineGroup type="column" displayEmptyCellsAs="gap" high="1" negative="1" xr2:uid="{096BDC2C-98A0-4AD7-89A0-6CF91BF6A670}">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Summary!A47:M47</xm:f>
              <xm:sqref>J25</xm:sqref>
            </x14:sparkline>
            <x14:sparkline>
              <xm:f>Summary!A48:M48</xm:f>
              <xm:sqref>J26</xm:sqref>
            </x14:sparkline>
            <x14:sparkline>
              <xm:f>Summary!A49:M49</xm:f>
              <xm:sqref>J27</xm:sqref>
            </x14:sparkline>
            <x14:sparkline>
              <xm:f>Summary!A50:M50</xm:f>
              <xm:sqref>J28</xm:sqref>
            </x14:sparkline>
          </x14:sparklines>
        </x14:sparklineGroup>
      </x14:sparklineGroup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Sales_Transactions</vt:lpstr>
      <vt:lpstr>Product_Master</vt:lpstr>
      <vt:lpstr>Salesperson_Master</vt:lpstr>
      <vt:lpstr>Monthly_Targets</vt:lpstr>
      <vt:lpstr>Merged_Sales_Data</vt:lpstr>
      <vt:lpstr>MyTable</vt:lpstr>
      <vt:lpstr>Read_Me</vt:lpstr>
      <vt:lpstr>Summary</vt:lpstr>
      <vt:lpstr>Dashboard</vt:lpstr>
      <vt:lpstr>MyTable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Bhakat</cp:lastModifiedBy>
  <dcterms:created xsi:type="dcterms:W3CDTF">2026-09-20T12:23:38Z</dcterms:created>
  <dcterms:modified xsi:type="dcterms:W3CDTF">2026-09-24T07:10:02Z</dcterms:modified>
</cp:coreProperties>
</file>